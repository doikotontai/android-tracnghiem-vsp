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drawings/drawing4.xml" ContentType="application/vnd.openxmlformats-officedocument.drawing+xml"/>
  <Override PartName="/xl/embeddings/oleObject2.bin" ContentType="application/vnd.openxmlformats-officedocument.oleObject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5.xml" ContentType="application/vnd.openxmlformats-officedocument.drawing+xml"/>
  <Override PartName="/xl/embeddings/oleObject3.bin" ContentType="application/vnd.openxmlformats-officedocument.oleObject"/>
  <Override PartName="/xl/drawings/drawing6.xml" ContentType="application/vnd.openxmlformats-officedocument.drawing+xml"/>
  <Override PartName="/xl/embeddings/oleObject4.bin" ContentType="application/vnd.openxmlformats-officedocument.oleObject"/>
  <Override PartName="/xl/drawings/drawing7.xml" ContentType="application/vnd.openxmlformats-officedocument.drawing+xml"/>
  <Override PartName="/xl/embeddings/oleObject5.bin" ContentType="application/vnd.openxmlformats-officedocument.oleObject"/>
  <Override PartName="/xl/drawings/drawing8.xml" ContentType="application/vnd.openxmlformats-officedocument.drawing+xml"/>
  <Override PartName="/xl/embeddings/oleObject6.bin" ContentType="application/vnd.openxmlformats-officedocument.oleObject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embeddings/oleObject7.bin" ContentType="application/vnd.openxmlformats-officedocument.oleObject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8.bin" ContentType="application/vnd.openxmlformats-officedocument.oleObject"/>
  <Override PartName="/xl/ctrlProps/ctrlProp21.xml" ContentType="application/vnd.ms-excel.controlproperties+xml"/>
  <Override PartName="/xl/ctrlProps/ctrlProp22.xml" ContentType="application/vnd.ms-excel.controlproperti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embeddings/oleObject9.bin" ContentType="application/vnd.openxmlformats-officedocument.oleObject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ông Việc NDT VSP\FORM ĐI BIỂN - LƯU\"/>
    </mc:Choice>
  </mc:AlternateContent>
  <xr:revisionPtr revIDLastSave="0" documentId="13_ncr:1_{9C045D2E-A424-43E8-84EF-029CB1FAAD0A}" xr6:coauthVersionLast="47" xr6:coauthVersionMax="47" xr10:uidLastSave="{00000000-0000-0000-0000-000000000000}"/>
  <bookViews>
    <workbookView xWindow="-96" yWindow="-96" windowWidth="23232" windowHeight="12552" tabRatio="922" activeTab="4" xr2:uid="{00000000-000D-0000-FFFF-FFFF00000000}"/>
  </bookViews>
  <sheets>
    <sheet name="FORM BC" sheetId="485" r:id="rId1"/>
    <sheet name="TIEU CHUAN" sheetId="486" r:id="rId2"/>
    <sheet name="BCQT" sheetId="492" r:id="rId3"/>
    <sheet name="SUM." sheetId="496" r:id="rId4"/>
    <sheet name="REG. (CHÂN ĐẾ)" sheetId="501" r:id="rId5"/>
    <sheet name="REG." sheetId="431" r:id="rId6"/>
    <sheet name="BBCGTL" sheetId="28" r:id="rId7"/>
    <sheet name="RT" sheetId="495" r:id="rId8"/>
    <sheet name="RT SUM." sheetId="394" r:id="rId9"/>
    <sheet name="PT" sheetId="481" r:id="rId10"/>
    <sheet name="MT" sheetId="479" r:id="rId11"/>
    <sheet name="UT ống" sheetId="482" r:id="rId12"/>
    <sheet name="UT-T" sheetId="484" r:id="rId13"/>
    <sheet name="UT(t6)(xuồng)" sheetId="487" r:id="rId14"/>
    <sheet name="PA (5)" sheetId="499" r:id="rId15"/>
    <sheet name="SKETCH" sheetId="491" r:id="rId16"/>
    <sheet name="UTM Riser" sheetId="483" r:id="rId17"/>
    <sheet name="UTM" sheetId="488" r:id="rId18"/>
    <sheet name="UL" sheetId="489" r:id="rId19"/>
    <sheet name="UTM (8)" sheetId="500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1">#N/A</definedName>
    <definedName name="_1000A01">#N/A</definedName>
    <definedName name="_2">#N/A</definedName>
    <definedName name="_Builtin0" localSheetId="2">[1]SILICATE!#REF!</definedName>
    <definedName name="_Builtin0" localSheetId="10">[2]SILICATE!#REF!</definedName>
    <definedName name="_Builtin0" localSheetId="14">[3]SILICATE!#REF!</definedName>
    <definedName name="_Builtin0" localSheetId="9">[4]SILICATE!#REF!</definedName>
    <definedName name="_Builtin0" localSheetId="4">[9]SILICATE!#REF!</definedName>
    <definedName name="_Builtin0" localSheetId="8">[4]SILICATE!#REF!</definedName>
    <definedName name="_Builtin0" localSheetId="15">[5]SILICATE!#REF!</definedName>
    <definedName name="_Builtin0" localSheetId="3">[2]SILICATE!#REF!</definedName>
    <definedName name="_Builtin0" localSheetId="11">[4]SILICATE!#REF!</definedName>
    <definedName name="_Builtin0" localSheetId="13">[6]SILICATE!#REF!</definedName>
    <definedName name="_Builtin0" localSheetId="19">[7]SILICATE!#REF!</definedName>
    <definedName name="_Builtin0" localSheetId="16">[4]SILICATE!#REF!</definedName>
    <definedName name="_Builtin0" localSheetId="12">[4]SILICATE!#REF!</definedName>
    <definedName name="_Builtin0">[2]SILICATE!#REF!</definedName>
    <definedName name="_CON1" localSheetId="2">#REF!</definedName>
    <definedName name="_CON1" localSheetId="10">#REF!</definedName>
    <definedName name="_CON1" localSheetId="14">#REF!</definedName>
    <definedName name="_CON1" localSheetId="9">#REF!</definedName>
    <definedName name="_CON1" localSheetId="8">#REF!</definedName>
    <definedName name="_CON1" localSheetId="15">#REF!</definedName>
    <definedName name="_CON1" localSheetId="3">#REF!</definedName>
    <definedName name="_CON1" localSheetId="11">#REF!</definedName>
    <definedName name="_CON1" localSheetId="13">#REF!</definedName>
    <definedName name="_CON1" localSheetId="19">#REF!</definedName>
    <definedName name="_CON1" localSheetId="16">#REF!</definedName>
    <definedName name="_CON1" localSheetId="12">#REF!</definedName>
    <definedName name="_CON1">#REF!</definedName>
    <definedName name="_CON2" localSheetId="2">#REF!</definedName>
    <definedName name="_CON2" localSheetId="10">#REF!</definedName>
    <definedName name="_CON2" localSheetId="14">#REF!</definedName>
    <definedName name="_CON2" localSheetId="9">#REF!</definedName>
    <definedName name="_CON2" localSheetId="8">#REF!</definedName>
    <definedName name="_CON2" localSheetId="15">#REF!</definedName>
    <definedName name="_CON2" localSheetId="3">#REF!</definedName>
    <definedName name="_CON2" localSheetId="11">#REF!</definedName>
    <definedName name="_CON2" localSheetId="13">#REF!</definedName>
    <definedName name="_CON2" localSheetId="19">#REF!</definedName>
    <definedName name="_CON2" localSheetId="16">#REF!</definedName>
    <definedName name="_CON2" localSheetId="12">#REF!</definedName>
    <definedName name="_CON2">#REF!</definedName>
    <definedName name="_Fill" localSheetId="6" hidden="1">#REF!</definedName>
    <definedName name="_Fill" localSheetId="2" hidden="1">#REF!</definedName>
    <definedName name="_Fill" localSheetId="10" hidden="1">#REF!</definedName>
    <definedName name="_Fill" localSheetId="14" hidden="1">#REF!</definedName>
    <definedName name="_Fill" localSheetId="9" hidden="1">#REF!</definedName>
    <definedName name="_Fill" localSheetId="5" hidden="1">#REF!</definedName>
    <definedName name="_Fill" localSheetId="4" hidden="1">#REF!</definedName>
    <definedName name="_Fill" localSheetId="7" hidden="1">#REF!</definedName>
    <definedName name="_Fill" localSheetId="8" hidden="1">#REF!</definedName>
    <definedName name="_Fill" localSheetId="15" hidden="1">#REF!</definedName>
    <definedName name="_Fill" localSheetId="3" hidden="1">#REF!</definedName>
    <definedName name="_Fill" localSheetId="18" hidden="1">#REF!</definedName>
    <definedName name="_Fill" localSheetId="11" hidden="1">#REF!</definedName>
    <definedName name="_Fill" localSheetId="13" hidden="1">#REF!</definedName>
    <definedName name="_Fill" localSheetId="17" hidden="1">#REF!</definedName>
    <definedName name="_Fill" localSheetId="19" hidden="1">#REF!</definedName>
    <definedName name="_Fill" localSheetId="16" hidden="1">#REF!</definedName>
    <definedName name="_Fill" localSheetId="12" hidden="1">#REF!</definedName>
    <definedName name="_Fill" hidden="1">#REF!</definedName>
    <definedName name="_xlnm._FilterDatabase" localSheetId="3" hidden="1">SUM.!$A$6:$AA$56</definedName>
    <definedName name="_Key1" localSheetId="6" hidden="1">#REF!</definedName>
    <definedName name="_Key1" localSheetId="2" hidden="1">#REF!</definedName>
    <definedName name="_Key1" localSheetId="10" hidden="1">#REF!</definedName>
    <definedName name="_Key1" localSheetId="14" hidden="1">#REF!</definedName>
    <definedName name="_Key1" localSheetId="9" hidden="1">#REF!</definedName>
    <definedName name="_Key1" localSheetId="5" hidden="1">#REF!</definedName>
    <definedName name="_Key1" localSheetId="4" hidden="1">#REF!</definedName>
    <definedName name="_Key1" localSheetId="7" hidden="1">#REF!</definedName>
    <definedName name="_Key1" localSheetId="8" hidden="1">#REF!</definedName>
    <definedName name="_Key1" localSheetId="15" hidden="1">#REF!</definedName>
    <definedName name="_Key1" localSheetId="3" hidden="1">#REF!</definedName>
    <definedName name="_Key1" localSheetId="18" hidden="1">#REF!</definedName>
    <definedName name="_Key1" localSheetId="11" hidden="1">#REF!</definedName>
    <definedName name="_Key1" localSheetId="13" hidden="1">#REF!</definedName>
    <definedName name="_Key1" localSheetId="17" hidden="1">#REF!</definedName>
    <definedName name="_Key1" localSheetId="19" hidden="1">#REF!</definedName>
    <definedName name="_Key1" localSheetId="16" hidden="1">#REF!</definedName>
    <definedName name="_Key1" localSheetId="12" hidden="1">#REF!</definedName>
    <definedName name="_Key1" hidden="1">#REF!</definedName>
    <definedName name="_Key2" localSheetId="6" hidden="1">#REF!</definedName>
    <definedName name="_Key2" localSheetId="2" hidden="1">#REF!</definedName>
    <definedName name="_Key2" localSheetId="10" hidden="1">#REF!</definedName>
    <definedName name="_Key2" localSheetId="14" hidden="1">#REF!</definedName>
    <definedName name="_Key2" localSheetId="9" hidden="1">#REF!</definedName>
    <definedName name="_Key2" localSheetId="5" hidden="1">#REF!</definedName>
    <definedName name="_Key2" localSheetId="4" hidden="1">#REF!</definedName>
    <definedName name="_Key2" localSheetId="7" hidden="1">#REF!</definedName>
    <definedName name="_Key2" localSheetId="8" hidden="1">#REF!</definedName>
    <definedName name="_Key2" localSheetId="15" hidden="1">#REF!</definedName>
    <definedName name="_Key2" localSheetId="3" hidden="1">#REF!</definedName>
    <definedName name="_Key2" localSheetId="18" hidden="1">#REF!</definedName>
    <definedName name="_Key2" localSheetId="11" hidden="1">#REF!</definedName>
    <definedName name="_Key2" localSheetId="13" hidden="1">#REF!</definedName>
    <definedName name="_Key2" localSheetId="17" hidden="1">#REF!</definedName>
    <definedName name="_Key2" localSheetId="19" hidden="1">#REF!</definedName>
    <definedName name="_Key2" localSheetId="16" hidden="1">#REF!</definedName>
    <definedName name="_Key2" localSheetId="12" hidden="1">#REF!</definedName>
    <definedName name="_Key2" hidden="1">#REF!</definedName>
    <definedName name="_NET2" localSheetId="2">#REF!</definedName>
    <definedName name="_NET2" localSheetId="10">#REF!</definedName>
    <definedName name="_NET2" localSheetId="14">#REF!</definedName>
    <definedName name="_NET2" localSheetId="9">#REF!</definedName>
    <definedName name="_NET2" localSheetId="8">#REF!</definedName>
    <definedName name="_NET2" localSheetId="15">#REF!</definedName>
    <definedName name="_NET2" localSheetId="3">#REF!</definedName>
    <definedName name="_NET2" localSheetId="11">#REF!</definedName>
    <definedName name="_NET2" localSheetId="13">#REF!</definedName>
    <definedName name="_NET2" localSheetId="19">#REF!</definedName>
    <definedName name="_NET2" localSheetId="16">#REF!</definedName>
    <definedName name="_NET2" localSheetId="12">#REF!</definedName>
    <definedName name="_NET2">#REF!</definedName>
    <definedName name="_Order1" hidden="1">255</definedName>
    <definedName name="_Order2" hidden="1">255</definedName>
    <definedName name="_Sort" localSheetId="6" hidden="1">#REF!</definedName>
    <definedName name="_Sort" localSheetId="2" hidden="1">#REF!</definedName>
    <definedName name="_Sort" localSheetId="10" hidden="1">#REF!</definedName>
    <definedName name="_Sort" localSheetId="14" hidden="1">#REF!</definedName>
    <definedName name="_Sort" localSheetId="9" hidden="1">#REF!</definedName>
    <definedName name="_Sort" localSheetId="5" hidden="1">#REF!</definedName>
    <definedName name="_Sort" localSheetId="4" hidden="1">#REF!</definedName>
    <definedName name="_Sort" localSheetId="7" hidden="1">#REF!</definedName>
    <definedName name="_Sort" localSheetId="8" hidden="1">#REF!</definedName>
    <definedName name="_Sort" localSheetId="15" hidden="1">#REF!</definedName>
    <definedName name="_Sort" localSheetId="3" hidden="1">#REF!</definedName>
    <definedName name="_Sort" localSheetId="18" hidden="1">#REF!</definedName>
    <definedName name="_Sort" localSheetId="11" hidden="1">#REF!</definedName>
    <definedName name="_Sort" localSheetId="13" hidden="1">#REF!</definedName>
    <definedName name="_Sort" localSheetId="17" hidden="1">#REF!</definedName>
    <definedName name="_Sort" localSheetId="19" hidden="1">#REF!</definedName>
    <definedName name="_Sort" localSheetId="16" hidden="1">#REF!</definedName>
    <definedName name="_Sort" localSheetId="12" hidden="1">#REF!</definedName>
    <definedName name="_Sort" hidden="1">#REF!</definedName>
    <definedName name="A" localSheetId="2">#REF!</definedName>
    <definedName name="A" localSheetId="10">#REF!</definedName>
    <definedName name="A" localSheetId="14">#REF!</definedName>
    <definedName name="A" localSheetId="9">#REF!</definedName>
    <definedName name="A" localSheetId="3">#REF!</definedName>
    <definedName name="A" localSheetId="13">#REF!</definedName>
    <definedName name="A" localSheetId="19">#REF!</definedName>
    <definedName name="A" localSheetId="16">#REF!</definedName>
    <definedName name="A" localSheetId="12">#REF!</definedName>
    <definedName name="A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2">#REF!</definedName>
    <definedName name="AA" localSheetId="10">#REF!</definedName>
    <definedName name="AA" localSheetId="14">#REF!</definedName>
    <definedName name="AA" localSheetId="9">#REF!</definedName>
    <definedName name="AA" localSheetId="8">#REF!</definedName>
    <definedName name="AA" localSheetId="15">#REF!</definedName>
    <definedName name="AA" localSheetId="3">#REF!</definedName>
    <definedName name="AA" localSheetId="11">#REF!</definedName>
    <definedName name="AA" localSheetId="13">#REF!</definedName>
    <definedName name="AA" localSheetId="19">#REF!</definedName>
    <definedName name="AA" localSheetId="16">#REF!</definedName>
    <definedName name="AA" localSheetId="12">#REF!</definedName>
    <definedName name="AA">#REF!</definedName>
    <definedName name="All_Item" localSheetId="2">#REF!</definedName>
    <definedName name="All_Item" localSheetId="10">#REF!</definedName>
    <definedName name="All_Item" localSheetId="14">#REF!</definedName>
    <definedName name="All_Item" localSheetId="9">#REF!</definedName>
    <definedName name="All_Item" localSheetId="8">#REF!</definedName>
    <definedName name="All_Item" localSheetId="15">#REF!</definedName>
    <definedName name="All_Item" localSheetId="3">#REF!</definedName>
    <definedName name="All_Item" localSheetId="11">#REF!</definedName>
    <definedName name="All_Item" localSheetId="13">#REF!</definedName>
    <definedName name="All_Item" localSheetId="19">#REF!</definedName>
    <definedName name="All_Item" localSheetId="16">#REF!</definedName>
    <definedName name="All_Item" localSheetId="12">#REF!</definedName>
    <definedName name="All_Item">#REF!</definedName>
    <definedName name="ALPIN">#N/A</definedName>
    <definedName name="ALPJYOU">#N/A</definedName>
    <definedName name="ALPTOI">#N/A</definedName>
    <definedName name="BB" localSheetId="2">#REF!</definedName>
    <definedName name="BB" localSheetId="10">#REF!</definedName>
    <definedName name="BB" localSheetId="14">#REF!</definedName>
    <definedName name="BB" localSheetId="9">#REF!</definedName>
    <definedName name="BB" localSheetId="8">#REF!</definedName>
    <definedName name="BB" localSheetId="15">#REF!</definedName>
    <definedName name="BB" localSheetId="3">#REF!</definedName>
    <definedName name="BB" localSheetId="11">#REF!</definedName>
    <definedName name="BB" localSheetId="13">#REF!</definedName>
    <definedName name="BB" localSheetId="19">#REF!</definedName>
    <definedName name="BB" localSheetId="16">#REF!</definedName>
    <definedName name="BB" localSheetId="12">#REF!</definedName>
    <definedName name="BB">#REF!</definedName>
    <definedName name="BCONG" localSheetId="2">#REF!</definedName>
    <definedName name="BCONG" localSheetId="10">#REF!</definedName>
    <definedName name="BCONG" localSheetId="14">#REF!</definedName>
    <definedName name="BCONG" localSheetId="9">#REF!</definedName>
    <definedName name="BCONG" localSheetId="8">#REF!</definedName>
    <definedName name="BCONG" localSheetId="15">#REF!</definedName>
    <definedName name="BCONG" localSheetId="3">#REF!</definedName>
    <definedName name="BCONG" localSheetId="11">#REF!</definedName>
    <definedName name="BCONG" localSheetId="13">#REF!</definedName>
    <definedName name="BCONG" localSheetId="19">#REF!</definedName>
    <definedName name="BCONG" localSheetId="16">#REF!</definedName>
    <definedName name="BCONG" localSheetId="12">#REF!</definedName>
    <definedName name="BCONG">#REF!</definedName>
    <definedName name="bcqt" localSheetId="10">[4]SILICATE!#REF!</definedName>
    <definedName name="bcqt" localSheetId="14">[4]SILICATE!#REF!</definedName>
    <definedName name="bcqt" localSheetId="9">[4]SILICATE!#REF!</definedName>
    <definedName name="bcqt" localSheetId="4">[14]SILICATE!#REF!</definedName>
    <definedName name="bcqt" localSheetId="3">[4]SILICATE!#REF!</definedName>
    <definedName name="bcqt" localSheetId="13">[4]SILICATE!#REF!</definedName>
    <definedName name="bcqt" localSheetId="19">[4]SILICATE!#REF!</definedName>
    <definedName name="bcqt" localSheetId="12">[4]SILICATE!#REF!</definedName>
    <definedName name="bcqt">[4]SILICATE!#REF!</definedName>
    <definedName name="BCQT1" localSheetId="2" hidden="1">{"'Sheet1'!$L$16"}</definedName>
    <definedName name="BCQT1" localSheetId="10" hidden="1">{"'Sheet1'!$L$16"}</definedName>
    <definedName name="BCQT1" localSheetId="14" hidden="1">{"'Sheet1'!$L$16"}</definedName>
    <definedName name="BCQT1" localSheetId="5" hidden="1">{"'Sheet1'!$L$16"}</definedName>
    <definedName name="BCQT1" localSheetId="4" hidden="1">{"'Sheet1'!$L$16"}</definedName>
    <definedName name="BCQT1" localSheetId="7" hidden="1">{"'Sheet1'!$L$16"}</definedName>
    <definedName name="BCQT1" localSheetId="15" hidden="1">{"'Sheet1'!$L$16"}</definedName>
    <definedName name="BCQT1" localSheetId="3" hidden="1">{"'Sheet1'!$L$16"}</definedName>
    <definedName name="BCQT1" localSheetId="11" hidden="1">{"'Sheet1'!$L$16"}</definedName>
    <definedName name="BCQT1" localSheetId="13" hidden="1">{"'Sheet1'!$L$16"}</definedName>
    <definedName name="BCQT1" localSheetId="19" hidden="1">{"'Sheet1'!$L$16"}</definedName>
    <definedName name="BCQT1" localSheetId="12" hidden="1">{"'Sheet1'!$L$16"}</definedName>
    <definedName name="BCQT1" hidden="1">{"'Sheet1'!$L$16"}</definedName>
    <definedName name="bcqtthien" localSheetId="10">#REF!</definedName>
    <definedName name="bcqtthien" localSheetId="14">#REF!</definedName>
    <definedName name="bcqtthien" localSheetId="9">#REF!</definedName>
    <definedName name="bcqtthien" localSheetId="3">#REF!</definedName>
    <definedName name="bcqtthien" localSheetId="13">#REF!</definedName>
    <definedName name="bcqtthien" localSheetId="19">#REF!</definedName>
    <definedName name="bcqtthien" localSheetId="12">#REF!</definedName>
    <definedName name="bcqtthien">#REF!</definedName>
    <definedName name="BOQ" localSheetId="2">#REF!</definedName>
    <definedName name="BOQ" localSheetId="10">#REF!</definedName>
    <definedName name="BOQ" localSheetId="14">#REF!</definedName>
    <definedName name="BOQ" localSheetId="9">#REF!</definedName>
    <definedName name="BOQ" localSheetId="8">#REF!</definedName>
    <definedName name="BOQ" localSheetId="15">#REF!</definedName>
    <definedName name="BOQ" localSheetId="3">#REF!</definedName>
    <definedName name="BOQ" localSheetId="11">#REF!</definedName>
    <definedName name="BOQ" localSheetId="13">#REF!</definedName>
    <definedName name="BOQ" localSheetId="19">#REF!</definedName>
    <definedName name="BOQ" localSheetId="16">#REF!</definedName>
    <definedName name="BOQ" localSheetId="12">#REF!</definedName>
    <definedName name="BOQ">#REF!</definedName>
    <definedName name="BVCISUMMARY" localSheetId="2">#REF!</definedName>
    <definedName name="BVCISUMMARY" localSheetId="10">#REF!</definedName>
    <definedName name="BVCISUMMARY" localSheetId="14">#REF!</definedName>
    <definedName name="BVCISUMMARY" localSheetId="9">#REF!</definedName>
    <definedName name="BVCISUMMARY" localSheetId="8">#REF!</definedName>
    <definedName name="BVCISUMMARY" localSheetId="15">#REF!</definedName>
    <definedName name="BVCISUMMARY" localSheetId="3">#REF!</definedName>
    <definedName name="BVCISUMMARY" localSheetId="11">#REF!</definedName>
    <definedName name="BVCISUMMARY" localSheetId="13">#REF!</definedName>
    <definedName name="BVCISUMMARY" localSheetId="19">#REF!</definedName>
    <definedName name="BVCISUMMARY" localSheetId="16">#REF!</definedName>
    <definedName name="BVCISUMMARY" localSheetId="12">#REF!</definedName>
    <definedName name="BVCISUMMARY">#REF!</definedName>
    <definedName name="CAPDAT" localSheetId="2">[8]phuluc1!#REF!</definedName>
    <definedName name="CAPDAT" localSheetId="10">[9]phuluc1!#REF!</definedName>
    <definedName name="CAPDAT" localSheetId="14">[5]phuluc1!#REF!</definedName>
    <definedName name="CAPDAT" localSheetId="9">[9]phuluc1!#REF!</definedName>
    <definedName name="CAPDAT" localSheetId="4">#REF!</definedName>
    <definedName name="CAPDAT" localSheetId="15">[10]phuluc1!#REF!</definedName>
    <definedName name="CAPDAT" localSheetId="3">[9]phuluc1!#REF!</definedName>
    <definedName name="CAPDAT" localSheetId="11">[8]phuluc1!#REF!</definedName>
    <definedName name="CAPDAT" localSheetId="13">[5]phuluc1!#REF!</definedName>
    <definedName name="CAPDAT" localSheetId="19">[5]phuluc1!#REF!</definedName>
    <definedName name="CAPDAT" localSheetId="16">[8]phuluc1!#REF!</definedName>
    <definedName name="CAPDAT" localSheetId="12">[8]phuluc1!#REF!</definedName>
    <definedName name="CAPDAT">[9]phuluc1!#REF!</definedName>
    <definedName name="Category_All" localSheetId="2">#REF!</definedName>
    <definedName name="Category_All" localSheetId="10">#REF!</definedName>
    <definedName name="Category_All" localSheetId="14">#REF!</definedName>
    <definedName name="Category_All" localSheetId="9">#REF!</definedName>
    <definedName name="Category_All" localSheetId="8">#REF!</definedName>
    <definedName name="Category_All" localSheetId="15">#REF!</definedName>
    <definedName name="Category_All" localSheetId="3">#REF!</definedName>
    <definedName name="Category_All" localSheetId="11">#REF!</definedName>
    <definedName name="Category_All" localSheetId="13">#REF!</definedName>
    <definedName name="Category_All" localSheetId="19">#REF!</definedName>
    <definedName name="Category_All" localSheetId="16">#REF!</definedName>
    <definedName name="Category_All" localSheetId="12">#REF!</definedName>
    <definedName name="Category_All">#REF!</definedName>
    <definedName name="CATIN">#N/A</definedName>
    <definedName name="CATJYOU">#N/A</definedName>
    <definedName name="CATSYU">#N/A</definedName>
    <definedName name="CATREC">#N/A</definedName>
    <definedName name="COMMON" localSheetId="2">#REF!</definedName>
    <definedName name="COMMON" localSheetId="10">#REF!</definedName>
    <definedName name="COMMON" localSheetId="14">#REF!</definedName>
    <definedName name="COMMON" localSheetId="9">#REF!</definedName>
    <definedName name="COMMON" localSheetId="8">#REF!</definedName>
    <definedName name="COMMON" localSheetId="15">#REF!</definedName>
    <definedName name="COMMON" localSheetId="3">#REF!</definedName>
    <definedName name="COMMON" localSheetId="11">#REF!</definedName>
    <definedName name="COMMON" localSheetId="13">#REF!</definedName>
    <definedName name="COMMON" localSheetId="19">#REF!</definedName>
    <definedName name="COMMON" localSheetId="16">#REF!</definedName>
    <definedName name="COMMON" localSheetId="12">#REF!</definedName>
    <definedName name="COMMON">#REF!</definedName>
    <definedName name="CON_EQP_COS" localSheetId="2">#REF!</definedName>
    <definedName name="CON_EQP_COS" localSheetId="10">#REF!</definedName>
    <definedName name="CON_EQP_COS" localSheetId="14">#REF!</definedName>
    <definedName name="CON_EQP_COS" localSheetId="9">#REF!</definedName>
    <definedName name="CON_EQP_COS" localSheetId="8">#REF!</definedName>
    <definedName name="CON_EQP_COS" localSheetId="15">#REF!</definedName>
    <definedName name="CON_EQP_COS" localSheetId="3">#REF!</definedName>
    <definedName name="CON_EQP_COS" localSheetId="11">#REF!</definedName>
    <definedName name="CON_EQP_COS" localSheetId="13">#REF!</definedName>
    <definedName name="CON_EQP_COS" localSheetId="19">#REF!</definedName>
    <definedName name="CON_EQP_COS" localSheetId="16">#REF!</definedName>
    <definedName name="CON_EQP_COS" localSheetId="12">#REF!</definedName>
    <definedName name="CON_EQP_COS">#REF!</definedName>
    <definedName name="CON_EQP_COST" localSheetId="2">#REF!</definedName>
    <definedName name="CON_EQP_COST" localSheetId="10">#REF!</definedName>
    <definedName name="CON_EQP_COST" localSheetId="14">#REF!</definedName>
    <definedName name="CON_EQP_COST" localSheetId="9">#REF!</definedName>
    <definedName name="CON_EQP_COST" localSheetId="8">#REF!</definedName>
    <definedName name="CON_EQP_COST" localSheetId="15">#REF!</definedName>
    <definedName name="CON_EQP_COST" localSheetId="3">#REF!</definedName>
    <definedName name="CON_EQP_COST" localSheetId="11">#REF!</definedName>
    <definedName name="CON_EQP_COST" localSheetId="13">#REF!</definedName>
    <definedName name="CON_EQP_COST" localSheetId="19">#REF!</definedName>
    <definedName name="CON_EQP_COST" localSheetId="16">#REF!</definedName>
    <definedName name="CON_EQP_COST" localSheetId="12">#REF!</definedName>
    <definedName name="CON_EQP_COST">#REF!</definedName>
    <definedName name="CONST_EQ" localSheetId="2">#REF!</definedName>
    <definedName name="CONST_EQ" localSheetId="10">#REF!</definedName>
    <definedName name="CONST_EQ" localSheetId="14">#REF!</definedName>
    <definedName name="CONST_EQ" localSheetId="9">#REF!</definedName>
    <definedName name="CONST_EQ" localSheetId="8">#REF!</definedName>
    <definedName name="CONST_EQ" localSheetId="15">#REF!</definedName>
    <definedName name="CONST_EQ" localSheetId="3">#REF!</definedName>
    <definedName name="CONST_EQ" localSheetId="11">#REF!</definedName>
    <definedName name="CONST_EQ" localSheetId="13">#REF!</definedName>
    <definedName name="CONST_EQ" localSheetId="19">#REF!</definedName>
    <definedName name="CONST_EQ" localSheetId="16">#REF!</definedName>
    <definedName name="CONST_EQ" localSheetId="12">#REF!</definedName>
    <definedName name="CONST_EQ">#REF!</definedName>
    <definedName name="COVER" localSheetId="2">#REF!</definedName>
    <definedName name="COVER" localSheetId="10">#REF!</definedName>
    <definedName name="COVER" localSheetId="14">#REF!</definedName>
    <definedName name="COVER" localSheetId="9">#REF!</definedName>
    <definedName name="COVER" localSheetId="8">#REF!</definedName>
    <definedName name="COVER" localSheetId="15">#REF!</definedName>
    <definedName name="COVER" localSheetId="3">#REF!</definedName>
    <definedName name="COVER" localSheetId="11">#REF!</definedName>
    <definedName name="COVER" localSheetId="13">#REF!</definedName>
    <definedName name="COVER" localSheetId="19">#REF!</definedName>
    <definedName name="COVER" localSheetId="16">#REF!</definedName>
    <definedName name="COVER" localSheetId="12">#REF!</definedName>
    <definedName name="COVER">#REF!</definedName>
    <definedName name="CRITINST" localSheetId="2">#REF!</definedName>
    <definedName name="CRITINST" localSheetId="10">#REF!</definedName>
    <definedName name="CRITINST" localSheetId="14">#REF!</definedName>
    <definedName name="CRITINST" localSheetId="9">#REF!</definedName>
    <definedName name="CRITINST" localSheetId="8">#REF!</definedName>
    <definedName name="CRITINST" localSheetId="15">#REF!</definedName>
    <definedName name="CRITINST" localSheetId="3">#REF!</definedName>
    <definedName name="CRITINST" localSheetId="11">#REF!</definedName>
    <definedName name="CRITINST" localSheetId="13">#REF!</definedName>
    <definedName name="CRITINST" localSheetId="19">#REF!</definedName>
    <definedName name="CRITINST" localSheetId="16">#REF!</definedName>
    <definedName name="CRITINST" localSheetId="12">#REF!</definedName>
    <definedName name="CRITINST">#REF!</definedName>
    <definedName name="CRITPURC" localSheetId="2">#REF!</definedName>
    <definedName name="CRITPURC" localSheetId="10">#REF!</definedName>
    <definedName name="CRITPURC" localSheetId="14">#REF!</definedName>
    <definedName name="CRITPURC" localSheetId="9">#REF!</definedName>
    <definedName name="CRITPURC" localSheetId="8">#REF!</definedName>
    <definedName name="CRITPURC" localSheetId="15">#REF!</definedName>
    <definedName name="CRITPURC" localSheetId="3">#REF!</definedName>
    <definedName name="CRITPURC" localSheetId="11">#REF!</definedName>
    <definedName name="CRITPURC" localSheetId="13">#REF!</definedName>
    <definedName name="CRITPURC" localSheetId="19">#REF!</definedName>
    <definedName name="CRITPURC" localSheetId="16">#REF!</definedName>
    <definedName name="CRITPURC" localSheetId="12">#REF!</definedName>
    <definedName name="CRITPURC">#REF!</definedName>
    <definedName name="CS_10" localSheetId="2">#REF!</definedName>
    <definedName name="CS_10" localSheetId="10">#REF!</definedName>
    <definedName name="CS_10" localSheetId="14">#REF!</definedName>
    <definedName name="CS_10" localSheetId="9">#REF!</definedName>
    <definedName name="CS_10" localSheetId="8">#REF!</definedName>
    <definedName name="CS_10" localSheetId="15">#REF!</definedName>
    <definedName name="CS_10" localSheetId="3">#REF!</definedName>
    <definedName name="CS_10" localSheetId="11">#REF!</definedName>
    <definedName name="CS_10" localSheetId="13">#REF!</definedName>
    <definedName name="CS_10" localSheetId="19">#REF!</definedName>
    <definedName name="CS_10" localSheetId="16">#REF!</definedName>
    <definedName name="CS_10" localSheetId="12">#REF!</definedName>
    <definedName name="CS_10">#REF!</definedName>
    <definedName name="CS_100" localSheetId="2">#REF!</definedName>
    <definedName name="CS_100" localSheetId="10">#REF!</definedName>
    <definedName name="CS_100" localSheetId="14">#REF!</definedName>
    <definedName name="CS_100" localSheetId="9">#REF!</definedName>
    <definedName name="CS_100" localSheetId="8">#REF!</definedName>
    <definedName name="CS_100" localSheetId="15">#REF!</definedName>
    <definedName name="CS_100" localSheetId="3">#REF!</definedName>
    <definedName name="CS_100" localSheetId="11">#REF!</definedName>
    <definedName name="CS_100" localSheetId="13">#REF!</definedName>
    <definedName name="CS_100" localSheetId="19">#REF!</definedName>
    <definedName name="CS_100" localSheetId="16">#REF!</definedName>
    <definedName name="CS_100" localSheetId="12">#REF!</definedName>
    <definedName name="CS_100">#REF!</definedName>
    <definedName name="CS_10S" localSheetId="2">#REF!</definedName>
    <definedName name="CS_10S" localSheetId="10">#REF!</definedName>
    <definedName name="CS_10S" localSheetId="14">#REF!</definedName>
    <definedName name="CS_10S" localSheetId="9">#REF!</definedName>
    <definedName name="CS_10S" localSheetId="8">#REF!</definedName>
    <definedName name="CS_10S" localSheetId="15">#REF!</definedName>
    <definedName name="CS_10S" localSheetId="3">#REF!</definedName>
    <definedName name="CS_10S" localSheetId="11">#REF!</definedName>
    <definedName name="CS_10S" localSheetId="13">#REF!</definedName>
    <definedName name="CS_10S" localSheetId="19">#REF!</definedName>
    <definedName name="CS_10S" localSheetId="16">#REF!</definedName>
    <definedName name="CS_10S" localSheetId="12">#REF!</definedName>
    <definedName name="CS_10S">#REF!</definedName>
    <definedName name="CS_120" localSheetId="2">#REF!</definedName>
    <definedName name="CS_120" localSheetId="10">#REF!</definedName>
    <definedName name="CS_120" localSheetId="14">#REF!</definedName>
    <definedName name="CS_120" localSheetId="9">#REF!</definedName>
    <definedName name="CS_120" localSheetId="8">#REF!</definedName>
    <definedName name="CS_120" localSheetId="15">#REF!</definedName>
    <definedName name="CS_120" localSheetId="3">#REF!</definedName>
    <definedName name="CS_120" localSheetId="11">#REF!</definedName>
    <definedName name="CS_120" localSheetId="13">#REF!</definedName>
    <definedName name="CS_120" localSheetId="19">#REF!</definedName>
    <definedName name="CS_120" localSheetId="16">#REF!</definedName>
    <definedName name="CS_120" localSheetId="12">#REF!</definedName>
    <definedName name="CS_120">#REF!</definedName>
    <definedName name="CS_140" localSheetId="2">#REF!</definedName>
    <definedName name="CS_140" localSheetId="10">#REF!</definedName>
    <definedName name="CS_140" localSheetId="14">#REF!</definedName>
    <definedName name="CS_140" localSheetId="9">#REF!</definedName>
    <definedName name="CS_140" localSheetId="8">#REF!</definedName>
    <definedName name="CS_140" localSheetId="15">#REF!</definedName>
    <definedName name="CS_140" localSheetId="3">#REF!</definedName>
    <definedName name="CS_140" localSheetId="11">#REF!</definedName>
    <definedName name="CS_140" localSheetId="13">#REF!</definedName>
    <definedName name="CS_140" localSheetId="19">#REF!</definedName>
    <definedName name="CS_140" localSheetId="16">#REF!</definedName>
    <definedName name="CS_140" localSheetId="12">#REF!</definedName>
    <definedName name="CS_140">#REF!</definedName>
    <definedName name="CS_160" localSheetId="2">#REF!</definedName>
    <definedName name="CS_160" localSheetId="10">#REF!</definedName>
    <definedName name="CS_160" localSheetId="14">#REF!</definedName>
    <definedName name="CS_160" localSheetId="9">#REF!</definedName>
    <definedName name="CS_160" localSheetId="8">#REF!</definedName>
    <definedName name="CS_160" localSheetId="15">#REF!</definedName>
    <definedName name="CS_160" localSheetId="3">#REF!</definedName>
    <definedName name="CS_160" localSheetId="11">#REF!</definedName>
    <definedName name="CS_160" localSheetId="13">#REF!</definedName>
    <definedName name="CS_160" localSheetId="19">#REF!</definedName>
    <definedName name="CS_160" localSheetId="16">#REF!</definedName>
    <definedName name="CS_160" localSheetId="12">#REF!</definedName>
    <definedName name="CS_160">#REF!</definedName>
    <definedName name="CS_20" localSheetId="2">#REF!</definedName>
    <definedName name="CS_20" localSheetId="10">#REF!</definedName>
    <definedName name="CS_20" localSheetId="14">#REF!</definedName>
    <definedName name="CS_20" localSheetId="9">#REF!</definedName>
    <definedName name="CS_20" localSheetId="8">#REF!</definedName>
    <definedName name="CS_20" localSheetId="15">#REF!</definedName>
    <definedName name="CS_20" localSheetId="3">#REF!</definedName>
    <definedName name="CS_20" localSheetId="11">#REF!</definedName>
    <definedName name="CS_20" localSheetId="13">#REF!</definedName>
    <definedName name="CS_20" localSheetId="19">#REF!</definedName>
    <definedName name="CS_20" localSheetId="16">#REF!</definedName>
    <definedName name="CS_20" localSheetId="12">#REF!</definedName>
    <definedName name="CS_20">#REF!</definedName>
    <definedName name="CS_30" localSheetId="2">#REF!</definedName>
    <definedName name="CS_30" localSheetId="10">#REF!</definedName>
    <definedName name="CS_30" localSheetId="14">#REF!</definedName>
    <definedName name="CS_30" localSheetId="9">#REF!</definedName>
    <definedName name="CS_30" localSheetId="8">#REF!</definedName>
    <definedName name="CS_30" localSheetId="15">#REF!</definedName>
    <definedName name="CS_30" localSheetId="3">#REF!</definedName>
    <definedName name="CS_30" localSheetId="11">#REF!</definedName>
    <definedName name="CS_30" localSheetId="13">#REF!</definedName>
    <definedName name="CS_30" localSheetId="19">#REF!</definedName>
    <definedName name="CS_30" localSheetId="16">#REF!</definedName>
    <definedName name="CS_30" localSheetId="12">#REF!</definedName>
    <definedName name="CS_30">#REF!</definedName>
    <definedName name="CS_40" localSheetId="2">#REF!</definedName>
    <definedName name="CS_40" localSheetId="10">#REF!</definedName>
    <definedName name="CS_40" localSheetId="14">#REF!</definedName>
    <definedName name="CS_40" localSheetId="9">#REF!</definedName>
    <definedName name="CS_40" localSheetId="8">#REF!</definedName>
    <definedName name="CS_40" localSheetId="15">#REF!</definedName>
    <definedName name="CS_40" localSheetId="3">#REF!</definedName>
    <definedName name="CS_40" localSheetId="11">#REF!</definedName>
    <definedName name="CS_40" localSheetId="13">#REF!</definedName>
    <definedName name="CS_40" localSheetId="19">#REF!</definedName>
    <definedName name="CS_40" localSheetId="16">#REF!</definedName>
    <definedName name="CS_40" localSheetId="12">#REF!</definedName>
    <definedName name="CS_40">#REF!</definedName>
    <definedName name="CS_40S" localSheetId="2">#REF!</definedName>
    <definedName name="CS_40S" localSheetId="10">#REF!</definedName>
    <definedName name="CS_40S" localSheetId="14">#REF!</definedName>
    <definedName name="CS_40S" localSheetId="9">#REF!</definedName>
    <definedName name="CS_40S" localSheetId="8">#REF!</definedName>
    <definedName name="CS_40S" localSheetId="15">#REF!</definedName>
    <definedName name="CS_40S" localSheetId="3">#REF!</definedName>
    <definedName name="CS_40S" localSheetId="11">#REF!</definedName>
    <definedName name="CS_40S" localSheetId="13">#REF!</definedName>
    <definedName name="CS_40S" localSheetId="19">#REF!</definedName>
    <definedName name="CS_40S" localSheetId="16">#REF!</definedName>
    <definedName name="CS_40S" localSheetId="12">#REF!</definedName>
    <definedName name="CS_40S">#REF!</definedName>
    <definedName name="CS_5S" localSheetId="2">#REF!</definedName>
    <definedName name="CS_5S" localSheetId="10">#REF!</definedName>
    <definedName name="CS_5S" localSheetId="14">#REF!</definedName>
    <definedName name="CS_5S" localSheetId="9">#REF!</definedName>
    <definedName name="CS_5S" localSheetId="8">#REF!</definedName>
    <definedName name="CS_5S" localSheetId="15">#REF!</definedName>
    <definedName name="CS_5S" localSheetId="3">#REF!</definedName>
    <definedName name="CS_5S" localSheetId="11">#REF!</definedName>
    <definedName name="CS_5S" localSheetId="13">#REF!</definedName>
    <definedName name="CS_5S" localSheetId="19">#REF!</definedName>
    <definedName name="CS_5S" localSheetId="16">#REF!</definedName>
    <definedName name="CS_5S" localSheetId="12">#REF!</definedName>
    <definedName name="CS_5S">#REF!</definedName>
    <definedName name="CS_60" localSheetId="2">#REF!</definedName>
    <definedName name="CS_60" localSheetId="10">#REF!</definedName>
    <definedName name="CS_60" localSheetId="14">#REF!</definedName>
    <definedName name="CS_60" localSheetId="9">#REF!</definedName>
    <definedName name="CS_60" localSheetId="8">#REF!</definedName>
    <definedName name="CS_60" localSheetId="15">#REF!</definedName>
    <definedName name="CS_60" localSheetId="3">#REF!</definedName>
    <definedName name="CS_60" localSheetId="11">#REF!</definedName>
    <definedName name="CS_60" localSheetId="13">#REF!</definedName>
    <definedName name="CS_60" localSheetId="19">#REF!</definedName>
    <definedName name="CS_60" localSheetId="16">#REF!</definedName>
    <definedName name="CS_60" localSheetId="12">#REF!</definedName>
    <definedName name="CS_60">#REF!</definedName>
    <definedName name="CS_80" localSheetId="2">#REF!</definedName>
    <definedName name="CS_80" localSheetId="10">#REF!</definedName>
    <definedName name="CS_80" localSheetId="14">#REF!</definedName>
    <definedName name="CS_80" localSheetId="9">#REF!</definedName>
    <definedName name="CS_80" localSheetId="8">#REF!</definedName>
    <definedName name="CS_80" localSheetId="15">#REF!</definedName>
    <definedName name="CS_80" localSheetId="3">#REF!</definedName>
    <definedName name="CS_80" localSheetId="11">#REF!</definedName>
    <definedName name="CS_80" localSheetId="13">#REF!</definedName>
    <definedName name="CS_80" localSheetId="19">#REF!</definedName>
    <definedName name="CS_80" localSheetId="16">#REF!</definedName>
    <definedName name="CS_80" localSheetId="12">#REF!</definedName>
    <definedName name="CS_80">#REF!</definedName>
    <definedName name="CS_80S" localSheetId="2">#REF!</definedName>
    <definedName name="CS_80S" localSheetId="10">#REF!</definedName>
    <definedName name="CS_80S" localSheetId="14">#REF!</definedName>
    <definedName name="CS_80S" localSheetId="9">#REF!</definedName>
    <definedName name="CS_80S" localSheetId="8">#REF!</definedName>
    <definedName name="CS_80S" localSheetId="15">#REF!</definedName>
    <definedName name="CS_80S" localSheetId="3">#REF!</definedName>
    <definedName name="CS_80S" localSheetId="11">#REF!</definedName>
    <definedName name="CS_80S" localSheetId="13">#REF!</definedName>
    <definedName name="CS_80S" localSheetId="19">#REF!</definedName>
    <definedName name="CS_80S" localSheetId="16">#REF!</definedName>
    <definedName name="CS_80S" localSheetId="12">#REF!</definedName>
    <definedName name="CS_80S">#REF!</definedName>
    <definedName name="CS_STD" localSheetId="2">#REF!</definedName>
    <definedName name="CS_STD" localSheetId="10">#REF!</definedName>
    <definedName name="CS_STD" localSheetId="14">#REF!</definedName>
    <definedName name="CS_STD" localSheetId="9">#REF!</definedName>
    <definedName name="CS_STD" localSheetId="8">#REF!</definedName>
    <definedName name="CS_STD" localSheetId="15">#REF!</definedName>
    <definedName name="CS_STD" localSheetId="3">#REF!</definedName>
    <definedName name="CS_STD" localSheetId="11">#REF!</definedName>
    <definedName name="CS_STD" localSheetId="13">#REF!</definedName>
    <definedName name="CS_STD" localSheetId="19">#REF!</definedName>
    <definedName name="CS_STD" localSheetId="16">#REF!</definedName>
    <definedName name="CS_STD" localSheetId="12">#REF!</definedName>
    <definedName name="CS_STD">#REF!</definedName>
    <definedName name="CS_XS" localSheetId="2">#REF!</definedName>
    <definedName name="CS_XS" localSheetId="10">#REF!</definedName>
    <definedName name="CS_XS" localSheetId="14">#REF!</definedName>
    <definedName name="CS_XS" localSheetId="9">#REF!</definedName>
    <definedName name="CS_XS" localSheetId="8">#REF!</definedName>
    <definedName name="CS_XS" localSheetId="15">#REF!</definedName>
    <definedName name="CS_XS" localSheetId="3">#REF!</definedName>
    <definedName name="CS_XS" localSheetId="11">#REF!</definedName>
    <definedName name="CS_XS" localSheetId="13">#REF!</definedName>
    <definedName name="CS_XS" localSheetId="19">#REF!</definedName>
    <definedName name="CS_XS" localSheetId="16">#REF!</definedName>
    <definedName name="CS_XS" localSheetId="12">#REF!</definedName>
    <definedName name="CS_XS">#REF!</definedName>
    <definedName name="CS_XXS" localSheetId="2">#REF!</definedName>
    <definedName name="CS_XXS" localSheetId="10">#REF!</definedName>
    <definedName name="CS_XXS" localSheetId="14">#REF!</definedName>
    <definedName name="CS_XXS" localSheetId="9">#REF!</definedName>
    <definedName name="CS_XXS" localSheetId="8">#REF!</definedName>
    <definedName name="CS_XXS" localSheetId="15">#REF!</definedName>
    <definedName name="CS_XXS" localSheetId="3">#REF!</definedName>
    <definedName name="CS_XXS" localSheetId="11">#REF!</definedName>
    <definedName name="CS_XXS" localSheetId="13">#REF!</definedName>
    <definedName name="CS_XXS" localSheetId="19">#REF!</definedName>
    <definedName name="CS_XXS" localSheetId="16">#REF!</definedName>
    <definedName name="CS_XXS" localSheetId="12">#REF!</definedName>
    <definedName name="CS_XXS">#REF!</definedName>
    <definedName name="CURRENCY" localSheetId="2">#REF!</definedName>
    <definedName name="CURRENCY" localSheetId="10">#REF!</definedName>
    <definedName name="CURRENCY" localSheetId="14">#REF!</definedName>
    <definedName name="CURRENCY" localSheetId="9">#REF!</definedName>
    <definedName name="CURRENCY" localSheetId="8">#REF!</definedName>
    <definedName name="CURRENCY" localSheetId="15">#REF!</definedName>
    <definedName name="CURRENCY" localSheetId="3">#REF!</definedName>
    <definedName name="CURRENCY" localSheetId="11">#REF!</definedName>
    <definedName name="CURRENCY" localSheetId="13">#REF!</definedName>
    <definedName name="CURRENCY" localSheetId="19">#REF!</definedName>
    <definedName name="CURRENCY" localSheetId="16">#REF!</definedName>
    <definedName name="CURRENCY" localSheetId="12">#REF!</definedName>
    <definedName name="CURRENCY">#REF!</definedName>
    <definedName name="D_7101A_B" localSheetId="2">#REF!</definedName>
    <definedName name="D_7101A_B" localSheetId="10">#REF!</definedName>
    <definedName name="D_7101A_B" localSheetId="14">#REF!</definedName>
    <definedName name="D_7101A_B" localSheetId="9">#REF!</definedName>
    <definedName name="D_7101A_B" localSheetId="8">#REF!</definedName>
    <definedName name="D_7101A_B" localSheetId="15">#REF!</definedName>
    <definedName name="D_7101A_B" localSheetId="3">#REF!</definedName>
    <definedName name="D_7101A_B" localSheetId="11">#REF!</definedName>
    <definedName name="D_7101A_B" localSheetId="13">#REF!</definedName>
    <definedName name="D_7101A_B" localSheetId="19">#REF!</definedName>
    <definedName name="D_7101A_B" localSheetId="16">#REF!</definedName>
    <definedName name="D_7101A_B" localSheetId="12">#REF!</definedName>
    <definedName name="D_7101A_B">#REF!</definedName>
    <definedName name="_xlnm.Database" localSheetId="2">#REF!</definedName>
    <definedName name="_xlnm.Database" localSheetId="10">#REF!</definedName>
    <definedName name="_xlnm.Database" localSheetId="14">#REF!</definedName>
    <definedName name="_xlnm.Database" localSheetId="9">#REF!</definedName>
    <definedName name="_xlnm.Database" localSheetId="8">#REF!</definedName>
    <definedName name="_xlnm.Database" localSheetId="15">#REF!</definedName>
    <definedName name="_xlnm.Database" localSheetId="3">#REF!</definedName>
    <definedName name="_xlnm.Database" localSheetId="11">#REF!</definedName>
    <definedName name="_xlnm.Database" localSheetId="13">#REF!</definedName>
    <definedName name="_xlnm.Database" localSheetId="19">#REF!</definedName>
    <definedName name="_xlnm.Database" localSheetId="16">#REF!</definedName>
    <definedName name="_xlnm.Database" localSheetId="12">#REF!</definedName>
    <definedName name="_xlnm.Database">#REF!</definedName>
    <definedName name="DSUMDATA" localSheetId="2">#REF!</definedName>
    <definedName name="DSUMDATA" localSheetId="10">#REF!</definedName>
    <definedName name="DSUMDATA" localSheetId="14">#REF!</definedName>
    <definedName name="DSUMDATA" localSheetId="9">#REF!</definedName>
    <definedName name="DSUMDATA" localSheetId="8">#REF!</definedName>
    <definedName name="DSUMDATA" localSheetId="15">#REF!</definedName>
    <definedName name="DSUMDATA" localSheetId="3">#REF!</definedName>
    <definedName name="DSUMDATA" localSheetId="11">#REF!</definedName>
    <definedName name="DSUMDATA" localSheetId="13">#REF!</definedName>
    <definedName name="DSUMDATA" localSheetId="19">#REF!</definedName>
    <definedName name="DSUMDATA" localSheetId="16">#REF!</definedName>
    <definedName name="DSUMDATA" localSheetId="12">#REF!</definedName>
    <definedName name="DSUMDATA">#REF!</definedName>
    <definedName name="EEEREF" localSheetId="2" hidden="1">{"'Sheet1'!$L$16"}</definedName>
    <definedName name="EEEREF" localSheetId="10" hidden="1">{"'Sheet1'!$L$16"}</definedName>
    <definedName name="EEEREF" localSheetId="14" hidden="1">{"'Sheet1'!$L$16"}</definedName>
    <definedName name="EEEREF" localSheetId="5" hidden="1">{"'Sheet1'!$L$16"}</definedName>
    <definedName name="EEEREF" localSheetId="4" hidden="1">{"'Sheet1'!$L$16"}</definedName>
    <definedName name="EEEREF" localSheetId="7" hidden="1">{"'Sheet1'!$L$16"}</definedName>
    <definedName name="EEEREF" localSheetId="15" hidden="1">{"'Sheet1'!$L$16"}</definedName>
    <definedName name="EEEREF" localSheetId="3" hidden="1">{"'Sheet1'!$L$16"}</definedName>
    <definedName name="EEEREF" localSheetId="11" hidden="1">{"'Sheet1'!$L$16"}</definedName>
    <definedName name="EEEREF" localSheetId="13" hidden="1">{"'Sheet1'!$L$16"}</definedName>
    <definedName name="EEEREF" localSheetId="19" hidden="1">{"'Sheet1'!$L$16"}</definedName>
    <definedName name="EEEREF" localSheetId="12" hidden="1">{"'Sheet1'!$L$16"}</definedName>
    <definedName name="EEEREF" hidden="1">{"'Sheet1'!$L$16"}</definedName>
    <definedName name="End_1" localSheetId="2">#REF!</definedName>
    <definedName name="End_1" localSheetId="10">#REF!</definedName>
    <definedName name="End_1" localSheetId="14">#REF!</definedName>
    <definedName name="End_1" localSheetId="9">#REF!</definedName>
    <definedName name="End_1" localSheetId="8">#REF!</definedName>
    <definedName name="End_1" localSheetId="15">#REF!</definedName>
    <definedName name="End_1" localSheetId="3">#REF!</definedName>
    <definedName name="End_1" localSheetId="11">#REF!</definedName>
    <definedName name="End_1" localSheetId="13">#REF!</definedName>
    <definedName name="End_1" localSheetId="19">#REF!</definedName>
    <definedName name="End_1" localSheetId="16">#REF!</definedName>
    <definedName name="End_1" localSheetId="12">#REF!</definedName>
    <definedName name="End_1">#REF!</definedName>
    <definedName name="End_10" localSheetId="2">#REF!</definedName>
    <definedName name="End_10" localSheetId="10">#REF!</definedName>
    <definedName name="End_10" localSheetId="14">#REF!</definedName>
    <definedName name="End_10" localSheetId="9">#REF!</definedName>
    <definedName name="End_10" localSheetId="8">#REF!</definedName>
    <definedName name="End_10" localSheetId="15">#REF!</definedName>
    <definedName name="End_10" localSheetId="3">#REF!</definedName>
    <definedName name="End_10" localSheetId="11">#REF!</definedName>
    <definedName name="End_10" localSheetId="13">#REF!</definedName>
    <definedName name="End_10" localSheetId="19">#REF!</definedName>
    <definedName name="End_10" localSheetId="16">#REF!</definedName>
    <definedName name="End_10" localSheetId="12">#REF!</definedName>
    <definedName name="End_10">#REF!</definedName>
    <definedName name="End_11" localSheetId="2">#REF!</definedName>
    <definedName name="End_11" localSheetId="10">#REF!</definedName>
    <definedName name="End_11" localSheetId="14">#REF!</definedName>
    <definedName name="End_11" localSheetId="9">#REF!</definedName>
    <definedName name="End_11" localSheetId="8">#REF!</definedName>
    <definedName name="End_11" localSheetId="15">#REF!</definedName>
    <definedName name="End_11" localSheetId="3">#REF!</definedName>
    <definedName name="End_11" localSheetId="11">#REF!</definedName>
    <definedName name="End_11" localSheetId="13">#REF!</definedName>
    <definedName name="End_11" localSheetId="19">#REF!</definedName>
    <definedName name="End_11" localSheetId="16">#REF!</definedName>
    <definedName name="End_11" localSheetId="12">#REF!</definedName>
    <definedName name="End_11">#REF!</definedName>
    <definedName name="End_12" localSheetId="2">#REF!</definedName>
    <definedName name="End_12" localSheetId="10">#REF!</definedName>
    <definedName name="End_12" localSheetId="14">#REF!</definedName>
    <definedName name="End_12" localSheetId="9">#REF!</definedName>
    <definedName name="End_12" localSheetId="8">#REF!</definedName>
    <definedName name="End_12" localSheetId="15">#REF!</definedName>
    <definedName name="End_12" localSheetId="3">#REF!</definedName>
    <definedName name="End_12" localSheetId="11">#REF!</definedName>
    <definedName name="End_12" localSheetId="13">#REF!</definedName>
    <definedName name="End_12" localSheetId="19">#REF!</definedName>
    <definedName name="End_12" localSheetId="16">#REF!</definedName>
    <definedName name="End_12" localSheetId="12">#REF!</definedName>
    <definedName name="End_12">#REF!</definedName>
    <definedName name="End_13" localSheetId="2">#REF!</definedName>
    <definedName name="End_13" localSheetId="10">#REF!</definedName>
    <definedName name="End_13" localSheetId="14">#REF!</definedName>
    <definedName name="End_13" localSheetId="9">#REF!</definedName>
    <definedName name="End_13" localSheetId="8">#REF!</definedName>
    <definedName name="End_13" localSheetId="15">#REF!</definedName>
    <definedName name="End_13" localSheetId="3">#REF!</definedName>
    <definedName name="End_13" localSheetId="11">#REF!</definedName>
    <definedName name="End_13" localSheetId="13">#REF!</definedName>
    <definedName name="End_13" localSheetId="19">#REF!</definedName>
    <definedName name="End_13" localSheetId="16">#REF!</definedName>
    <definedName name="End_13" localSheetId="12">#REF!</definedName>
    <definedName name="End_13">#REF!</definedName>
    <definedName name="End_2" localSheetId="2">#REF!</definedName>
    <definedName name="End_2" localSheetId="10">#REF!</definedName>
    <definedName name="End_2" localSheetId="14">#REF!</definedName>
    <definedName name="End_2" localSheetId="9">#REF!</definedName>
    <definedName name="End_2" localSheetId="8">#REF!</definedName>
    <definedName name="End_2" localSheetId="15">#REF!</definedName>
    <definedName name="End_2" localSheetId="3">#REF!</definedName>
    <definedName name="End_2" localSheetId="11">#REF!</definedName>
    <definedName name="End_2" localSheetId="13">#REF!</definedName>
    <definedName name="End_2" localSheetId="19">#REF!</definedName>
    <definedName name="End_2" localSheetId="16">#REF!</definedName>
    <definedName name="End_2" localSheetId="12">#REF!</definedName>
    <definedName name="End_2">#REF!</definedName>
    <definedName name="End_3" localSheetId="2">#REF!</definedName>
    <definedName name="End_3" localSheetId="10">#REF!</definedName>
    <definedName name="End_3" localSheetId="14">#REF!</definedName>
    <definedName name="End_3" localSheetId="9">#REF!</definedName>
    <definedName name="End_3" localSheetId="8">#REF!</definedName>
    <definedName name="End_3" localSheetId="15">#REF!</definedName>
    <definedName name="End_3" localSheetId="3">#REF!</definedName>
    <definedName name="End_3" localSheetId="11">#REF!</definedName>
    <definedName name="End_3" localSheetId="13">#REF!</definedName>
    <definedName name="End_3" localSheetId="19">#REF!</definedName>
    <definedName name="End_3" localSheetId="16">#REF!</definedName>
    <definedName name="End_3" localSheetId="12">#REF!</definedName>
    <definedName name="End_3">#REF!</definedName>
    <definedName name="End_4" localSheetId="2">#REF!</definedName>
    <definedName name="End_4" localSheetId="10">#REF!</definedName>
    <definedName name="End_4" localSheetId="14">#REF!</definedName>
    <definedName name="End_4" localSheetId="9">#REF!</definedName>
    <definedName name="End_4" localSheetId="8">#REF!</definedName>
    <definedName name="End_4" localSheetId="15">#REF!</definedName>
    <definedName name="End_4" localSheetId="3">#REF!</definedName>
    <definedName name="End_4" localSheetId="11">#REF!</definedName>
    <definedName name="End_4" localSheetId="13">#REF!</definedName>
    <definedName name="End_4" localSheetId="19">#REF!</definedName>
    <definedName name="End_4" localSheetId="16">#REF!</definedName>
    <definedName name="End_4" localSheetId="12">#REF!</definedName>
    <definedName name="End_4">#REF!</definedName>
    <definedName name="End_5" localSheetId="2">#REF!</definedName>
    <definedName name="End_5" localSheetId="10">#REF!</definedName>
    <definedName name="End_5" localSheetId="14">#REF!</definedName>
    <definedName name="End_5" localSheetId="9">#REF!</definedName>
    <definedName name="End_5" localSheetId="8">#REF!</definedName>
    <definedName name="End_5" localSheetId="15">#REF!</definedName>
    <definedName name="End_5" localSheetId="3">#REF!</definedName>
    <definedName name="End_5" localSheetId="11">#REF!</definedName>
    <definedName name="End_5" localSheetId="13">#REF!</definedName>
    <definedName name="End_5" localSheetId="19">#REF!</definedName>
    <definedName name="End_5" localSheetId="16">#REF!</definedName>
    <definedName name="End_5" localSheetId="12">#REF!</definedName>
    <definedName name="End_5">#REF!</definedName>
    <definedName name="End_6" localSheetId="2">#REF!</definedName>
    <definedName name="End_6" localSheetId="10">#REF!</definedName>
    <definedName name="End_6" localSheetId="14">#REF!</definedName>
    <definedName name="End_6" localSheetId="9">#REF!</definedName>
    <definedName name="End_6" localSheetId="8">#REF!</definedName>
    <definedName name="End_6" localSheetId="15">#REF!</definedName>
    <definedName name="End_6" localSheetId="3">#REF!</definedName>
    <definedName name="End_6" localSheetId="11">#REF!</definedName>
    <definedName name="End_6" localSheetId="13">#REF!</definedName>
    <definedName name="End_6" localSheetId="19">#REF!</definedName>
    <definedName name="End_6" localSheetId="16">#REF!</definedName>
    <definedName name="End_6" localSheetId="12">#REF!</definedName>
    <definedName name="End_6">#REF!</definedName>
    <definedName name="End_7" localSheetId="2">#REF!</definedName>
    <definedName name="End_7" localSheetId="10">#REF!</definedName>
    <definedName name="End_7" localSheetId="14">#REF!</definedName>
    <definedName name="End_7" localSheetId="9">#REF!</definedName>
    <definedName name="End_7" localSheetId="8">#REF!</definedName>
    <definedName name="End_7" localSheetId="15">#REF!</definedName>
    <definedName name="End_7" localSheetId="3">#REF!</definedName>
    <definedName name="End_7" localSheetId="11">#REF!</definedName>
    <definedName name="End_7" localSheetId="13">#REF!</definedName>
    <definedName name="End_7" localSheetId="19">#REF!</definedName>
    <definedName name="End_7" localSheetId="16">#REF!</definedName>
    <definedName name="End_7" localSheetId="12">#REF!</definedName>
    <definedName name="End_7">#REF!</definedName>
    <definedName name="End_8" localSheetId="2">#REF!</definedName>
    <definedName name="End_8" localSheetId="10">#REF!</definedName>
    <definedName name="End_8" localSheetId="14">#REF!</definedName>
    <definedName name="End_8" localSheetId="9">#REF!</definedName>
    <definedName name="End_8" localSheetId="8">#REF!</definedName>
    <definedName name="End_8" localSheetId="15">#REF!</definedName>
    <definedName name="End_8" localSheetId="3">#REF!</definedName>
    <definedName name="End_8" localSheetId="11">#REF!</definedName>
    <definedName name="End_8" localSheetId="13">#REF!</definedName>
    <definedName name="End_8" localSheetId="19">#REF!</definedName>
    <definedName name="End_8" localSheetId="16">#REF!</definedName>
    <definedName name="End_8" localSheetId="12">#REF!</definedName>
    <definedName name="End_8">#REF!</definedName>
    <definedName name="End_9" localSheetId="2">#REF!</definedName>
    <definedName name="End_9" localSheetId="10">#REF!</definedName>
    <definedName name="End_9" localSheetId="14">#REF!</definedName>
    <definedName name="End_9" localSheetId="9">#REF!</definedName>
    <definedName name="End_9" localSheetId="8">#REF!</definedName>
    <definedName name="End_9" localSheetId="15">#REF!</definedName>
    <definedName name="End_9" localSheetId="3">#REF!</definedName>
    <definedName name="End_9" localSheetId="11">#REF!</definedName>
    <definedName name="End_9" localSheetId="13">#REF!</definedName>
    <definedName name="End_9" localSheetId="19">#REF!</definedName>
    <definedName name="End_9" localSheetId="16">#REF!</definedName>
    <definedName name="End_9" localSheetId="12">#REF!</definedName>
    <definedName name="End_9">#REF!</definedName>
    <definedName name="f92F56" localSheetId="2">[9]dtxl!#REF!</definedName>
    <definedName name="f92F56" localSheetId="10">[11]dtxl!#REF!</definedName>
    <definedName name="f92F56" localSheetId="14">[9]dtxl!#REF!</definedName>
    <definedName name="f92F56" localSheetId="9">[12]dtxl!#REF!</definedName>
    <definedName name="f92F56" localSheetId="4">[15]dtxl!#REF!</definedName>
    <definedName name="f92F56" localSheetId="8">[12]dtxl!#REF!</definedName>
    <definedName name="f92F56" localSheetId="15">[3]dtxl!#REF!</definedName>
    <definedName name="f92F56" localSheetId="3">[11]dtxl!#REF!</definedName>
    <definedName name="f92F56" localSheetId="11">[3]dtxl!#REF!</definedName>
    <definedName name="f92F56" localSheetId="13">[9]dtxl!#REF!</definedName>
    <definedName name="f92F56" localSheetId="19">[9]dtxl!#REF!</definedName>
    <definedName name="f92F56" localSheetId="16">[9]dtxl!#REF!</definedName>
    <definedName name="f92F56" localSheetId="12">[9]dtxl!#REF!</definedName>
    <definedName name="f92F56">[11]dtxl!#REF!</definedName>
    <definedName name="FACTOR" localSheetId="2">#REF!</definedName>
    <definedName name="FACTOR" localSheetId="10">#REF!</definedName>
    <definedName name="FACTOR" localSheetId="14">#REF!</definedName>
    <definedName name="FACTOR" localSheetId="9">#REF!</definedName>
    <definedName name="FACTOR" localSheetId="8">#REF!</definedName>
    <definedName name="FACTOR" localSheetId="15">#REF!</definedName>
    <definedName name="FACTOR" localSheetId="3">#REF!</definedName>
    <definedName name="FACTOR" localSheetId="11">#REF!</definedName>
    <definedName name="FACTOR" localSheetId="13">#REF!</definedName>
    <definedName name="FACTOR" localSheetId="19">#REF!</definedName>
    <definedName name="FACTOR" localSheetId="16">#REF!</definedName>
    <definedName name="FACTOR" localSheetId="12">#REF!</definedName>
    <definedName name="FACTOR">#REF!</definedName>
    <definedName name="GGG" localSheetId="6" hidden="1">{"'Sheet1'!$L$16"}</definedName>
    <definedName name="GGG" localSheetId="2" hidden="1">{"'Sheet1'!$L$16"}</definedName>
    <definedName name="GGG" localSheetId="10" hidden="1">{"'Sheet1'!$L$16"}</definedName>
    <definedName name="GGG" localSheetId="14" hidden="1">{"'Sheet1'!$L$16"}</definedName>
    <definedName name="GGG" localSheetId="5" hidden="1">{"'Sheet1'!$L$16"}</definedName>
    <definedName name="GGG" localSheetId="4" hidden="1">{"'Sheet1'!$L$16"}</definedName>
    <definedName name="GGG" localSheetId="7" hidden="1">{"'Sheet1'!$L$16"}</definedName>
    <definedName name="GGG" localSheetId="15" hidden="1">{"'Sheet1'!$L$16"}</definedName>
    <definedName name="GGG" localSheetId="3" hidden="1">{"'Sheet1'!$L$16"}</definedName>
    <definedName name="GGG" localSheetId="11" hidden="1">{"'Sheet1'!$L$16"}</definedName>
    <definedName name="GGG" localSheetId="13" hidden="1">{"'Sheet1'!$L$16"}</definedName>
    <definedName name="GGG" localSheetId="19" hidden="1">{"'Sheet1'!$L$16"}</definedName>
    <definedName name="GGG" localSheetId="12" hidden="1">{"'Sheet1'!$L$16"}</definedName>
    <definedName name="GGG" hidden="1">{"'Sheet1'!$L$16"}</definedName>
    <definedName name="HOME_MANP" localSheetId="2">#REF!</definedName>
    <definedName name="HOME_MANP" localSheetId="10">#REF!</definedName>
    <definedName name="HOME_MANP" localSheetId="14">#REF!</definedName>
    <definedName name="HOME_MANP" localSheetId="9">#REF!</definedName>
    <definedName name="HOME_MANP" localSheetId="8">#REF!</definedName>
    <definedName name="HOME_MANP" localSheetId="15">#REF!</definedName>
    <definedName name="HOME_MANP" localSheetId="3">#REF!</definedName>
    <definedName name="HOME_MANP" localSheetId="11">#REF!</definedName>
    <definedName name="HOME_MANP" localSheetId="13">#REF!</definedName>
    <definedName name="HOME_MANP" localSheetId="19">#REF!</definedName>
    <definedName name="HOME_MANP" localSheetId="16">#REF!</definedName>
    <definedName name="HOME_MANP" localSheetId="12">#REF!</definedName>
    <definedName name="HOME_MANP">#REF!</definedName>
    <definedName name="HOMEOFFICE_COST" localSheetId="2">#REF!</definedName>
    <definedName name="HOMEOFFICE_COST" localSheetId="10">#REF!</definedName>
    <definedName name="HOMEOFFICE_COST" localSheetId="14">#REF!</definedName>
    <definedName name="HOMEOFFICE_COST" localSheetId="9">#REF!</definedName>
    <definedName name="HOMEOFFICE_COST" localSheetId="8">#REF!</definedName>
    <definedName name="HOMEOFFICE_COST" localSheetId="15">#REF!</definedName>
    <definedName name="HOMEOFFICE_COST" localSheetId="3">#REF!</definedName>
    <definedName name="HOMEOFFICE_COST" localSheetId="11">#REF!</definedName>
    <definedName name="HOMEOFFICE_COST" localSheetId="13">#REF!</definedName>
    <definedName name="HOMEOFFICE_COST" localSheetId="19">#REF!</definedName>
    <definedName name="HOMEOFFICE_COST" localSheetId="16">#REF!</definedName>
    <definedName name="HOMEOFFICE_COST" localSheetId="12">#REF!</definedName>
    <definedName name="HOMEOFFICE_COST">#REF!</definedName>
    <definedName name="HTML_CodePage" hidden="1">950</definedName>
    <definedName name="HTML_Control" localSheetId="6" hidden="1">{"'Sheet1'!$L$16"}</definedName>
    <definedName name="HTML_Control" localSheetId="2" hidden="1">{"'Sheet1'!$L$16"}</definedName>
    <definedName name="HTML_Control" localSheetId="10" hidden="1">{"'Sheet1'!$L$16"}</definedName>
    <definedName name="HTML_Control" localSheetId="14" hidden="1">{"'Sheet1'!$L$16"}</definedName>
    <definedName name="HTML_Control" localSheetId="9" hidden="1">{"'Sheet1'!$L$16"}</definedName>
    <definedName name="HTML_Control" localSheetId="5" hidden="1">{"'Sheet1'!$L$16"}</definedName>
    <definedName name="HTML_Control" localSheetId="4" hidden="1">{"'Sheet1'!$L$16"}</definedName>
    <definedName name="HTML_Control" localSheetId="7" hidden="1">{"'Sheet1'!$L$16"}</definedName>
    <definedName name="HTML_Control" localSheetId="15" hidden="1">{"'Sheet1'!$L$16"}</definedName>
    <definedName name="HTML_Control" localSheetId="3" hidden="1">{"'Sheet1'!$L$16"}</definedName>
    <definedName name="HTML_Control" localSheetId="18" hidden="1">{"'Sheet1'!$L$16"}</definedName>
    <definedName name="HTML_Control" localSheetId="11" hidden="1">{"'Sheet1'!$L$16"}</definedName>
    <definedName name="HTML_Control" localSheetId="13" hidden="1">{"'Sheet1'!$L$16"}</definedName>
    <definedName name="HTML_Control" localSheetId="17" hidden="1">{"'Sheet1'!$L$16"}</definedName>
    <definedName name="HTML_Control" localSheetId="19" hidden="1">{"'Sheet1'!$L$16"}</definedName>
    <definedName name="HTML_Control" localSheetId="16" hidden="1">{"'Sheet1'!$L$16"}</definedName>
    <definedName name="HTML_Control" localSheetId="1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DLAB_COST" localSheetId="2">#REF!</definedName>
    <definedName name="IDLAB_COST" localSheetId="10">#REF!</definedName>
    <definedName name="IDLAB_COST" localSheetId="14">#REF!</definedName>
    <definedName name="IDLAB_COST" localSheetId="9">#REF!</definedName>
    <definedName name="IDLAB_COST" localSheetId="8">#REF!</definedName>
    <definedName name="IDLAB_COST" localSheetId="15">#REF!</definedName>
    <definedName name="IDLAB_COST" localSheetId="3">#REF!</definedName>
    <definedName name="IDLAB_COST" localSheetId="11">#REF!</definedName>
    <definedName name="IDLAB_COST" localSheetId="13">#REF!</definedName>
    <definedName name="IDLAB_COST" localSheetId="19">#REF!</definedName>
    <definedName name="IDLAB_COST" localSheetId="16">#REF!</definedName>
    <definedName name="IDLAB_COST" localSheetId="12">#REF!</definedName>
    <definedName name="IDLAB_COST">#REF!</definedName>
    <definedName name="IND_LAB" localSheetId="2">#REF!</definedName>
    <definedName name="IND_LAB" localSheetId="10">#REF!</definedName>
    <definedName name="IND_LAB" localSheetId="14">#REF!</definedName>
    <definedName name="IND_LAB" localSheetId="9">#REF!</definedName>
    <definedName name="IND_LAB" localSheetId="8">#REF!</definedName>
    <definedName name="IND_LAB" localSheetId="15">#REF!</definedName>
    <definedName name="IND_LAB" localSheetId="3">#REF!</definedName>
    <definedName name="IND_LAB" localSheetId="11">#REF!</definedName>
    <definedName name="IND_LAB" localSheetId="13">#REF!</definedName>
    <definedName name="IND_LAB" localSheetId="19">#REF!</definedName>
    <definedName name="IND_LAB" localSheetId="16">#REF!</definedName>
    <definedName name="IND_LAB" localSheetId="12">#REF!</definedName>
    <definedName name="IND_LAB">#REF!</definedName>
    <definedName name="INDMANP" localSheetId="2">#REF!</definedName>
    <definedName name="INDMANP" localSheetId="10">#REF!</definedName>
    <definedName name="INDMANP" localSheetId="14">#REF!</definedName>
    <definedName name="INDMANP" localSheetId="9">#REF!</definedName>
    <definedName name="INDMANP" localSheetId="8">#REF!</definedName>
    <definedName name="INDMANP" localSheetId="15">#REF!</definedName>
    <definedName name="INDMANP" localSheetId="3">#REF!</definedName>
    <definedName name="INDMANP" localSheetId="11">#REF!</definedName>
    <definedName name="INDMANP" localSheetId="13">#REF!</definedName>
    <definedName name="INDMANP" localSheetId="19">#REF!</definedName>
    <definedName name="INDMANP" localSheetId="16">#REF!</definedName>
    <definedName name="INDMANP" localSheetId="12">#REF!</definedName>
    <definedName name="INDMANP">#REF!</definedName>
    <definedName name="MAJ_CON_EQP" localSheetId="2">#REF!</definedName>
    <definedName name="MAJ_CON_EQP" localSheetId="10">#REF!</definedName>
    <definedName name="MAJ_CON_EQP" localSheetId="14">#REF!</definedName>
    <definedName name="MAJ_CON_EQP" localSheetId="9">#REF!</definedName>
    <definedName name="MAJ_CON_EQP" localSheetId="8">#REF!</definedName>
    <definedName name="MAJ_CON_EQP" localSheetId="15">#REF!</definedName>
    <definedName name="MAJ_CON_EQP" localSheetId="3">#REF!</definedName>
    <definedName name="MAJ_CON_EQP" localSheetId="11">#REF!</definedName>
    <definedName name="MAJ_CON_EQP" localSheetId="13">#REF!</definedName>
    <definedName name="MAJ_CON_EQP" localSheetId="19">#REF!</definedName>
    <definedName name="MAJ_CON_EQP" localSheetId="16">#REF!</definedName>
    <definedName name="MAJ_CON_EQP" localSheetId="12">#REF!</definedName>
    <definedName name="MAJ_CON_EQP">#REF!</definedName>
    <definedName name="MG_A" localSheetId="2">#REF!</definedName>
    <definedName name="MG_A" localSheetId="10">#REF!</definedName>
    <definedName name="MG_A" localSheetId="14">#REF!</definedName>
    <definedName name="MG_A" localSheetId="9">#REF!</definedName>
    <definedName name="MG_A" localSheetId="8">#REF!</definedName>
    <definedName name="MG_A" localSheetId="15">#REF!</definedName>
    <definedName name="MG_A" localSheetId="3">#REF!</definedName>
    <definedName name="MG_A" localSheetId="11">#REF!</definedName>
    <definedName name="MG_A" localSheetId="13">#REF!</definedName>
    <definedName name="MG_A" localSheetId="19">#REF!</definedName>
    <definedName name="MG_A" localSheetId="16">#REF!</definedName>
    <definedName name="MG_A" localSheetId="12">#REF!</definedName>
    <definedName name="MG_A">#REF!</definedName>
    <definedName name="mt" localSheetId="10" hidden="1">#REF!</definedName>
    <definedName name="mt" localSheetId="14" hidden="1">#REF!</definedName>
    <definedName name="mt" localSheetId="9" hidden="1">#REF!</definedName>
    <definedName name="mt" localSheetId="5" hidden="1">#REF!</definedName>
    <definedName name="mt" localSheetId="7" hidden="1">#REF!</definedName>
    <definedName name="mt" localSheetId="3" hidden="1">#REF!</definedName>
    <definedName name="mt" localSheetId="13" hidden="1">#REF!</definedName>
    <definedName name="mt" localSheetId="19" hidden="1">#REF!</definedName>
    <definedName name="mt" localSheetId="12" hidden="1">#REF!</definedName>
    <definedName name="mt" hidden="1">#REF!</definedName>
    <definedName name="MTT" localSheetId="10" hidden="1">#REF!</definedName>
    <definedName name="MTT" localSheetId="14" hidden="1">#REF!</definedName>
    <definedName name="MTT" localSheetId="9" hidden="1">#REF!</definedName>
    <definedName name="MTT" localSheetId="5" hidden="1">#REF!</definedName>
    <definedName name="MTT" localSheetId="7" hidden="1">#REF!</definedName>
    <definedName name="MTT" localSheetId="3" hidden="1">#REF!</definedName>
    <definedName name="MTT" localSheetId="13" hidden="1">#REF!</definedName>
    <definedName name="MTT" localSheetId="19" hidden="1">#REF!</definedName>
    <definedName name="MTT" localSheetId="12" hidden="1">#REF!</definedName>
    <definedName name="MTT" hidden="1">#REF!</definedName>
    <definedName name="MTTT" localSheetId="10" hidden="1">#REF!</definedName>
    <definedName name="MTTT" localSheetId="14" hidden="1">#REF!</definedName>
    <definedName name="MTTT" localSheetId="9" hidden="1">#REF!</definedName>
    <definedName name="MTTT" localSheetId="5" hidden="1">#REF!</definedName>
    <definedName name="MTTT" localSheetId="7" hidden="1">#REF!</definedName>
    <definedName name="MTTT" localSheetId="3" hidden="1">#REF!</definedName>
    <definedName name="MTTT" localSheetId="13" hidden="1">#REF!</definedName>
    <definedName name="MTTT" localSheetId="19" hidden="1">#REF!</definedName>
    <definedName name="MTTT" localSheetId="12" hidden="1">#REF!</definedName>
    <definedName name="MTTT" hidden="1">#REF!</definedName>
    <definedName name="NAM" localSheetId="2" hidden="1">#REF!</definedName>
    <definedName name="NAM" localSheetId="10" hidden="1">#REF!</definedName>
    <definedName name="NAM" localSheetId="14" hidden="1">#REF!</definedName>
    <definedName name="NAM" localSheetId="9" hidden="1">#REF!</definedName>
    <definedName name="NAM" localSheetId="5" hidden="1">#REF!</definedName>
    <definedName name="NAM" localSheetId="7" hidden="1">#REF!</definedName>
    <definedName name="NAM" localSheetId="15" hidden="1">#REF!</definedName>
    <definedName name="NAM" localSheetId="3" hidden="1">#REF!</definedName>
    <definedName name="NAM" localSheetId="11" hidden="1">#REF!</definedName>
    <definedName name="NAM" localSheetId="13" hidden="1">#REF!</definedName>
    <definedName name="NAM" localSheetId="19" hidden="1">#REF!</definedName>
    <definedName name="NAM" localSheetId="16" hidden="1">#REF!</definedName>
    <definedName name="NAM" localSheetId="12" hidden="1">#REF!</definedName>
    <definedName name="NAM" hidden="1">#REF!</definedName>
    <definedName name="NET" localSheetId="2">#REF!</definedName>
    <definedName name="NET" localSheetId="10">#REF!</definedName>
    <definedName name="NET" localSheetId="14">#REF!</definedName>
    <definedName name="NET" localSheetId="9">#REF!</definedName>
    <definedName name="NET" localSheetId="8">#REF!</definedName>
    <definedName name="NET" localSheetId="15">#REF!</definedName>
    <definedName name="NET" localSheetId="3">#REF!</definedName>
    <definedName name="NET" localSheetId="11">#REF!</definedName>
    <definedName name="NET" localSheetId="13">#REF!</definedName>
    <definedName name="NET" localSheetId="19">#REF!</definedName>
    <definedName name="NET" localSheetId="16">#REF!</definedName>
    <definedName name="NET" localSheetId="12">#REF!</definedName>
    <definedName name="NET">#REF!</definedName>
    <definedName name="NET_1" localSheetId="2">#REF!</definedName>
    <definedName name="NET_1" localSheetId="10">#REF!</definedName>
    <definedName name="NET_1" localSheetId="14">#REF!</definedName>
    <definedName name="NET_1" localSheetId="9">#REF!</definedName>
    <definedName name="NET_1" localSheetId="8">#REF!</definedName>
    <definedName name="NET_1" localSheetId="15">#REF!</definedName>
    <definedName name="NET_1" localSheetId="3">#REF!</definedName>
    <definedName name="NET_1" localSheetId="11">#REF!</definedName>
    <definedName name="NET_1" localSheetId="13">#REF!</definedName>
    <definedName name="NET_1" localSheetId="19">#REF!</definedName>
    <definedName name="NET_1" localSheetId="16">#REF!</definedName>
    <definedName name="NET_1" localSheetId="12">#REF!</definedName>
    <definedName name="NET_1">#REF!</definedName>
    <definedName name="NET_ANA" localSheetId="2">#REF!</definedName>
    <definedName name="NET_ANA" localSheetId="10">#REF!</definedName>
    <definedName name="NET_ANA" localSheetId="14">#REF!</definedName>
    <definedName name="NET_ANA" localSheetId="9">#REF!</definedName>
    <definedName name="NET_ANA" localSheetId="8">#REF!</definedName>
    <definedName name="NET_ANA" localSheetId="15">#REF!</definedName>
    <definedName name="NET_ANA" localSheetId="3">#REF!</definedName>
    <definedName name="NET_ANA" localSheetId="11">#REF!</definedName>
    <definedName name="NET_ANA" localSheetId="13">#REF!</definedName>
    <definedName name="NET_ANA" localSheetId="19">#REF!</definedName>
    <definedName name="NET_ANA" localSheetId="16">#REF!</definedName>
    <definedName name="NET_ANA" localSheetId="12">#REF!</definedName>
    <definedName name="NET_ANA">#REF!</definedName>
    <definedName name="NET_ANA_1" localSheetId="2">#REF!</definedName>
    <definedName name="NET_ANA_1" localSheetId="10">#REF!</definedName>
    <definedName name="NET_ANA_1" localSheetId="14">#REF!</definedName>
    <definedName name="NET_ANA_1" localSheetId="9">#REF!</definedName>
    <definedName name="NET_ANA_1" localSheetId="8">#REF!</definedName>
    <definedName name="NET_ANA_1" localSheetId="15">#REF!</definedName>
    <definedName name="NET_ANA_1" localSheetId="3">#REF!</definedName>
    <definedName name="NET_ANA_1" localSheetId="11">#REF!</definedName>
    <definedName name="NET_ANA_1" localSheetId="13">#REF!</definedName>
    <definedName name="NET_ANA_1" localSheetId="19">#REF!</definedName>
    <definedName name="NET_ANA_1" localSheetId="16">#REF!</definedName>
    <definedName name="NET_ANA_1" localSheetId="12">#REF!</definedName>
    <definedName name="NET_ANA_1">#REF!</definedName>
    <definedName name="NET_ANA_2" localSheetId="2">#REF!</definedName>
    <definedName name="NET_ANA_2" localSheetId="10">#REF!</definedName>
    <definedName name="NET_ANA_2" localSheetId="14">#REF!</definedName>
    <definedName name="NET_ANA_2" localSheetId="9">#REF!</definedName>
    <definedName name="NET_ANA_2" localSheetId="8">#REF!</definedName>
    <definedName name="NET_ANA_2" localSheetId="15">#REF!</definedName>
    <definedName name="NET_ANA_2" localSheetId="3">#REF!</definedName>
    <definedName name="NET_ANA_2" localSheetId="11">#REF!</definedName>
    <definedName name="NET_ANA_2" localSheetId="13">#REF!</definedName>
    <definedName name="NET_ANA_2" localSheetId="19">#REF!</definedName>
    <definedName name="NET_ANA_2" localSheetId="16">#REF!</definedName>
    <definedName name="NET_ANA_2" localSheetId="12">#REF!</definedName>
    <definedName name="NET_ANA_2">#REF!</definedName>
    <definedName name="POI" localSheetId="10" hidden="1">#REF!</definedName>
    <definedName name="POI" localSheetId="14" hidden="1">#REF!</definedName>
    <definedName name="POI" localSheetId="9" hidden="1">#REF!</definedName>
    <definedName name="POI" localSheetId="5" hidden="1">#REF!</definedName>
    <definedName name="POI" localSheetId="7" hidden="1">#REF!</definedName>
    <definedName name="POI" localSheetId="3" hidden="1">#REF!</definedName>
    <definedName name="POI" localSheetId="13" hidden="1">#REF!</definedName>
    <definedName name="POI" localSheetId="19" hidden="1">#REF!</definedName>
    <definedName name="POI" localSheetId="12" hidden="1">#REF!</definedName>
    <definedName name="POI" hidden="1">#REF!</definedName>
    <definedName name="PRICE" localSheetId="2">#REF!</definedName>
    <definedName name="PRICE" localSheetId="10">#REF!</definedName>
    <definedName name="PRICE" localSheetId="14">#REF!</definedName>
    <definedName name="PRICE" localSheetId="9">#REF!</definedName>
    <definedName name="PRICE" localSheetId="8">#REF!</definedName>
    <definedName name="PRICE" localSheetId="15">#REF!</definedName>
    <definedName name="PRICE" localSheetId="3">#REF!</definedName>
    <definedName name="PRICE" localSheetId="11">#REF!</definedName>
    <definedName name="PRICE" localSheetId="13">#REF!</definedName>
    <definedName name="PRICE" localSheetId="19">#REF!</definedName>
    <definedName name="PRICE" localSheetId="16">#REF!</definedName>
    <definedName name="PRICE" localSheetId="12">#REF!</definedName>
    <definedName name="PRICE">#REF!</definedName>
    <definedName name="PRICE1" localSheetId="2">#REF!</definedName>
    <definedName name="PRICE1" localSheetId="10">#REF!</definedName>
    <definedName name="PRICE1" localSheetId="14">#REF!</definedName>
    <definedName name="PRICE1" localSheetId="9">#REF!</definedName>
    <definedName name="PRICE1" localSheetId="8">#REF!</definedName>
    <definedName name="PRICE1" localSheetId="15">#REF!</definedName>
    <definedName name="PRICE1" localSheetId="3">#REF!</definedName>
    <definedName name="PRICE1" localSheetId="11">#REF!</definedName>
    <definedName name="PRICE1" localSheetId="13">#REF!</definedName>
    <definedName name="PRICE1" localSheetId="19">#REF!</definedName>
    <definedName name="PRICE1" localSheetId="16">#REF!</definedName>
    <definedName name="PRICE1" localSheetId="12">#REF!</definedName>
    <definedName name="PRICE1">#REF!</definedName>
    <definedName name="_xlnm.Print_Area" localSheetId="6">BBCGTL!$A$1:$K$43</definedName>
    <definedName name="_xlnm.Print_Area" localSheetId="2">BCQT!$A$1:$T$63</definedName>
    <definedName name="_xlnm.Print_Area" localSheetId="10">MT!$A$1:$S$40</definedName>
    <definedName name="_xlnm.Print_Area" localSheetId="14">'PA (5)'!$A$1:$W$44</definedName>
    <definedName name="_xlnm.Print_Area" localSheetId="9">PT!$A$1:$R$42</definedName>
    <definedName name="_xlnm.Print_Area" localSheetId="4">'REG. (CHÂN ĐẾ)'!$A$1:$V$24</definedName>
    <definedName name="_xlnm.Print_Area" localSheetId="7">RT!$A$1:$W$43</definedName>
    <definedName name="_xlnm.Print_Area" localSheetId="8">'RT SUM.'!$A$1:$E$40</definedName>
    <definedName name="_xlnm.Print_Area" localSheetId="3">#REF!</definedName>
    <definedName name="_xlnm.Print_Area" localSheetId="1">'TIEU CHUAN'!$A$1:$G$17</definedName>
    <definedName name="_xlnm.Print_Area" localSheetId="18">UL!$A$1:$S$40</definedName>
    <definedName name="_xlnm.Print_Area" localSheetId="11">'UT ống'!$A$1:$T$44</definedName>
    <definedName name="_xlnm.Print_Area" localSheetId="13">'UT(t6)(xuồng)'!$A$1:$T$40</definedName>
    <definedName name="_xlnm.Print_Area" localSheetId="17">UTM!$A$1:$X$42</definedName>
    <definedName name="_xlnm.Print_Area" localSheetId="19">'UTM (8)'!$A$1:$X$41</definedName>
    <definedName name="_xlnm.Print_Area" localSheetId="16">'UTM Riser'!$A$1:$V$37</definedName>
    <definedName name="_xlnm.Print_Area" localSheetId="12">'UT-T'!$A$1:$P$37</definedName>
    <definedName name="_xlnm.Print_Area">#REF!</definedName>
    <definedName name="_xlnm.Print_Titles" localSheetId="2">#REF!</definedName>
    <definedName name="_xlnm.Print_Titles" localSheetId="10">#REF!</definedName>
    <definedName name="_xlnm.Print_Titles" localSheetId="3">#REF!</definedName>
    <definedName name="_xlnm.Print_Titles">#REF!</definedName>
    <definedName name="Print_Titles_MI" localSheetId="2">#REF!</definedName>
    <definedName name="Print_Titles_MI" localSheetId="10">#REF!</definedName>
    <definedName name="Print_Titles_MI" localSheetId="14">#REF!</definedName>
    <definedName name="Print_Titles_MI" localSheetId="9">#REF!</definedName>
    <definedName name="Print_Titles_MI" localSheetId="8">#REF!</definedName>
    <definedName name="Print_Titles_MI" localSheetId="15">#REF!</definedName>
    <definedName name="Print_Titles_MI" localSheetId="3">#REF!</definedName>
    <definedName name="Print_Titles_MI" localSheetId="11">#REF!</definedName>
    <definedName name="Print_Titles_MI" localSheetId="13">#REF!</definedName>
    <definedName name="Print_Titles_MI" localSheetId="19">#REF!</definedName>
    <definedName name="Print_Titles_MI" localSheetId="16">#REF!</definedName>
    <definedName name="Print_Titles_MI" localSheetId="12">#REF!</definedName>
    <definedName name="Print_Titles_MI">#REF!</definedName>
    <definedName name="PRINTA" localSheetId="2">#REF!</definedName>
    <definedName name="PRINTA" localSheetId="10">#REF!</definedName>
    <definedName name="PRINTA" localSheetId="14">#REF!</definedName>
    <definedName name="PRINTA" localSheetId="9">#REF!</definedName>
    <definedName name="PRINTA" localSheetId="8">#REF!</definedName>
    <definedName name="PRINTA" localSheetId="15">#REF!</definedName>
    <definedName name="PRINTA" localSheetId="3">#REF!</definedName>
    <definedName name="PRINTA" localSheetId="11">#REF!</definedName>
    <definedName name="PRINTA" localSheetId="13">#REF!</definedName>
    <definedName name="PRINTA" localSheetId="19">#REF!</definedName>
    <definedName name="PRINTA" localSheetId="16">#REF!</definedName>
    <definedName name="PRINTA" localSheetId="12">#REF!</definedName>
    <definedName name="PRINTA">#REF!</definedName>
    <definedName name="PRINTB" localSheetId="2">#REF!</definedName>
    <definedName name="PRINTB" localSheetId="10">#REF!</definedName>
    <definedName name="PRINTB" localSheetId="14">#REF!</definedName>
    <definedName name="PRINTB" localSheetId="9">#REF!</definedName>
    <definedName name="PRINTB" localSheetId="8">#REF!</definedName>
    <definedName name="PRINTB" localSheetId="15">#REF!</definedName>
    <definedName name="PRINTB" localSheetId="3">#REF!</definedName>
    <definedName name="PRINTB" localSheetId="11">#REF!</definedName>
    <definedName name="PRINTB" localSheetId="13">#REF!</definedName>
    <definedName name="PRINTB" localSheetId="19">#REF!</definedName>
    <definedName name="PRINTB" localSheetId="16">#REF!</definedName>
    <definedName name="PRINTB" localSheetId="12">#REF!</definedName>
    <definedName name="PRINTB">#REF!</definedName>
    <definedName name="PRINTC" localSheetId="2">#REF!</definedName>
    <definedName name="PRINTC" localSheetId="10">#REF!</definedName>
    <definedName name="PRINTC" localSheetId="14">#REF!</definedName>
    <definedName name="PRINTC" localSheetId="9">#REF!</definedName>
    <definedName name="PRINTC" localSheetId="8">#REF!</definedName>
    <definedName name="PRINTC" localSheetId="15">#REF!</definedName>
    <definedName name="PRINTC" localSheetId="3">#REF!</definedName>
    <definedName name="PRINTC" localSheetId="11">#REF!</definedName>
    <definedName name="PRINTC" localSheetId="13">#REF!</definedName>
    <definedName name="PRINTC" localSheetId="19">#REF!</definedName>
    <definedName name="PRINTC" localSheetId="16">#REF!</definedName>
    <definedName name="PRINTC" localSheetId="12">#REF!</definedName>
    <definedName name="PRINTC">#REF!</definedName>
    <definedName name="PROPOSAL" localSheetId="2">#REF!</definedName>
    <definedName name="PROPOSAL" localSheetId="10">#REF!</definedName>
    <definedName name="PROPOSAL" localSheetId="14">#REF!</definedName>
    <definedName name="PROPOSAL" localSheetId="9">#REF!</definedName>
    <definedName name="PROPOSAL" localSheetId="8">#REF!</definedName>
    <definedName name="PROPOSAL" localSheetId="15">#REF!</definedName>
    <definedName name="PROPOSAL" localSheetId="3">#REF!</definedName>
    <definedName name="PROPOSAL" localSheetId="11">#REF!</definedName>
    <definedName name="PROPOSAL" localSheetId="13">#REF!</definedName>
    <definedName name="PROPOSAL" localSheetId="19">#REF!</definedName>
    <definedName name="PROPOSAL" localSheetId="16">#REF!</definedName>
    <definedName name="PROPOSAL" localSheetId="12">#REF!</definedName>
    <definedName name="PROPOSAL">#REF!</definedName>
    <definedName name="PT" localSheetId="2" hidden="1">#REF!</definedName>
    <definedName name="PT" localSheetId="10" hidden="1">#REF!</definedName>
    <definedName name="PT" localSheetId="14" hidden="1">#REF!</definedName>
    <definedName name="PT" localSheetId="9" hidden="1">#REF!</definedName>
    <definedName name="PT" localSheetId="5" hidden="1">#REF!</definedName>
    <definedName name="PT" localSheetId="7" hidden="1">#REF!</definedName>
    <definedName name="PT" localSheetId="3" hidden="1">#REF!</definedName>
    <definedName name="PT" localSheetId="13" hidden="1">#REF!</definedName>
    <definedName name="PT" localSheetId="19" hidden="1">#REF!</definedName>
    <definedName name="PT" localSheetId="16" hidden="1">#REF!</definedName>
    <definedName name="PT" localSheetId="12" hidden="1">#REF!</definedName>
    <definedName name="PT" hidden="1">#REF!</definedName>
    <definedName name="rate">14000</definedName>
    <definedName name="RECOUT">#N/A</definedName>
    <definedName name="RFP003A" localSheetId="2">#REF!</definedName>
    <definedName name="RFP003A" localSheetId="10">#REF!</definedName>
    <definedName name="RFP003A" localSheetId="14">#REF!</definedName>
    <definedName name="RFP003A" localSheetId="9">#REF!</definedName>
    <definedName name="RFP003A" localSheetId="8">#REF!</definedName>
    <definedName name="RFP003A" localSheetId="15">#REF!</definedName>
    <definedName name="RFP003A" localSheetId="3">#REF!</definedName>
    <definedName name="RFP003A" localSheetId="11">#REF!</definedName>
    <definedName name="RFP003A" localSheetId="13">#REF!</definedName>
    <definedName name="RFP003A" localSheetId="19">#REF!</definedName>
    <definedName name="RFP003A" localSheetId="16">#REF!</definedName>
    <definedName name="RFP003A" localSheetId="12">#REF!</definedName>
    <definedName name="RFP003A">#REF!</definedName>
    <definedName name="RFP003B" localSheetId="2">#REF!</definedName>
    <definedName name="RFP003B" localSheetId="10">#REF!</definedName>
    <definedName name="RFP003B" localSheetId="14">#REF!</definedName>
    <definedName name="RFP003B" localSheetId="9">#REF!</definedName>
    <definedName name="RFP003B" localSheetId="8">#REF!</definedName>
    <definedName name="RFP003B" localSheetId="15">#REF!</definedName>
    <definedName name="RFP003B" localSheetId="3">#REF!</definedName>
    <definedName name="RFP003B" localSheetId="11">#REF!</definedName>
    <definedName name="RFP003B" localSheetId="13">#REF!</definedName>
    <definedName name="RFP003B" localSheetId="19">#REF!</definedName>
    <definedName name="RFP003B" localSheetId="16">#REF!</definedName>
    <definedName name="RFP003B" localSheetId="12">#REF!</definedName>
    <definedName name="RFP003B">#REF!</definedName>
    <definedName name="RFP003C" localSheetId="2">#REF!</definedName>
    <definedName name="RFP003C" localSheetId="10">#REF!</definedName>
    <definedName name="RFP003C" localSheetId="14">#REF!</definedName>
    <definedName name="RFP003C" localSheetId="9">#REF!</definedName>
    <definedName name="RFP003C" localSheetId="8">#REF!</definedName>
    <definedName name="RFP003C" localSheetId="15">#REF!</definedName>
    <definedName name="RFP003C" localSheetId="3">#REF!</definedName>
    <definedName name="RFP003C" localSheetId="11">#REF!</definedName>
    <definedName name="RFP003C" localSheetId="13">#REF!</definedName>
    <definedName name="RFP003C" localSheetId="19">#REF!</definedName>
    <definedName name="RFP003C" localSheetId="16">#REF!</definedName>
    <definedName name="RFP003C" localSheetId="12">#REF!</definedName>
    <definedName name="RFP003C">#REF!</definedName>
    <definedName name="RFP003D" localSheetId="2">#REF!</definedName>
    <definedName name="RFP003D" localSheetId="10">#REF!</definedName>
    <definedName name="RFP003D" localSheetId="14">#REF!</definedName>
    <definedName name="RFP003D" localSheetId="9">#REF!</definedName>
    <definedName name="RFP003D" localSheetId="8">#REF!</definedName>
    <definedName name="RFP003D" localSheetId="15">#REF!</definedName>
    <definedName name="RFP003D" localSheetId="3">#REF!</definedName>
    <definedName name="RFP003D" localSheetId="11">#REF!</definedName>
    <definedName name="RFP003D" localSheetId="13">#REF!</definedName>
    <definedName name="RFP003D" localSheetId="19">#REF!</definedName>
    <definedName name="RFP003D" localSheetId="16">#REF!</definedName>
    <definedName name="RFP003D" localSheetId="12">#REF!</definedName>
    <definedName name="RFP003D">#REF!</definedName>
    <definedName name="RFP003E" localSheetId="2">#REF!</definedName>
    <definedName name="RFP003E" localSheetId="10">#REF!</definedName>
    <definedName name="RFP003E" localSheetId="14">#REF!</definedName>
    <definedName name="RFP003E" localSheetId="9">#REF!</definedName>
    <definedName name="RFP003E" localSheetId="8">#REF!</definedName>
    <definedName name="RFP003E" localSheetId="15">#REF!</definedName>
    <definedName name="RFP003E" localSheetId="3">#REF!</definedName>
    <definedName name="RFP003E" localSheetId="11">#REF!</definedName>
    <definedName name="RFP003E" localSheetId="13">#REF!</definedName>
    <definedName name="RFP003E" localSheetId="19">#REF!</definedName>
    <definedName name="RFP003E" localSheetId="16">#REF!</definedName>
    <definedName name="RFP003E" localSheetId="12">#REF!</definedName>
    <definedName name="RFP003E">#REF!</definedName>
    <definedName name="RFP003F" localSheetId="2">#REF!</definedName>
    <definedName name="RFP003F" localSheetId="10">#REF!</definedName>
    <definedName name="RFP003F" localSheetId="14">#REF!</definedName>
    <definedName name="RFP003F" localSheetId="9">#REF!</definedName>
    <definedName name="RFP003F" localSheetId="8">#REF!</definedName>
    <definedName name="RFP003F" localSheetId="15">#REF!</definedName>
    <definedName name="RFP003F" localSheetId="3">#REF!</definedName>
    <definedName name="RFP003F" localSheetId="11">#REF!</definedName>
    <definedName name="RFP003F" localSheetId="13">#REF!</definedName>
    <definedName name="RFP003F" localSheetId="19">#REF!</definedName>
    <definedName name="RFP003F" localSheetId="16">#REF!</definedName>
    <definedName name="RFP003F" localSheetId="12">#REF!</definedName>
    <definedName name="RFP003F">#REF!</definedName>
    <definedName name="SADSD" localSheetId="2" hidden="1">#REF!</definedName>
    <definedName name="SADSD" localSheetId="10" hidden="1">#REF!</definedName>
    <definedName name="SADSD" localSheetId="14" hidden="1">#REF!</definedName>
    <definedName name="SADSD" localSheetId="9" hidden="1">#REF!</definedName>
    <definedName name="SADSD" localSheetId="5" hidden="1">#REF!</definedName>
    <definedName name="SADSD" localSheetId="7" hidden="1">#REF!</definedName>
    <definedName name="SADSD" localSheetId="15" hidden="1">#REF!</definedName>
    <definedName name="SADSD" localSheetId="3" hidden="1">#REF!</definedName>
    <definedName name="SADSD" localSheetId="11" hidden="1">#REF!</definedName>
    <definedName name="SADSD" localSheetId="13" hidden="1">#REF!</definedName>
    <definedName name="SADSD" localSheetId="19" hidden="1">#REF!</definedName>
    <definedName name="SADSD" localSheetId="16" hidden="1">#REF!</definedName>
    <definedName name="SADSD" localSheetId="12" hidden="1">#REF!</definedName>
    <definedName name="SADSD" hidden="1">#REF!</definedName>
    <definedName name="SCH" localSheetId="2">#REF!</definedName>
    <definedName name="SCH" localSheetId="10">#REF!</definedName>
    <definedName name="SCH" localSheetId="14">#REF!</definedName>
    <definedName name="SCH" localSheetId="9">#REF!</definedName>
    <definedName name="SCH" localSheetId="8">#REF!</definedName>
    <definedName name="SCH" localSheetId="15">#REF!</definedName>
    <definedName name="SCH" localSheetId="3">#REF!</definedName>
    <definedName name="SCH" localSheetId="11">#REF!</definedName>
    <definedName name="SCH" localSheetId="13">#REF!</definedName>
    <definedName name="SCH" localSheetId="19">#REF!</definedName>
    <definedName name="SCH" localSheetId="16">#REF!</definedName>
    <definedName name="SCH" localSheetId="12">#REF!</definedName>
    <definedName name="SCH">#REF!</definedName>
    <definedName name="SIZE" localSheetId="2">#REF!</definedName>
    <definedName name="SIZE" localSheetId="10">#REF!</definedName>
    <definedName name="SIZE" localSheetId="14">#REF!</definedName>
    <definedName name="SIZE" localSheetId="9">#REF!</definedName>
    <definedName name="SIZE" localSheetId="8">#REF!</definedName>
    <definedName name="SIZE" localSheetId="15">#REF!</definedName>
    <definedName name="SIZE" localSheetId="3">#REF!</definedName>
    <definedName name="SIZE" localSheetId="11">#REF!</definedName>
    <definedName name="SIZE" localSheetId="13">#REF!</definedName>
    <definedName name="SIZE" localSheetId="19">#REF!</definedName>
    <definedName name="SIZE" localSheetId="16">#REF!</definedName>
    <definedName name="SIZE" localSheetId="12">#REF!</definedName>
    <definedName name="SIZE">#REF!</definedName>
    <definedName name="SORT" localSheetId="2">#REF!</definedName>
    <definedName name="SORT" localSheetId="10">#REF!</definedName>
    <definedName name="SORT" localSheetId="14">#REF!</definedName>
    <definedName name="SORT" localSheetId="9">#REF!</definedName>
    <definedName name="SORT" localSheetId="8">#REF!</definedName>
    <definedName name="SORT" localSheetId="15">#REF!</definedName>
    <definedName name="SORT" localSheetId="3">#REF!</definedName>
    <definedName name="SORT" localSheetId="11">#REF!</definedName>
    <definedName name="SORT" localSheetId="13">#REF!</definedName>
    <definedName name="SORT" localSheetId="19">#REF!</definedName>
    <definedName name="SORT" localSheetId="16">#REF!</definedName>
    <definedName name="SORT" localSheetId="12">#REF!</definedName>
    <definedName name="SORT">#REF!</definedName>
    <definedName name="SPEC" localSheetId="2">#REF!</definedName>
    <definedName name="SPEC" localSheetId="10">#REF!</definedName>
    <definedName name="SPEC" localSheetId="14">#REF!</definedName>
    <definedName name="SPEC" localSheetId="9">#REF!</definedName>
    <definedName name="SPEC" localSheetId="8">#REF!</definedName>
    <definedName name="SPEC" localSheetId="15">#REF!</definedName>
    <definedName name="SPEC" localSheetId="3">#REF!</definedName>
    <definedName name="SPEC" localSheetId="11">#REF!</definedName>
    <definedName name="SPEC" localSheetId="13">#REF!</definedName>
    <definedName name="SPEC" localSheetId="19">#REF!</definedName>
    <definedName name="SPEC" localSheetId="16">#REF!</definedName>
    <definedName name="SPEC" localSheetId="12">#REF!</definedName>
    <definedName name="SPEC">#REF!</definedName>
    <definedName name="SPECSUMMARY" localSheetId="2">#REF!</definedName>
    <definedName name="SPECSUMMARY" localSheetId="10">#REF!</definedName>
    <definedName name="SPECSUMMARY" localSheetId="14">#REF!</definedName>
    <definedName name="SPECSUMMARY" localSheetId="9">#REF!</definedName>
    <definedName name="SPECSUMMARY" localSheetId="8">#REF!</definedName>
    <definedName name="SPECSUMMARY" localSheetId="15">#REF!</definedName>
    <definedName name="SPECSUMMARY" localSheetId="3">#REF!</definedName>
    <definedName name="SPECSUMMARY" localSheetId="11">#REF!</definedName>
    <definedName name="SPECSUMMARY" localSheetId="13">#REF!</definedName>
    <definedName name="SPECSUMMARY" localSheetId="19">#REF!</definedName>
    <definedName name="SPECSUMMARY" localSheetId="16">#REF!</definedName>
    <definedName name="SPECSUMMARY" localSheetId="12">#REF!</definedName>
    <definedName name="SPECSUMMARY">#REF!</definedName>
    <definedName name="Start_1" localSheetId="2">#REF!</definedName>
    <definedName name="Start_1" localSheetId="10">#REF!</definedName>
    <definedName name="Start_1" localSheetId="14">#REF!</definedName>
    <definedName name="Start_1" localSheetId="9">#REF!</definedName>
    <definedName name="Start_1" localSheetId="8">#REF!</definedName>
    <definedName name="Start_1" localSheetId="15">#REF!</definedName>
    <definedName name="Start_1" localSheetId="3">#REF!</definedName>
    <definedName name="Start_1" localSheetId="11">#REF!</definedName>
    <definedName name="Start_1" localSheetId="13">#REF!</definedName>
    <definedName name="Start_1" localSheetId="19">#REF!</definedName>
    <definedName name="Start_1" localSheetId="16">#REF!</definedName>
    <definedName name="Start_1" localSheetId="12">#REF!</definedName>
    <definedName name="Start_1">#REF!</definedName>
    <definedName name="Start_10" localSheetId="2">#REF!</definedName>
    <definedName name="Start_10" localSheetId="10">#REF!</definedName>
    <definedName name="Start_10" localSheetId="14">#REF!</definedName>
    <definedName name="Start_10" localSheetId="9">#REF!</definedName>
    <definedName name="Start_10" localSheetId="8">#REF!</definedName>
    <definedName name="Start_10" localSheetId="15">#REF!</definedName>
    <definedName name="Start_10" localSheetId="3">#REF!</definedName>
    <definedName name="Start_10" localSheetId="11">#REF!</definedName>
    <definedName name="Start_10" localSheetId="13">#REF!</definedName>
    <definedName name="Start_10" localSheetId="19">#REF!</definedName>
    <definedName name="Start_10" localSheetId="16">#REF!</definedName>
    <definedName name="Start_10" localSheetId="12">#REF!</definedName>
    <definedName name="Start_10">#REF!</definedName>
    <definedName name="Start_11" localSheetId="2">#REF!</definedName>
    <definedName name="Start_11" localSheetId="10">#REF!</definedName>
    <definedName name="Start_11" localSheetId="14">#REF!</definedName>
    <definedName name="Start_11" localSheetId="9">#REF!</definedName>
    <definedName name="Start_11" localSheetId="8">#REF!</definedName>
    <definedName name="Start_11" localSheetId="15">#REF!</definedName>
    <definedName name="Start_11" localSheetId="3">#REF!</definedName>
    <definedName name="Start_11" localSheetId="11">#REF!</definedName>
    <definedName name="Start_11" localSheetId="13">#REF!</definedName>
    <definedName name="Start_11" localSheetId="19">#REF!</definedName>
    <definedName name="Start_11" localSheetId="16">#REF!</definedName>
    <definedName name="Start_11" localSheetId="12">#REF!</definedName>
    <definedName name="Start_11">#REF!</definedName>
    <definedName name="Start_12" localSheetId="2">#REF!</definedName>
    <definedName name="Start_12" localSheetId="10">#REF!</definedName>
    <definedName name="Start_12" localSheetId="14">#REF!</definedName>
    <definedName name="Start_12" localSheetId="9">#REF!</definedName>
    <definedName name="Start_12" localSheetId="8">#REF!</definedName>
    <definedName name="Start_12" localSheetId="15">#REF!</definedName>
    <definedName name="Start_12" localSheetId="3">#REF!</definedName>
    <definedName name="Start_12" localSheetId="11">#REF!</definedName>
    <definedName name="Start_12" localSheetId="13">#REF!</definedName>
    <definedName name="Start_12" localSheetId="19">#REF!</definedName>
    <definedName name="Start_12" localSheetId="16">#REF!</definedName>
    <definedName name="Start_12" localSheetId="12">#REF!</definedName>
    <definedName name="Start_12">#REF!</definedName>
    <definedName name="Start_13" localSheetId="2">#REF!</definedName>
    <definedName name="Start_13" localSheetId="10">#REF!</definedName>
    <definedName name="Start_13" localSheetId="14">#REF!</definedName>
    <definedName name="Start_13" localSheetId="9">#REF!</definedName>
    <definedName name="Start_13" localSheetId="8">#REF!</definedName>
    <definedName name="Start_13" localSheetId="15">#REF!</definedName>
    <definedName name="Start_13" localSheetId="3">#REF!</definedName>
    <definedName name="Start_13" localSheetId="11">#REF!</definedName>
    <definedName name="Start_13" localSheetId="13">#REF!</definedName>
    <definedName name="Start_13" localSheetId="19">#REF!</definedName>
    <definedName name="Start_13" localSheetId="16">#REF!</definedName>
    <definedName name="Start_13" localSheetId="12">#REF!</definedName>
    <definedName name="Start_13">#REF!</definedName>
    <definedName name="Start_2" localSheetId="2">#REF!</definedName>
    <definedName name="Start_2" localSheetId="10">#REF!</definedName>
    <definedName name="Start_2" localSheetId="14">#REF!</definedName>
    <definedName name="Start_2" localSheetId="9">#REF!</definedName>
    <definedName name="Start_2" localSheetId="8">#REF!</definedName>
    <definedName name="Start_2" localSheetId="15">#REF!</definedName>
    <definedName name="Start_2" localSheetId="3">#REF!</definedName>
    <definedName name="Start_2" localSheetId="11">#REF!</definedName>
    <definedName name="Start_2" localSheetId="13">#REF!</definedName>
    <definedName name="Start_2" localSheetId="19">#REF!</definedName>
    <definedName name="Start_2" localSheetId="16">#REF!</definedName>
    <definedName name="Start_2" localSheetId="12">#REF!</definedName>
    <definedName name="Start_2">#REF!</definedName>
    <definedName name="Start_3" localSheetId="2">#REF!</definedName>
    <definedName name="Start_3" localSheetId="10">#REF!</definedName>
    <definedName name="Start_3" localSheetId="14">#REF!</definedName>
    <definedName name="Start_3" localSheetId="9">#REF!</definedName>
    <definedName name="Start_3" localSheetId="8">#REF!</definedName>
    <definedName name="Start_3" localSheetId="15">#REF!</definedName>
    <definedName name="Start_3" localSheetId="3">#REF!</definedName>
    <definedName name="Start_3" localSheetId="11">#REF!</definedName>
    <definedName name="Start_3" localSheetId="13">#REF!</definedName>
    <definedName name="Start_3" localSheetId="19">#REF!</definedName>
    <definedName name="Start_3" localSheetId="16">#REF!</definedName>
    <definedName name="Start_3" localSheetId="12">#REF!</definedName>
    <definedName name="Start_3">#REF!</definedName>
    <definedName name="Start_4" localSheetId="2">#REF!</definedName>
    <definedName name="Start_4" localSheetId="10">#REF!</definedName>
    <definedName name="Start_4" localSheetId="14">#REF!</definedName>
    <definedName name="Start_4" localSheetId="9">#REF!</definedName>
    <definedName name="Start_4" localSheetId="8">#REF!</definedName>
    <definedName name="Start_4" localSheetId="15">#REF!</definedName>
    <definedName name="Start_4" localSheetId="3">#REF!</definedName>
    <definedName name="Start_4" localSheetId="11">#REF!</definedName>
    <definedName name="Start_4" localSheetId="13">#REF!</definedName>
    <definedName name="Start_4" localSheetId="19">#REF!</definedName>
    <definedName name="Start_4" localSheetId="16">#REF!</definedName>
    <definedName name="Start_4" localSheetId="12">#REF!</definedName>
    <definedName name="Start_4">#REF!</definedName>
    <definedName name="Start_5" localSheetId="2">#REF!</definedName>
    <definedName name="Start_5" localSheetId="10">#REF!</definedName>
    <definedName name="Start_5" localSheetId="14">#REF!</definedName>
    <definedName name="Start_5" localSheetId="9">#REF!</definedName>
    <definedName name="Start_5" localSheetId="8">#REF!</definedName>
    <definedName name="Start_5" localSheetId="15">#REF!</definedName>
    <definedName name="Start_5" localSheetId="3">#REF!</definedName>
    <definedName name="Start_5" localSheetId="11">#REF!</definedName>
    <definedName name="Start_5" localSheetId="13">#REF!</definedName>
    <definedName name="Start_5" localSheetId="19">#REF!</definedName>
    <definedName name="Start_5" localSheetId="16">#REF!</definedName>
    <definedName name="Start_5" localSheetId="12">#REF!</definedName>
    <definedName name="Start_5">#REF!</definedName>
    <definedName name="Start_6" localSheetId="2">#REF!</definedName>
    <definedName name="Start_6" localSheetId="10">#REF!</definedName>
    <definedName name="Start_6" localSheetId="14">#REF!</definedName>
    <definedName name="Start_6" localSheetId="9">#REF!</definedName>
    <definedName name="Start_6" localSheetId="8">#REF!</definedName>
    <definedName name="Start_6" localSheetId="15">#REF!</definedName>
    <definedName name="Start_6" localSheetId="3">#REF!</definedName>
    <definedName name="Start_6" localSheetId="11">#REF!</definedName>
    <definedName name="Start_6" localSheetId="13">#REF!</definedName>
    <definedName name="Start_6" localSheetId="19">#REF!</definedName>
    <definedName name="Start_6" localSheetId="16">#REF!</definedName>
    <definedName name="Start_6" localSheetId="12">#REF!</definedName>
    <definedName name="Start_6">#REF!</definedName>
    <definedName name="Start_7" localSheetId="2">#REF!</definedName>
    <definedName name="Start_7" localSheetId="10">#REF!</definedName>
    <definedName name="Start_7" localSheetId="14">#REF!</definedName>
    <definedName name="Start_7" localSheetId="9">#REF!</definedName>
    <definedName name="Start_7" localSheetId="8">#REF!</definedName>
    <definedName name="Start_7" localSheetId="15">#REF!</definedName>
    <definedName name="Start_7" localSheetId="3">#REF!</definedName>
    <definedName name="Start_7" localSheetId="11">#REF!</definedName>
    <definedName name="Start_7" localSheetId="13">#REF!</definedName>
    <definedName name="Start_7" localSheetId="19">#REF!</definedName>
    <definedName name="Start_7" localSheetId="16">#REF!</definedName>
    <definedName name="Start_7" localSheetId="12">#REF!</definedName>
    <definedName name="Start_7">#REF!</definedName>
    <definedName name="Start_8" localSheetId="2">#REF!</definedName>
    <definedName name="Start_8" localSheetId="10">#REF!</definedName>
    <definedName name="Start_8" localSheetId="14">#REF!</definedName>
    <definedName name="Start_8" localSheetId="9">#REF!</definedName>
    <definedName name="Start_8" localSheetId="8">#REF!</definedName>
    <definedName name="Start_8" localSheetId="15">#REF!</definedName>
    <definedName name="Start_8" localSheetId="3">#REF!</definedName>
    <definedName name="Start_8" localSheetId="11">#REF!</definedName>
    <definedName name="Start_8" localSheetId="13">#REF!</definedName>
    <definedName name="Start_8" localSheetId="19">#REF!</definedName>
    <definedName name="Start_8" localSheetId="16">#REF!</definedName>
    <definedName name="Start_8" localSheetId="12">#REF!</definedName>
    <definedName name="Start_8">#REF!</definedName>
    <definedName name="Start_9" localSheetId="2">#REF!</definedName>
    <definedName name="Start_9" localSheetId="10">#REF!</definedName>
    <definedName name="Start_9" localSheetId="14">#REF!</definedName>
    <definedName name="Start_9" localSheetId="9">#REF!</definedName>
    <definedName name="Start_9" localSheetId="8">#REF!</definedName>
    <definedName name="Start_9" localSheetId="15">#REF!</definedName>
    <definedName name="Start_9" localSheetId="3">#REF!</definedName>
    <definedName name="Start_9" localSheetId="11">#REF!</definedName>
    <definedName name="Start_9" localSheetId="13">#REF!</definedName>
    <definedName name="Start_9" localSheetId="19">#REF!</definedName>
    <definedName name="Start_9" localSheetId="16">#REF!</definedName>
    <definedName name="Start_9" localSheetId="12">#REF!</definedName>
    <definedName name="Start_9">#REF!</definedName>
    <definedName name="SUMMARY" localSheetId="2">#REF!</definedName>
    <definedName name="SUMMARY" localSheetId="10">#REF!</definedName>
    <definedName name="SUMMARY" localSheetId="14">#REF!</definedName>
    <definedName name="SUMMARY" localSheetId="9">#REF!</definedName>
    <definedName name="SUMMARY" localSheetId="8">#REF!</definedName>
    <definedName name="SUMMARY" localSheetId="15">#REF!</definedName>
    <definedName name="SUMMARY" localSheetId="3">#REF!</definedName>
    <definedName name="SUMMARY" localSheetId="11">#REF!</definedName>
    <definedName name="SUMMARY" localSheetId="13">#REF!</definedName>
    <definedName name="SUMMARY" localSheetId="19">#REF!</definedName>
    <definedName name="SUMMARY" localSheetId="16">#REF!</definedName>
    <definedName name="SUMMARY" localSheetId="12">#REF!</definedName>
    <definedName name="SUMMARY">#REF!</definedName>
    <definedName name="TITAN" localSheetId="2">#REF!</definedName>
    <definedName name="TITAN" localSheetId="10">#REF!</definedName>
    <definedName name="TITAN" localSheetId="14">#REF!</definedName>
    <definedName name="TITAN" localSheetId="9">#REF!</definedName>
    <definedName name="TITAN" localSheetId="8">#REF!</definedName>
    <definedName name="TITAN" localSheetId="15">#REF!</definedName>
    <definedName name="TITAN" localSheetId="3">#REF!</definedName>
    <definedName name="TITAN" localSheetId="11">#REF!</definedName>
    <definedName name="TITAN" localSheetId="13">#REF!</definedName>
    <definedName name="TITAN" localSheetId="19">#REF!</definedName>
    <definedName name="TITAN" localSheetId="16">#REF!</definedName>
    <definedName name="TITAN" localSheetId="12">#REF!</definedName>
    <definedName name="TITAN">#REF!</definedName>
    <definedName name="TPLRP" localSheetId="2">#REF!</definedName>
    <definedName name="TPLRP" localSheetId="10">#REF!</definedName>
    <definedName name="TPLRP" localSheetId="14">#REF!</definedName>
    <definedName name="TPLRP" localSheetId="9">#REF!</definedName>
    <definedName name="TPLRP" localSheetId="8">#REF!</definedName>
    <definedName name="TPLRP" localSheetId="15">#REF!</definedName>
    <definedName name="TPLRP" localSheetId="3">#REF!</definedName>
    <definedName name="TPLRP" localSheetId="11">#REF!</definedName>
    <definedName name="TPLRP" localSheetId="13">#REF!</definedName>
    <definedName name="TPLRP" localSheetId="19">#REF!</definedName>
    <definedName name="TPLRP" localSheetId="16">#REF!</definedName>
    <definedName name="TPLRP" localSheetId="12">#REF!</definedName>
    <definedName name="TPLRP">#REF!</definedName>
    <definedName name="THI" localSheetId="2">#REF!</definedName>
    <definedName name="THI" localSheetId="10">#REF!</definedName>
    <definedName name="THI" localSheetId="14">#REF!</definedName>
    <definedName name="THI" localSheetId="9">#REF!</definedName>
    <definedName name="THI" localSheetId="8">#REF!</definedName>
    <definedName name="THI" localSheetId="15">#REF!</definedName>
    <definedName name="THI" localSheetId="3">#REF!</definedName>
    <definedName name="THI" localSheetId="11">#REF!</definedName>
    <definedName name="THI" localSheetId="13">#REF!</definedName>
    <definedName name="THI" localSheetId="19">#REF!</definedName>
    <definedName name="THI" localSheetId="16">#REF!</definedName>
    <definedName name="THI" localSheetId="12">#REF!</definedName>
    <definedName name="THI">#REF!</definedName>
    <definedName name="TRADE2" localSheetId="2">#REF!</definedName>
    <definedName name="TRADE2" localSheetId="10">#REF!</definedName>
    <definedName name="TRADE2" localSheetId="14">#REF!</definedName>
    <definedName name="TRADE2" localSheetId="9">#REF!</definedName>
    <definedName name="TRADE2" localSheetId="8">#REF!</definedName>
    <definedName name="TRADE2" localSheetId="15">#REF!</definedName>
    <definedName name="TRADE2" localSheetId="3">#REF!</definedName>
    <definedName name="TRADE2" localSheetId="11">#REF!</definedName>
    <definedName name="TRADE2" localSheetId="13">#REF!</definedName>
    <definedName name="TRADE2" localSheetId="19">#REF!</definedName>
    <definedName name="TRADE2" localSheetId="16">#REF!</definedName>
    <definedName name="TRADE2" localSheetId="12">#REF!</definedName>
    <definedName name="TRADE2">#REF!</definedName>
    <definedName name="UI" localSheetId="10" hidden="1">#REF!</definedName>
    <definedName name="UI" localSheetId="14" hidden="1">#REF!</definedName>
    <definedName name="UI" localSheetId="9" hidden="1">#REF!</definedName>
    <definedName name="UI" localSheetId="5" hidden="1">#REF!</definedName>
    <definedName name="UI" localSheetId="7" hidden="1">#REF!</definedName>
    <definedName name="UI" localSheetId="3" hidden="1">#REF!</definedName>
    <definedName name="UI" localSheetId="13" hidden="1">#REF!</definedName>
    <definedName name="UI" localSheetId="19" hidden="1">#REF!</definedName>
    <definedName name="UI" localSheetId="12" hidden="1">#REF!</definedName>
    <definedName name="UI" hidden="1">#REF!</definedName>
    <definedName name="UT12345667" localSheetId="2" hidden="1">#REF!</definedName>
    <definedName name="UT12345667" localSheetId="10" hidden="1">#REF!</definedName>
    <definedName name="UT12345667" localSheetId="14" hidden="1">#REF!</definedName>
    <definedName name="UT12345667" localSheetId="9" hidden="1">#REF!</definedName>
    <definedName name="UT12345667" localSheetId="5" hidden="1">#REF!</definedName>
    <definedName name="UT12345667" localSheetId="7" hidden="1">#REF!</definedName>
    <definedName name="UT12345667" localSheetId="8" hidden="1">#REF!</definedName>
    <definedName name="UT12345667" localSheetId="15" hidden="1">#REF!</definedName>
    <definedName name="UT12345667" localSheetId="3" hidden="1">#REF!</definedName>
    <definedName name="UT12345667" localSheetId="11" hidden="1">#REF!</definedName>
    <definedName name="UT12345667" localSheetId="13" hidden="1">#REF!</definedName>
    <definedName name="UT12345667" localSheetId="19" hidden="1">#REF!</definedName>
    <definedName name="UT12345667" localSheetId="16" hidden="1">#REF!</definedName>
    <definedName name="UT12345667" localSheetId="12" hidden="1">#REF!</definedName>
    <definedName name="UT12345667" hidden="1">#REF!</definedName>
    <definedName name="UTL" localSheetId="2" hidden="1">#REF!</definedName>
    <definedName name="UTL" localSheetId="10" hidden="1">#REF!</definedName>
    <definedName name="UTL" localSheetId="14" hidden="1">#REF!</definedName>
    <definedName name="UTL" localSheetId="9" hidden="1">#REF!</definedName>
    <definedName name="UTL" localSheetId="5" hidden="1">#REF!</definedName>
    <definedName name="UTL" localSheetId="7" hidden="1">#REF!</definedName>
    <definedName name="UTL" localSheetId="15" hidden="1">#REF!</definedName>
    <definedName name="UTL" localSheetId="3" hidden="1">#REF!</definedName>
    <definedName name="UTL" localSheetId="11" hidden="1">#REF!</definedName>
    <definedName name="UTL" localSheetId="13" hidden="1">#REF!</definedName>
    <definedName name="UTL" localSheetId="19" hidden="1">#REF!</definedName>
    <definedName name="UTL" localSheetId="16" hidden="1">#REF!</definedName>
    <definedName name="UTL" localSheetId="12" hidden="1">#REF!</definedName>
    <definedName name="UTL" hidden="1">#REF!</definedName>
    <definedName name="VARIINST" localSheetId="2">#REF!</definedName>
    <definedName name="VARIINST" localSheetId="10">#REF!</definedName>
    <definedName name="VARIINST" localSheetId="14">#REF!</definedName>
    <definedName name="VARIINST" localSheetId="9">#REF!</definedName>
    <definedName name="VARIINST" localSheetId="8">#REF!</definedName>
    <definedName name="VARIINST" localSheetId="15">#REF!</definedName>
    <definedName name="VARIINST" localSheetId="3">#REF!</definedName>
    <definedName name="VARIINST" localSheetId="11">#REF!</definedName>
    <definedName name="VARIINST" localSheetId="13">#REF!</definedName>
    <definedName name="VARIINST" localSheetId="19">#REF!</definedName>
    <definedName name="VARIINST" localSheetId="16">#REF!</definedName>
    <definedName name="VARIINST" localSheetId="12">#REF!</definedName>
    <definedName name="VARIINST">#REF!</definedName>
    <definedName name="VARIPURC" localSheetId="2">#REF!</definedName>
    <definedName name="VARIPURC" localSheetId="10">#REF!</definedName>
    <definedName name="VARIPURC" localSheetId="14">#REF!</definedName>
    <definedName name="VARIPURC" localSheetId="9">#REF!</definedName>
    <definedName name="VARIPURC" localSheetId="8">#REF!</definedName>
    <definedName name="VARIPURC" localSheetId="15">#REF!</definedName>
    <definedName name="VARIPURC" localSheetId="3">#REF!</definedName>
    <definedName name="VARIPURC" localSheetId="11">#REF!</definedName>
    <definedName name="VARIPURC" localSheetId="13">#REF!</definedName>
    <definedName name="VARIPURC" localSheetId="19">#REF!</definedName>
    <definedName name="VARIPURC" localSheetId="16">#REF!</definedName>
    <definedName name="VARIPURC" localSheetId="12">#REF!</definedName>
    <definedName name="VARIPURC">#REF!</definedName>
    <definedName name="W" localSheetId="2">#REF!</definedName>
    <definedName name="W" localSheetId="10">#REF!</definedName>
    <definedName name="W" localSheetId="14">#REF!</definedName>
    <definedName name="W" localSheetId="9">#REF!</definedName>
    <definedName name="W" localSheetId="8">#REF!</definedName>
    <definedName name="W" localSheetId="15">#REF!</definedName>
    <definedName name="W" localSheetId="3">#REF!</definedName>
    <definedName name="W" localSheetId="11">#REF!</definedName>
    <definedName name="W" localSheetId="13">#REF!</definedName>
    <definedName name="W" localSheetId="19">#REF!</definedName>
    <definedName name="W" localSheetId="16">#REF!</definedName>
    <definedName name="W" localSheetId="12">#REF!</definedName>
    <definedName name="W">#REF!</definedName>
    <definedName name="wrn.chi._.tiÆt." localSheetId="6" hidden="1">{#N/A,#N/A,FALSE,"Chi tiÆt"}</definedName>
    <definedName name="wrn.chi._.tiÆt." localSheetId="2" hidden="1">{#N/A,#N/A,FALSE,"Chi tiÆt"}</definedName>
    <definedName name="wrn.chi._.tiÆt." localSheetId="10" hidden="1">{#N/A,#N/A,FALSE,"Chi tiÆt"}</definedName>
    <definedName name="wrn.chi._.tiÆt." localSheetId="14" hidden="1">{#N/A,#N/A,FALSE,"Chi tiÆt"}</definedName>
    <definedName name="wrn.chi._.tiÆt." localSheetId="5" hidden="1">{#N/A,#N/A,FALSE,"Chi tiÆt"}</definedName>
    <definedName name="wrn.chi._.tiÆt." localSheetId="4" hidden="1">{#N/A,#N/A,FALSE,"Chi tiÆt"}</definedName>
    <definedName name="wrn.chi._.tiÆt." localSheetId="7" hidden="1">{#N/A,#N/A,FALSE,"Chi tiÆt"}</definedName>
    <definedName name="wrn.chi._.tiÆt." localSheetId="15" hidden="1">{#N/A,#N/A,FALSE,"Chi tiÆt"}</definedName>
    <definedName name="wrn.chi._.tiÆt." localSheetId="3" hidden="1">{#N/A,#N/A,FALSE,"Chi tiÆt"}</definedName>
    <definedName name="wrn.chi._.tiÆt." localSheetId="11" hidden="1">{#N/A,#N/A,FALSE,"Chi tiÆt"}</definedName>
    <definedName name="wrn.chi._.tiÆt." localSheetId="13" hidden="1">{#N/A,#N/A,FALSE,"Chi tiÆt"}</definedName>
    <definedName name="wrn.chi._.tiÆt." localSheetId="19" hidden="1">{#N/A,#N/A,FALSE,"Chi tiÆt"}</definedName>
    <definedName name="wrn.chi._.tiÆt." localSheetId="12" hidden="1">{#N/A,#N/A,FALSE,"Chi tiÆt"}</definedName>
    <definedName name="wrn.chi._.tiÆt." hidden="1">{#N/A,#N/A,FALSE,"Chi tiÆt"}</definedName>
    <definedName name="wrn.Monthly._.Statement." localSheetId="6" hidden="1">{#N/A,#N/A,FALSE,"Tabelle2";#N/A,#N/A,FALSE,"Tabelle1"}</definedName>
    <definedName name="wrn.Monthly._.Statement." localSheetId="2" hidden="1">{#N/A,#N/A,FALSE,"Tabelle2";#N/A,#N/A,FALSE,"Tabelle1"}</definedName>
    <definedName name="wrn.Monthly._.Statement." localSheetId="10" hidden="1">{#N/A,#N/A,FALSE,"Tabelle2";#N/A,#N/A,FALSE,"Tabelle1"}</definedName>
    <definedName name="wrn.Monthly._.Statement." localSheetId="14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4" hidden="1">{#N/A,#N/A,FALSE,"Tabelle2";#N/A,#N/A,FALSE,"Tabelle1"}</definedName>
    <definedName name="wrn.Monthly._.Statement." localSheetId="7" hidden="1">{#N/A,#N/A,FALSE,"Tabelle2";#N/A,#N/A,FALSE,"Tabelle1"}</definedName>
    <definedName name="wrn.Monthly._.Statement." localSheetId="15" hidden="1">{#N/A,#N/A,FALSE,"Tabelle2";#N/A,#N/A,FALSE,"Tabelle1"}</definedName>
    <definedName name="wrn.Monthly._.Statement." localSheetId="3" hidden="1">{#N/A,#N/A,FALSE,"Tabelle2";#N/A,#N/A,FALSE,"Tabelle1"}</definedName>
    <definedName name="wrn.Monthly._.Statement." localSheetId="11" hidden="1">{#N/A,#N/A,FALSE,"Tabelle2";#N/A,#N/A,FALSE,"Tabelle1"}</definedName>
    <definedName name="wrn.Monthly._.Statement." localSheetId="13" hidden="1">{#N/A,#N/A,FALSE,"Tabelle2";#N/A,#N/A,FALSE,"Tabelle1"}</definedName>
    <definedName name="wrn.Monthly._.Statement." localSheetId="19" hidden="1">{#N/A,#N/A,FALSE,"Tabelle2";#N/A,#N/A,FALSE,"Tabelle1"}</definedName>
    <definedName name="wrn.Monthly._.Statement." localSheetId="12" hidden="1">{#N/A,#N/A,FALSE,"Tabelle2";#N/A,#N/A,FALSE,"Tabelle1"}</definedName>
    <definedName name="wrn.Monthly._.Statement." hidden="1">{#N/A,#N/A,FALSE,"Tabelle2";#N/A,#N/A,FALSE,"Tabelle1"}</definedName>
    <definedName name="X" localSheetId="2">#REF!</definedName>
    <definedName name="X" localSheetId="10">#REF!</definedName>
    <definedName name="X" localSheetId="14">#REF!</definedName>
    <definedName name="X" localSheetId="9">#REF!</definedName>
    <definedName name="X" localSheetId="8">#REF!</definedName>
    <definedName name="X" localSheetId="15">#REF!</definedName>
    <definedName name="X" localSheetId="3">#REF!</definedName>
    <definedName name="X" localSheetId="11">#REF!</definedName>
    <definedName name="X" localSheetId="13">#REF!</definedName>
    <definedName name="X" localSheetId="19">#REF!</definedName>
    <definedName name="X" localSheetId="16">#REF!</definedName>
    <definedName name="X" localSheetId="12">#REF!</definedName>
    <definedName name="X">#REF!</definedName>
    <definedName name="ZYX" localSheetId="2">#REF!</definedName>
    <definedName name="ZYX" localSheetId="10">#REF!</definedName>
    <definedName name="ZYX" localSheetId="14">#REF!</definedName>
    <definedName name="ZYX" localSheetId="9">#REF!</definedName>
    <definedName name="ZYX" localSheetId="8">#REF!</definedName>
    <definedName name="ZYX" localSheetId="15">#REF!</definedName>
    <definedName name="ZYX" localSheetId="3">#REF!</definedName>
    <definedName name="ZYX" localSheetId="11">#REF!</definedName>
    <definedName name="ZYX" localSheetId="13">#REF!</definedName>
    <definedName name="ZYX" localSheetId="19">#REF!</definedName>
    <definedName name="ZYX" localSheetId="16">#REF!</definedName>
    <definedName name="ZYX" localSheetId="12">#REF!</definedName>
    <definedName name="ZYX">#REF!</definedName>
    <definedName name="ZZZ" localSheetId="2">#REF!</definedName>
    <definedName name="ZZZ" localSheetId="10">#REF!</definedName>
    <definedName name="ZZZ" localSheetId="14">#REF!</definedName>
    <definedName name="ZZZ" localSheetId="9">#REF!</definedName>
    <definedName name="ZZZ" localSheetId="8">#REF!</definedName>
    <definedName name="ZZZ" localSheetId="15">#REF!</definedName>
    <definedName name="ZZZ" localSheetId="3">#REF!</definedName>
    <definedName name="ZZZ" localSheetId="11">#REF!</definedName>
    <definedName name="ZZZ" localSheetId="13">#REF!</definedName>
    <definedName name="ZZZ" localSheetId="19">#REF!</definedName>
    <definedName name="ZZZ" localSheetId="16">#REF!</definedName>
    <definedName name="ZZZ" localSheetId="12">#REF!</definedName>
    <definedName name="ZZZ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481" l="1"/>
  <c r="A44" i="499"/>
  <c r="K44" i="499" s="1"/>
  <c r="D44" i="499" l="1"/>
  <c r="C41" i="500"/>
  <c r="W4" i="496" l="1"/>
  <c r="R4" i="496"/>
  <c r="N4" i="496"/>
  <c r="J4" i="496"/>
  <c r="A4" i="496"/>
  <c r="A18" i="495"/>
  <c r="A19" i="495"/>
  <c r="A21" i="495"/>
  <c r="A22" i="495"/>
  <c r="A23" i="495"/>
  <c r="A24" i="495"/>
  <c r="A25" i="495"/>
  <c r="A26" i="495"/>
  <c r="A27" i="495"/>
  <c r="A28" i="495"/>
  <c r="A17" i="495"/>
  <c r="A24" i="482"/>
  <c r="A25" i="482"/>
  <c r="A26" i="482"/>
  <c r="A27" i="482"/>
  <c r="A28" i="482"/>
  <c r="A29" i="482"/>
  <c r="A31" i="482" s="1"/>
  <c r="A30" i="482"/>
  <c r="A32" i="482"/>
  <c r="A33" i="482"/>
  <c r="A23" i="482"/>
  <c r="A21" i="484"/>
  <c r="A22" i="484"/>
  <c r="A23" i="484" s="1"/>
  <c r="A27" i="484"/>
  <c r="A29" i="484"/>
  <c r="A20" i="484"/>
  <c r="A32" i="481"/>
  <c r="A31" i="481"/>
  <c r="A30" i="481"/>
  <c r="A29" i="481"/>
  <c r="A28" i="481"/>
  <c r="A27" i="481"/>
  <c r="A26" i="481"/>
  <c r="A19" i="481"/>
  <c r="A18" i="481"/>
  <c r="A20" i="481" s="1"/>
  <c r="A30" i="479"/>
  <c r="A29" i="479"/>
  <c r="A28" i="479"/>
  <c r="A27" i="479"/>
  <c r="A26" i="479"/>
  <c r="A18" i="479"/>
  <c r="A17" i="479"/>
  <c r="A19" i="479" s="1"/>
  <c r="E33" i="431"/>
  <c r="X4" i="496" l="1"/>
  <c r="A20" i="495"/>
  <c r="A24" i="484"/>
  <c r="A25" i="484" s="1"/>
  <c r="A26" i="484" s="1"/>
  <c r="A28" i="484" s="1"/>
  <c r="A21" i="481"/>
  <c r="A22" i="481" s="1"/>
  <c r="A20" i="479"/>
  <c r="A21" i="479" s="1"/>
  <c r="A23" i="481" l="1"/>
  <c r="A22" i="479"/>
  <c r="A24" i="481" l="1"/>
  <c r="A25" i="481" s="1"/>
  <c r="A23" i="479"/>
  <c r="A24" i="479" s="1"/>
  <c r="A25" i="479" l="1"/>
  <c r="K40" i="489" l="1"/>
  <c r="C40" i="489"/>
  <c r="E6" i="394" l="1"/>
  <c r="E34" i="394"/>
  <c r="E33" i="394"/>
  <c r="E32" i="394"/>
  <c r="E31" i="394"/>
  <c r="E30" i="394"/>
  <c r="E29" i="394"/>
  <c r="E28" i="394"/>
  <c r="E27" i="394"/>
  <c r="E26" i="394"/>
  <c r="E25" i="394"/>
  <c r="E24" i="394"/>
  <c r="E23" i="394"/>
  <c r="E22" i="394"/>
  <c r="E21" i="394"/>
  <c r="E20" i="394"/>
  <c r="E19" i="394"/>
  <c r="E18" i="394"/>
  <c r="E17" i="394"/>
  <c r="E16" i="394"/>
  <c r="E15" i="394"/>
  <c r="E14" i="394"/>
  <c r="E13" i="394"/>
  <c r="E12" i="394"/>
  <c r="E11" i="394"/>
  <c r="E10" i="394"/>
  <c r="E9" i="394"/>
  <c r="E8" i="394"/>
  <c r="E7" i="394"/>
  <c r="A34" i="394"/>
  <c r="A33" i="394"/>
  <c r="A32" i="394"/>
  <c r="A31" i="394"/>
  <c r="A30" i="394"/>
  <c r="A29" i="394"/>
  <c r="A28" i="394"/>
  <c r="A27" i="394"/>
  <c r="A26" i="394"/>
  <c r="A25" i="394"/>
  <c r="A6" i="394"/>
  <c r="A7" i="394" s="1"/>
  <c r="A8" i="394" l="1"/>
  <c r="A9" i="394" s="1"/>
  <c r="A10" i="394" l="1"/>
  <c r="A11" i="394" s="1"/>
  <c r="A12" i="394" l="1"/>
  <c r="A13" i="394" s="1"/>
  <c r="A14" i="394" s="1"/>
  <c r="A15" i="394" l="1"/>
  <c r="A16" i="394" l="1"/>
  <c r="A17" i="394" s="1"/>
  <c r="A18" i="394" s="1"/>
  <c r="A19" i="394" s="1"/>
  <c r="A20" i="394" s="1"/>
  <c r="A21" i="394" s="1"/>
  <c r="A22" i="394" l="1"/>
  <c r="A23" i="394" s="1"/>
  <c r="A24" i="394" s="1"/>
  <c r="C43" i="495" l="1"/>
  <c r="M43" i="495" s="1"/>
  <c r="L35" i="492" l="1"/>
  <c r="L20" i="492"/>
  <c r="L16" i="492"/>
  <c r="L15" i="492"/>
  <c r="N40" i="492"/>
  <c r="C40" i="487" l="1"/>
  <c r="A22" i="487"/>
  <c r="C37" i="484" l="1"/>
  <c r="L44" i="482" l="1"/>
  <c r="C44" i="482"/>
  <c r="D42" i="481" l="1"/>
  <c r="C40" i="479" l="1"/>
  <c r="F40" i="479" s="1"/>
  <c r="D40" i="394" l="1"/>
  <c r="K32" i="28" l="1"/>
</calcChain>
</file>

<file path=xl/sharedStrings.xml><?xml version="1.0" encoding="utf-8"?>
<sst xmlns="http://schemas.openxmlformats.org/spreadsheetml/2006/main" count="2253" uniqueCount="1204">
  <si>
    <t>TRANSMITTAL</t>
  </si>
  <si>
    <t>Record No.:</t>
  </si>
  <si>
    <t>BIÊN BẢN CHUYỂN GIAO TÀI LIỆU</t>
  </si>
  <si>
    <t>Hồ sơ số</t>
  </si>
  <si>
    <t>АКТ ПО ПРИЕМКУ-ДОКУМЕНТОВ</t>
  </si>
  <si>
    <t>Номер акт</t>
  </si>
  <si>
    <t>Form No: IF-11; Rev. No :0</t>
  </si>
  <si>
    <t xml:space="preserve"> </t>
  </si>
  <si>
    <r>
      <rPr>
        <sz val="12"/>
        <color indexed="8"/>
        <rFont val="Arial"/>
        <family val="2"/>
      </rPr>
      <t>Project/</t>
    </r>
    <r>
      <rPr>
        <sz val="10"/>
        <color indexed="8"/>
        <rFont val="Arial"/>
        <family val="2"/>
      </rPr>
      <t xml:space="preserve">Công trình/Объект </t>
    </r>
  </si>
  <si>
    <r>
      <rPr>
        <sz val="12"/>
        <color indexed="8"/>
        <rFont val="Arial"/>
        <family val="2"/>
      </rPr>
      <t>From/</t>
    </r>
    <r>
      <rPr>
        <sz val="9"/>
        <color indexed="8"/>
        <rFont val="Arial"/>
        <family val="2"/>
      </rPr>
      <t>Người gửi/От кого:</t>
    </r>
  </si>
  <si>
    <t>Tel: 8549</t>
  </si>
  <si>
    <r>
      <rPr>
        <sz val="12"/>
        <color indexed="8"/>
        <rFont val="Arial"/>
        <family val="2"/>
      </rPr>
      <t>Dept./</t>
    </r>
    <r>
      <rPr>
        <sz val="10"/>
        <color indexed="8"/>
        <rFont val="Arial"/>
        <family val="2"/>
      </rPr>
      <t>Đơn vị/Подразделения</t>
    </r>
    <r>
      <rPr>
        <sz val="9"/>
        <color indexed="8"/>
        <rFont val="Arial"/>
        <family val="2"/>
      </rPr>
      <t>:</t>
    </r>
  </si>
  <si>
    <t>BP. NDT</t>
  </si>
  <si>
    <r>
      <rPr>
        <sz val="12"/>
        <color indexed="8"/>
        <rFont val="Arial"/>
        <family val="2"/>
      </rPr>
      <t>To/</t>
    </r>
    <r>
      <rPr>
        <sz val="9"/>
        <color indexed="8"/>
        <rFont val="Arial"/>
        <family val="2"/>
      </rPr>
      <t xml:space="preserve">Người nhận/Кому :  </t>
    </r>
  </si>
  <si>
    <r>
      <rPr>
        <sz val="12"/>
        <color indexed="8"/>
        <rFont val="Arial"/>
        <family val="2"/>
      </rPr>
      <t>Dept./</t>
    </r>
    <r>
      <rPr>
        <sz val="10"/>
        <color indexed="8"/>
        <rFont val="Arial"/>
        <family val="2"/>
      </rPr>
      <t>Đơn vị</t>
    </r>
    <r>
      <rPr>
        <sz val="9"/>
        <color indexed="8"/>
        <rFont val="Arial"/>
        <family val="2"/>
      </rPr>
      <t xml:space="preserve">/Подразделению:  </t>
    </r>
  </si>
  <si>
    <t>No</t>
  </si>
  <si>
    <t>Description</t>
  </si>
  <si>
    <t>Doc. No</t>
  </si>
  <si>
    <t>RFI</t>
  </si>
  <si>
    <t>Rev.</t>
  </si>
  <si>
    <t>Page</t>
  </si>
  <si>
    <t>STT</t>
  </si>
  <si>
    <t>Tên tài liệu/Наименование документов</t>
  </si>
  <si>
    <t>Số tài liệu/No документа</t>
  </si>
  <si>
    <t>LPH</t>
  </si>
  <si>
    <t>Số trang</t>
  </si>
  <si>
    <t>П/н</t>
  </si>
  <si>
    <t>No выпуск</t>
  </si>
  <si>
    <t>СтраницаNo.</t>
  </si>
  <si>
    <t>REGISTER</t>
  </si>
  <si>
    <t>N/A</t>
  </si>
  <si>
    <t>RT Report</t>
  </si>
  <si>
    <t>PT Report</t>
  </si>
  <si>
    <t>MT Report</t>
  </si>
  <si>
    <r>
      <rPr>
        <b/>
        <sz val="18"/>
        <rFont val="Arial"/>
        <family val="2"/>
      </rPr>
      <t xml:space="preserve">LƯU Ý: IN 2 BẢN
</t>
    </r>
    <r>
      <rPr>
        <b/>
        <sz val="12"/>
        <rFont val="Arial"/>
        <family val="2"/>
      </rPr>
      <t>GHI RÕ: TÊN CÔNG TRÌNH/ NỘI DUNG CÔNG VIỆC</t>
    </r>
  </si>
  <si>
    <t>NDT Qualification Certificate</t>
  </si>
  <si>
    <t>OCD/NDT/33;;OCD/NDT/052
OCD/NDT/</t>
  </si>
  <si>
    <t>DÙNG CHO CÁC CÔNG TRÌNH: SỬA BAL, JACKET, CẨU</t>
  </si>
  <si>
    <t>Lifting Power Calibration Certificate</t>
  </si>
  <si>
    <t>CC-M23-046</t>
  </si>
  <si>
    <t>Certification of Calibration</t>
  </si>
  <si>
    <t>CC-U23-004</t>
  </si>
  <si>
    <t>Tổng số nhận:</t>
  </si>
  <si>
    <r>
      <rPr>
        <sz val="12"/>
        <color indexed="8"/>
        <rFont val="Arial"/>
        <family val="2"/>
      </rPr>
      <t>REMARKS/</t>
    </r>
    <r>
      <rPr>
        <sz val="9"/>
        <color indexed="8"/>
        <rFont val="Arial"/>
        <family val="2"/>
      </rPr>
      <t xml:space="preserve">Ghi chú/Примечание:     </t>
    </r>
  </si>
  <si>
    <r>
      <rPr>
        <sz val="9"/>
        <color indexed="8"/>
        <rFont val="Arial"/>
        <family val="2"/>
      </rPr>
      <t xml:space="preserve">  </t>
    </r>
    <r>
      <rPr>
        <sz val="12"/>
        <color indexed="8"/>
        <rFont val="Arial"/>
        <family val="2"/>
      </rPr>
      <t>RFI = Reason For Issue/</t>
    </r>
    <r>
      <rPr>
        <sz val="9"/>
        <color indexed="8"/>
        <rFont val="Arial"/>
        <family val="2"/>
      </rPr>
      <t>Lý do phát hành /Цель обнародования</t>
    </r>
  </si>
  <si>
    <r>
      <rPr>
        <sz val="10"/>
        <color indexed="8"/>
        <rFont val="Arial"/>
        <family val="2"/>
      </rPr>
      <t>1-</t>
    </r>
    <r>
      <rPr>
        <sz val="7"/>
        <color indexed="8"/>
        <rFont val="Times New Roman"/>
        <family val="1"/>
      </rPr>
      <t xml:space="preserve">   </t>
    </r>
    <r>
      <rPr>
        <sz val="12"/>
        <color indexed="8"/>
        <rFont val="Arial"/>
        <family val="2"/>
      </rPr>
      <t>For information/</t>
    </r>
    <r>
      <rPr>
        <sz val="9"/>
        <color indexed="8"/>
        <rFont val="Arial"/>
        <family val="2"/>
      </rPr>
      <t xml:space="preserve">Thông báo/Собшение                           </t>
    </r>
    <r>
      <rPr>
        <sz val="10"/>
        <color indexed="8"/>
        <rFont val="Arial"/>
        <family val="2"/>
      </rPr>
      <t>4</t>
    </r>
    <r>
      <rPr>
        <sz val="9"/>
        <color indexed="8"/>
        <rFont val="Arial"/>
        <family val="2"/>
      </rPr>
      <t xml:space="preserve">-  </t>
    </r>
    <r>
      <rPr>
        <sz val="12"/>
        <color indexed="8"/>
        <rFont val="Arial"/>
        <family val="2"/>
      </rPr>
      <t>For approval/</t>
    </r>
    <r>
      <rPr>
        <sz val="9"/>
        <color indexed="8"/>
        <rFont val="Arial"/>
        <family val="2"/>
      </rPr>
      <t>Phê duyệt/На уверждение</t>
    </r>
  </si>
  <si>
    <r>
      <rPr>
        <sz val="10"/>
        <color indexed="8"/>
        <rFont val="Arial"/>
        <family val="2"/>
      </rPr>
      <t>2-</t>
    </r>
    <r>
      <rPr>
        <sz val="7"/>
        <color indexed="8"/>
        <rFont val="Times New Roman"/>
        <family val="1"/>
      </rPr>
      <t xml:space="preserve">   </t>
    </r>
    <r>
      <rPr>
        <sz val="12"/>
        <color indexed="8"/>
        <rFont val="Arial"/>
        <family val="2"/>
      </rPr>
      <t>For compiling/</t>
    </r>
    <r>
      <rPr>
        <sz val="9"/>
        <color indexed="8"/>
        <rFont val="Arial"/>
        <family val="2"/>
      </rPr>
      <t xml:space="preserve">Lập hồ sơ/Составление досья                 </t>
    </r>
    <r>
      <rPr>
        <sz val="10"/>
        <color indexed="8"/>
        <rFont val="Arial"/>
        <family val="2"/>
      </rPr>
      <t>5</t>
    </r>
    <r>
      <rPr>
        <sz val="9"/>
        <color indexed="8"/>
        <rFont val="Arial"/>
        <family val="2"/>
      </rPr>
      <t xml:space="preserve">-  </t>
    </r>
    <r>
      <rPr>
        <sz val="12"/>
        <color indexed="8"/>
        <rFont val="Arial"/>
        <family val="2"/>
      </rPr>
      <t>Review/</t>
    </r>
    <r>
      <rPr>
        <sz val="10"/>
        <color indexed="8"/>
        <rFont val="Arial"/>
        <family val="2"/>
      </rPr>
      <t>Xem xét/На рассмотрение</t>
    </r>
  </si>
  <si>
    <r>
      <rPr>
        <sz val="10"/>
        <color indexed="8"/>
        <rFont val="Arial"/>
        <family val="2"/>
      </rPr>
      <t>3-</t>
    </r>
    <r>
      <rPr>
        <sz val="7"/>
        <color indexed="8"/>
        <rFont val="Times New Roman"/>
        <family val="1"/>
      </rPr>
      <t xml:space="preserve">   </t>
    </r>
    <r>
      <rPr>
        <sz val="12"/>
        <color indexed="8"/>
        <rFont val="Arial"/>
        <family val="2"/>
      </rPr>
      <t>For archives/</t>
    </r>
    <r>
      <rPr>
        <sz val="9"/>
        <color indexed="8"/>
        <rFont val="Arial"/>
        <family val="2"/>
      </rPr>
      <t xml:space="preserve">Lưu trữ/Для архива                     </t>
    </r>
    <r>
      <rPr>
        <sz val="12"/>
        <color indexed="8"/>
        <rFont val="Arial"/>
        <family val="2"/>
      </rPr>
      <t xml:space="preserve">            </t>
    </r>
    <r>
      <rPr>
        <sz val="10"/>
        <color indexed="8"/>
        <rFont val="Arial"/>
        <family val="2"/>
      </rPr>
      <t>6-</t>
    </r>
    <r>
      <rPr>
        <sz val="12"/>
        <color indexed="8"/>
        <rFont val="Arial"/>
        <family val="2"/>
      </rPr>
      <t xml:space="preserve"> </t>
    </r>
    <r>
      <rPr>
        <sz val="11"/>
        <color indexed="8"/>
        <rFont val="Arial"/>
        <family val="2"/>
      </rPr>
      <t>Approved for construction</t>
    </r>
    <r>
      <rPr>
        <sz val="9"/>
        <color indexed="8"/>
        <rFont val="Arial"/>
        <family val="2"/>
      </rPr>
      <t>/Đưa vào thực hiện</t>
    </r>
  </si>
  <si>
    <t xml:space="preserve">                                                                                                                     Кпрои зводствуработ</t>
  </si>
  <si>
    <r>
      <rPr>
        <sz val="12"/>
        <color indexed="8"/>
        <rFont val="Arial"/>
        <family val="2"/>
      </rPr>
      <t>In case the received documents are not as described above, please send back and inform the issued body/</t>
    </r>
    <r>
      <rPr>
        <sz val="9"/>
        <color indexed="8"/>
        <rFont val="Arial"/>
        <family val="2"/>
      </rPr>
      <t>Nếu tài liệu nhận được không đầy đủ như mô tả, xin gửi trả lại và thông báo ngay cho người gửi được biết</t>
    </r>
  </si>
  <si>
    <t>Если получить документы в недостаточном количестве как высшеописаны, просим отправить документы обратно и срочно сообщить отправителю</t>
  </si>
  <si>
    <r>
      <rPr>
        <sz val="12"/>
        <color indexed="8"/>
        <rFont val="Arial"/>
        <family val="2"/>
      </rPr>
      <t>Received/</t>
    </r>
    <r>
      <rPr>
        <sz val="9"/>
        <color indexed="8"/>
        <rFont val="Arial"/>
        <family val="2"/>
      </rPr>
      <t>Đã nhận/Получено: _____________________________</t>
    </r>
  </si>
  <si>
    <t>Date/ Ngày/Дата  ______________</t>
  </si>
  <si>
    <r>
      <rPr>
        <sz val="12"/>
        <color indexed="8"/>
        <rFont val="Arial"/>
        <family val="2"/>
      </rPr>
      <t>(</t>
    </r>
    <r>
      <rPr>
        <sz val="10"/>
        <color indexed="8"/>
        <rFont val="Arial"/>
        <family val="2"/>
      </rPr>
      <t>Full name and signature/</t>
    </r>
    <r>
      <rPr>
        <sz val="9"/>
        <color indexed="8"/>
        <rFont val="Arial"/>
        <family val="2"/>
      </rPr>
      <t>Ký và ghi rõ họ tên/Ф.И.О)</t>
    </r>
  </si>
  <si>
    <t>BÁO CÁO TỔNG HỢP VẬT TƯ-THIẾT BỊ</t>
  </si>
  <si>
    <t>Số NVSX</t>
  </si>
  <si>
    <t>Lô</t>
  </si>
  <si>
    <t>Công trình</t>
  </si>
  <si>
    <t>Hạng mục</t>
  </si>
  <si>
    <t>Nhân sự</t>
  </si>
  <si>
    <t>Từ:</t>
  </si>
  <si>
    <t>ĐV thi công</t>
  </si>
  <si>
    <t>Đốc công</t>
  </si>
  <si>
    <t>Số ĐT:</t>
  </si>
  <si>
    <t>RT</t>
  </si>
  <si>
    <t>Tên VT</t>
  </si>
  <si>
    <t>Loại</t>
  </si>
  <si>
    <t>ĐVT</t>
  </si>
  <si>
    <t>Nhận</t>
  </si>
  <si>
    <t>Sử</t>
  </si>
  <si>
    <t>Trả kho</t>
  </si>
  <si>
    <t>Ghi chú:</t>
  </si>
  <si>
    <t>dụng</t>
  </si>
  <si>
    <t>(Nhóm thực hiện nhiệm vụ ghi chú)</t>
  </si>
  <si>
    <t>Fuji</t>
  </si>
  <si>
    <t>10x24</t>
  </si>
  <si>
    <t>10x40</t>
  </si>
  <si>
    <t>Phim</t>
  </si>
  <si>
    <t>Thuốc hiện</t>
  </si>
  <si>
    <t>Lít</t>
  </si>
  <si>
    <t>Thuốc định</t>
  </si>
  <si>
    <t>Băng keo giấy</t>
  </si>
  <si>
    <t>Cuộn</t>
  </si>
  <si>
    <t>Băng keo đen</t>
  </si>
  <si>
    <t>Băng keo vải</t>
  </si>
  <si>
    <t>Chì lá</t>
  </si>
  <si>
    <t>Kg</t>
  </si>
  <si>
    <t>Bao đựng phim</t>
  </si>
  <si>
    <t>Cái</t>
  </si>
  <si>
    <r>
      <rPr>
        <b/>
        <sz val="9"/>
        <rFont val="Arial"/>
        <family val="2"/>
      </rPr>
      <t>6FE</t>
    </r>
    <r>
      <rPr>
        <sz val="9"/>
        <rFont val="Arial"/>
        <family val="2"/>
      </rPr>
      <t xml:space="preserve"> DIN</t>
    </r>
  </si>
  <si>
    <r>
      <rPr>
        <b/>
        <sz val="9"/>
        <rFont val="Arial"/>
        <family val="2"/>
      </rPr>
      <t>10FE</t>
    </r>
    <r>
      <rPr>
        <sz val="9"/>
        <rFont val="Arial"/>
        <family val="2"/>
      </rPr>
      <t xml:space="preserve"> DIN</t>
    </r>
  </si>
  <si>
    <r>
      <rPr>
        <b/>
        <sz val="9"/>
        <rFont val="Arial"/>
        <family val="2"/>
      </rPr>
      <t>10Cu</t>
    </r>
    <r>
      <rPr>
        <sz val="9"/>
        <rFont val="Arial"/>
        <family val="2"/>
      </rPr>
      <t xml:space="preserve"> DIN</t>
    </r>
  </si>
  <si>
    <t>Thiết bị</t>
  </si>
  <si>
    <t>Khối lượng
công việc</t>
  </si>
  <si>
    <t>φ</t>
  </si>
  <si>
    <t>Số mối</t>
  </si>
  <si>
    <t>MT</t>
  </si>
  <si>
    <t>Sơn tương phản</t>
  </si>
  <si>
    <t>Bình</t>
  </si>
  <si>
    <t>Bột từ pha sẵn</t>
  </si>
  <si>
    <t>Bình xịt từ</t>
  </si>
  <si>
    <t>Bột từ</t>
  </si>
  <si>
    <t>7C</t>
  </si>
  <si>
    <t>gram</t>
  </si>
  <si>
    <t>Bàn chải sắt</t>
  </si>
  <si>
    <t>Gông từ:</t>
  </si>
  <si>
    <t>Số mét</t>
  </si>
  <si>
    <t>Bột tiếp âm</t>
  </si>
  <si>
    <t>Chổi quét</t>
  </si>
  <si>
    <t>(thủ kho ghi chú ở đây)</t>
  </si>
  <si>
    <t>PT</t>
  </si>
  <si>
    <t>Chất làm sạch</t>
  </si>
  <si>
    <t>Chất thấm</t>
  </si>
  <si>
    <t>Chất hiện</t>
  </si>
  <si>
    <t>Dây dù</t>
  </si>
  <si>
    <t>m</t>
  </si>
  <si>
    <t>Kiểm tra</t>
  </si>
  <si>
    <t>Bút sáp</t>
  </si>
  <si>
    <t>Bút sơn</t>
  </si>
  <si>
    <t>Pin 9V</t>
  </si>
  <si>
    <t>Cục</t>
  </si>
  <si>
    <t>Pin AA</t>
  </si>
  <si>
    <t>Pin AAA</t>
  </si>
  <si>
    <t>NHÂN CÔNG</t>
  </si>
  <si>
    <t>Nhân công</t>
  </si>
  <si>
    <t>số ngày</t>
  </si>
  <si>
    <t>số giờ</t>
  </si>
  <si>
    <t>ghi chú</t>
  </si>
  <si>
    <t>Người thực hiện</t>
  </si>
  <si>
    <t>PROJECT:</t>
  </si>
  <si>
    <t>ITEM:</t>
  </si>
  <si>
    <t xml:space="preserve">PRODUCTION TASK:  </t>
  </si>
  <si>
    <t>Name</t>
  </si>
  <si>
    <t>Method &amp; Level</t>
  </si>
  <si>
    <t>Certifying body</t>
  </si>
  <si>
    <t>Certificate No</t>
  </si>
  <si>
    <t>Date of certificate</t>
  </si>
  <si>
    <t>Date of expiry</t>
  </si>
  <si>
    <t>II</t>
  </si>
  <si>
    <t>OCD</t>
  </si>
  <si>
    <t>OFF SHORE NDT SUMMARY REPORTS</t>
  </si>
  <si>
    <t>BẢN VẼ</t>
  </si>
  <si>
    <t>THỢ HÀN</t>
  </si>
  <si>
    <t>Ф.Weld</t>
  </si>
  <si>
    <t xml:space="preserve">Weld of </t>
  </si>
  <si>
    <t>DÀY</t>
  </si>
  <si>
    <t>UT</t>
  </si>
  <si>
    <t>NGƯỜI</t>
  </si>
  <si>
    <t>% RT</t>
  </si>
  <si>
    <t>TÌNH TRẠNG</t>
  </si>
  <si>
    <t>GHI CHÚ</t>
  </si>
  <si>
    <t>(mm)</t>
  </si>
  <si>
    <t>SỐ BÁO CÁO</t>
  </si>
  <si>
    <t>KT DÀI</t>
  </si>
  <si>
    <t>ACC</t>
  </si>
  <si>
    <t>VIETSOVPETRO</t>
  </si>
  <si>
    <t>RADIOGRAPHIC TESTING REPORTS</t>
  </si>
  <si>
    <t>NO</t>
  </si>
  <si>
    <t>REPORT NO.</t>
  </si>
  <si>
    <t>DRAWING NO.</t>
  </si>
  <si>
    <t>WELD NO.</t>
  </si>
  <si>
    <t>PAGES</t>
  </si>
  <si>
    <t>1</t>
  </si>
  <si>
    <t>2</t>
  </si>
  <si>
    <t>3</t>
  </si>
  <si>
    <t>PREPARED</t>
  </si>
  <si>
    <t>REVIEWED BY VSP</t>
  </si>
  <si>
    <t xml:space="preserve">Name:  </t>
  </si>
  <si>
    <t xml:space="preserve">Name:    </t>
  </si>
  <si>
    <t>NGUYEN THI HANH UYEN</t>
  </si>
  <si>
    <t>Signature :</t>
  </si>
  <si>
    <t xml:space="preserve">Date :        </t>
  </si>
  <si>
    <t>RADIOGRAPHIC TESTING REPORT</t>
  </si>
  <si>
    <t>BÁO CÁO CHỤP ẢNH PHÓNG XẠ</t>
  </si>
  <si>
    <t>ОТЧЕТ О РАДИОГРАФИЧЕСКОМ КОНТРОЛЕ</t>
  </si>
  <si>
    <t>Form No. QF-12; Rev.No.2</t>
  </si>
  <si>
    <t>TIÊU CHUẨN</t>
  </si>
  <si>
    <t>CARBON STEEL</t>
  </si>
  <si>
    <t>Radiation source</t>
  </si>
  <si>
    <t>Focal spot size</t>
  </si>
  <si>
    <t>Film type</t>
  </si>
  <si>
    <t>IQI type</t>
  </si>
  <si>
    <t>Sensitivity %</t>
  </si>
  <si>
    <t>Density range</t>
  </si>
  <si>
    <t xml:space="preserve">Nguồn bức xạ
Источик излучения </t>
  </si>
  <si>
    <t>Kích thước nguồn
размер источника</t>
  </si>
  <si>
    <t>Loại phim, nhà sản xuất/Тип пленки</t>
  </si>
  <si>
    <t>Loại mẫu IQI
Тип IQI</t>
  </si>
  <si>
    <t>Độ nhạy
Чуствительность</t>
  </si>
  <si>
    <t>Dải độ đen
Оплическая плотность</t>
  </si>
  <si>
    <t>GAMMA</t>
  </si>
  <si>
    <t>2.0-4.0</t>
  </si>
  <si>
    <t>Rửa phim: Tay/Tự động- Проявление:Ручное/автоматическое</t>
  </si>
  <si>
    <r>
      <rPr>
        <sz val="10"/>
        <rFont val="Arial"/>
        <family val="2"/>
      </rPr>
      <t>No</t>
    </r>
    <r>
      <rPr>
        <sz val="8"/>
        <rFont val="Arial"/>
        <family val="2"/>
      </rPr>
      <t xml:space="preserve">
STT
П/н</t>
    </r>
  </si>
  <si>
    <t xml:space="preserve">  Ф x T /
 L x T
(mm)
</t>
  </si>
  <si>
    <t>-</t>
  </si>
  <si>
    <t>-//-</t>
  </si>
  <si>
    <t>REMARK/Ghi chú/Примечание</t>
  </si>
  <si>
    <t>Reported by RT Level II</t>
  </si>
  <si>
    <t>Checked by</t>
  </si>
  <si>
    <r>
      <rPr>
        <b/>
        <sz val="10"/>
        <rFont val="Arial"/>
        <family val="2"/>
      </rPr>
      <t>Cert. Authority</t>
    </r>
  </si>
  <si>
    <t>Thực hiện/Составление</t>
  </si>
  <si>
    <t>Kiểm tra/Контролер</t>
  </si>
  <si>
    <t>Chứng nhận/Утверждение</t>
  </si>
  <si>
    <t xml:space="preserve">Name/H.Tên/Ф.И.О: </t>
  </si>
  <si>
    <t>Sig./Chữ ký/Подпись</t>
  </si>
  <si>
    <t xml:space="preserve">Date/Ngày/Дата   </t>
  </si>
  <si>
    <t>DYE PENETRANT TESTING REPORT</t>
  </si>
  <si>
    <t>Report No</t>
  </si>
  <si>
    <t>BÁO CÁO KIỂM TRA CHẤT LỎNG THẨM THẤU</t>
  </si>
  <si>
    <t>ОТЧЕТ О КАПИЛЛЯРНОМ КОНТРОЛЕ</t>
  </si>
  <si>
    <t>Form No. QF-16; Rev. No.2</t>
  </si>
  <si>
    <t xml:space="preserve">Project/Công trình/Объект     </t>
  </si>
  <si>
    <t>P6/QA/22 Rev 4</t>
  </si>
  <si>
    <t>SOLVENT REMOVABLE</t>
  </si>
  <si>
    <t xml:space="preserve">Final inspection            </t>
  </si>
  <si>
    <t>CLOTHES</t>
  </si>
  <si>
    <r>
      <rPr>
        <sz val="9"/>
        <rFont val="Arial"/>
        <family val="2"/>
      </rPr>
      <t>Drawing No</t>
    </r>
    <r>
      <rPr>
        <sz val="10"/>
        <rFont val="Arial"/>
        <family val="2"/>
      </rPr>
      <t>.</t>
    </r>
    <r>
      <rPr>
        <sz val="8"/>
        <rFont val="Arial"/>
        <family val="2"/>
      </rPr>
      <t xml:space="preserve">
Số bản vẽ
Чертеж No.</t>
    </r>
  </si>
  <si>
    <r>
      <rPr>
        <sz val="9"/>
        <rFont val="Arial"/>
        <family val="2"/>
      </rPr>
      <t xml:space="preserve">Detail/
Weld ID
</t>
    </r>
    <r>
      <rPr>
        <sz val="8"/>
        <rFont val="Arial"/>
        <family val="2"/>
      </rPr>
      <t xml:space="preserve">Chi tiết/Mối hàn 
Номер деталей/
cтыка 
</t>
    </r>
    <r>
      <rPr>
        <b/>
        <sz val="8"/>
        <rFont val="Arial"/>
        <family val="2"/>
      </rPr>
      <t xml:space="preserve"> </t>
    </r>
  </si>
  <si>
    <r>
      <rPr>
        <sz val="9"/>
        <rFont val="Arial"/>
        <family val="2"/>
      </rPr>
      <t>Welder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Thợ hàn
Клеймо 
cварщика</t>
    </r>
  </si>
  <si>
    <r>
      <rPr>
        <sz val="10"/>
        <rFont val="Arial"/>
        <family val="2"/>
      </rPr>
      <t xml:space="preserve">Ф (mm)/
 L (mm)
</t>
    </r>
    <r>
      <rPr>
        <b/>
        <sz val="8"/>
        <rFont val="Arial"/>
        <family val="2"/>
      </rPr>
      <t>(1)</t>
    </r>
    <r>
      <rPr>
        <sz val="10"/>
        <rFont val="Arial"/>
        <family val="2"/>
      </rPr>
      <t xml:space="preserve">
</t>
    </r>
  </si>
  <si>
    <r>
      <rPr>
        <sz val="9"/>
        <rFont val="Arial"/>
        <family val="2"/>
      </rPr>
      <t xml:space="preserve">Defect
Location
</t>
    </r>
    <r>
      <rPr>
        <sz val="8"/>
        <rFont val="Arial"/>
        <family val="2"/>
      </rPr>
      <t xml:space="preserve">Vị trí KT
Место дефекта
(mm) </t>
    </r>
  </si>
  <si>
    <r>
      <rPr>
        <sz val="9"/>
        <rFont val="Arial"/>
        <family val="2"/>
      </rPr>
      <t xml:space="preserve">Defect
Length
 </t>
    </r>
    <r>
      <rPr>
        <sz val="8"/>
        <rFont val="Arial"/>
        <family val="2"/>
      </rPr>
      <t xml:space="preserve">   KT dài
Длина дефекта  (mm)</t>
    </r>
  </si>
  <si>
    <r>
      <rPr>
        <sz val="10"/>
        <rFont val="Arial"/>
        <family val="2"/>
      </rPr>
      <t>Defect
Type</t>
    </r>
    <r>
      <rPr>
        <sz val="8"/>
        <rFont val="Arial"/>
        <family val="2"/>
      </rPr>
      <t xml:space="preserve">
Loại KT
Тип дефекта</t>
    </r>
  </si>
  <si>
    <r>
      <rPr>
        <sz val="10"/>
        <rFont val="Arial"/>
        <family val="2"/>
      </rPr>
      <t>Result</t>
    </r>
    <r>
      <rPr>
        <sz val="8"/>
        <rFont val="Arial"/>
        <family val="2"/>
      </rPr>
      <t xml:space="preserve">
Kết quả
Оценка
(ACC/
REJ)</t>
    </r>
  </si>
  <si>
    <r>
      <rPr>
        <b/>
        <u/>
        <sz val="8"/>
        <rFont val="Arial"/>
        <family val="2"/>
      </rPr>
      <t>REMARKS</t>
    </r>
    <r>
      <rPr>
        <u/>
        <sz val="8"/>
        <rFont val="Arial"/>
        <family val="2"/>
      </rPr>
      <t>/Ghi chú/Примечание</t>
    </r>
    <r>
      <rPr>
        <sz val="8"/>
        <rFont val="Arial"/>
        <family val="2"/>
      </rPr>
      <t xml:space="preserve">:   </t>
    </r>
    <r>
      <rPr>
        <b/>
        <sz val="8"/>
        <rFont val="Arial"/>
        <family val="2"/>
      </rPr>
      <t>ACC</t>
    </r>
    <r>
      <rPr>
        <sz val="8"/>
        <rFont val="Arial"/>
        <family val="2"/>
      </rPr>
      <t xml:space="preserve">= Acceptable/Đạt/Годен,    </t>
    </r>
    <r>
      <rPr>
        <b/>
        <sz val="8"/>
        <rFont val="Arial"/>
        <family val="2"/>
      </rPr>
      <t>REJ</t>
    </r>
    <r>
      <rPr>
        <sz val="8"/>
        <rFont val="Arial"/>
        <family val="2"/>
      </rPr>
      <t xml:space="preserve">= Reject/Không đạt/Не годен,    </t>
    </r>
    <r>
      <rPr>
        <b/>
        <sz val="8"/>
        <rFont val="Arial"/>
        <family val="2"/>
      </rPr>
      <t>KT</t>
    </r>
    <r>
      <rPr>
        <sz val="8"/>
        <rFont val="Arial"/>
        <family val="2"/>
      </rPr>
      <t xml:space="preserve">= Defect/Khuyết tật/Дефект
</t>
    </r>
    <r>
      <rPr>
        <b/>
        <sz val="8"/>
        <rFont val="Arial"/>
        <family val="2"/>
      </rPr>
      <t>(1) Ф -</t>
    </r>
    <r>
      <rPr>
        <sz val="8"/>
        <rFont val="Arial"/>
        <family val="2"/>
      </rPr>
      <t xml:space="preserve"> diameter /đường kính /диаметр</t>
    </r>
    <r>
      <rPr>
        <b/>
        <sz val="8"/>
        <rFont val="Arial"/>
        <family val="2"/>
      </rPr>
      <t xml:space="preserve"> ; L -</t>
    </r>
    <r>
      <rPr>
        <sz val="8"/>
        <rFont val="Arial"/>
        <family val="2"/>
      </rPr>
      <t xml:space="preserve"> length /chiều dài /длина;</t>
    </r>
    <r>
      <rPr>
        <b/>
        <sz val="8"/>
        <rFont val="Arial"/>
        <family val="2"/>
      </rPr>
      <t xml:space="preserve"> T -</t>
    </r>
    <r>
      <rPr>
        <sz val="8"/>
        <rFont val="Arial"/>
        <family val="2"/>
      </rPr>
      <t xml:space="preserve"> Thickness/Độ dày/ толщина</t>
    </r>
  </si>
  <si>
    <r>
      <rPr>
        <b/>
        <u/>
        <sz val="8"/>
        <rFont val="Arial"/>
        <family val="2"/>
      </rPr>
      <t>Defect Type</t>
    </r>
    <r>
      <rPr>
        <u/>
        <sz val="8"/>
        <rFont val="Arial"/>
        <family val="2"/>
      </rPr>
      <t xml:space="preserve">/Dạng khuyết tật/Тип дефекта 
</t>
    </r>
  </si>
  <si>
    <r>
      <rPr>
        <b/>
        <sz val="8"/>
        <rFont val="Arial"/>
        <family val="2"/>
      </rPr>
      <t xml:space="preserve">LP </t>
    </r>
    <r>
      <rPr>
        <sz val="8"/>
        <rFont val="Arial"/>
        <family val="2"/>
      </rPr>
      <t xml:space="preserve">=  Lack of Panetration/Không thấu
          Непровар в корне
</t>
    </r>
    <r>
      <rPr>
        <b/>
        <sz val="8"/>
        <rFont val="Arial"/>
        <family val="2"/>
      </rPr>
      <t>CR</t>
    </r>
    <r>
      <rPr>
        <sz val="8"/>
        <rFont val="Arial"/>
        <family val="2"/>
      </rPr>
      <t xml:space="preserve"> =  Crater crack/Nứt dạng sao/
          Звездообразная трещина</t>
    </r>
  </si>
  <si>
    <r>
      <rPr>
        <b/>
        <sz val="8"/>
        <rFont val="Arial"/>
        <family val="2"/>
      </rPr>
      <t>OL</t>
    </r>
    <r>
      <rPr>
        <sz val="8"/>
        <rFont val="Arial"/>
        <family val="2"/>
      </rPr>
      <t xml:space="preserve"> = Overlap/Tràn lớp/Сливание слоя
</t>
    </r>
    <r>
      <rPr>
        <b/>
        <sz val="8"/>
        <rFont val="Arial"/>
        <family val="2"/>
      </rPr>
      <t>P</t>
    </r>
    <r>
      <rPr>
        <sz val="8"/>
        <rFont val="Arial"/>
        <family val="2"/>
      </rPr>
      <t xml:space="preserve">   = Porosity/Rỗ khí/Поры
</t>
    </r>
    <r>
      <rPr>
        <b/>
        <sz val="8"/>
        <rFont val="Arial"/>
        <family val="2"/>
      </rPr>
      <t xml:space="preserve">SI  </t>
    </r>
    <r>
      <rPr>
        <sz val="8"/>
        <rFont val="Arial"/>
        <family val="2"/>
      </rPr>
      <t>= Slag Inclusion/Ngậm sỉ
        Шлаковое включене</t>
    </r>
  </si>
  <si>
    <r>
      <rPr>
        <b/>
        <sz val="8"/>
        <rFont val="Arial"/>
        <family val="2"/>
      </rPr>
      <t>LF</t>
    </r>
    <r>
      <rPr>
        <sz val="8"/>
        <rFont val="Arial"/>
        <family val="2"/>
      </rPr>
      <t xml:space="preserve"> = Lack of Fusion/Không ngấu/Непровар 
        между валиками или по разделке
</t>
    </r>
    <r>
      <rPr>
        <b/>
        <sz val="8"/>
        <rFont val="Arial"/>
        <family val="2"/>
      </rPr>
      <t>C</t>
    </r>
    <r>
      <rPr>
        <sz val="8"/>
        <rFont val="Arial"/>
        <family val="2"/>
      </rPr>
      <t xml:space="preserve">  = Crack/Nứt/Трещина
</t>
    </r>
    <r>
      <rPr>
        <b/>
        <sz val="8"/>
        <rFont val="Arial"/>
        <family val="2"/>
      </rPr>
      <t>U</t>
    </r>
    <r>
      <rPr>
        <sz val="8"/>
        <rFont val="Arial"/>
        <family val="2"/>
      </rPr>
      <t xml:space="preserve">  = Undercut/Cháy cạnh/Подрезы</t>
    </r>
  </si>
  <si>
    <t>Reported by PT Level II</t>
  </si>
  <si>
    <t>MAGNETIC PARTICLE TESTING REPORT</t>
  </si>
  <si>
    <r>
      <rPr>
        <sz val="11"/>
        <rFont val="Arial"/>
        <family val="2"/>
      </rPr>
      <t xml:space="preserve">Report No:
</t>
    </r>
    <r>
      <rPr>
        <sz val="8"/>
        <rFont val="Arial"/>
        <family val="2"/>
      </rPr>
      <t>Báo cáo số/Отчет No.:</t>
    </r>
  </si>
  <si>
    <t>GONG TU</t>
  </si>
  <si>
    <t>BÁO CÁO KIỂM TRA BỘT TỪ</t>
  </si>
  <si>
    <t>Y1</t>
  </si>
  <si>
    <t>36;37;39;40;41;42;44;47;48;49;50;51;52;53</t>
  </si>
  <si>
    <t>ОТЧЕТ О МАГНИТОПОРОШКОВОМ КОНТРОЛЕ</t>
  </si>
  <si>
    <t xml:space="preserve">Page/Trang:1 of/của  1  </t>
  </si>
  <si>
    <t>Y2</t>
  </si>
  <si>
    <t>54;55;56</t>
  </si>
  <si>
    <t>Form No. QF-15; Rev. No.2</t>
  </si>
  <si>
    <t>Insp. date/Ngày k.tra/Дата</t>
  </si>
  <si>
    <t>Y6</t>
  </si>
  <si>
    <t>5;6;11;18;19;20;21;23</t>
  </si>
  <si>
    <t>Y7</t>
  </si>
  <si>
    <t>29;33</t>
  </si>
  <si>
    <r>
      <rPr>
        <sz val="11"/>
        <rFont val="Arial"/>
        <family val="2"/>
      </rPr>
      <t>Project/</t>
    </r>
    <r>
      <rPr>
        <sz val="10"/>
        <rFont val="Arial"/>
        <family val="2"/>
      </rPr>
      <t xml:space="preserve">Công trình/Объект      </t>
    </r>
  </si>
  <si>
    <r>
      <rPr>
        <sz val="11"/>
        <rFont val="Arial"/>
        <family val="2"/>
      </rPr>
      <t>Item</t>
    </r>
    <r>
      <rPr>
        <sz val="8"/>
        <rFont val="Arial"/>
        <family val="2"/>
      </rPr>
      <t>/Hạng mục</t>
    </r>
    <r>
      <rPr>
        <sz val="11"/>
        <rFont val="Arial"/>
        <family val="2"/>
      </rPr>
      <t>/</t>
    </r>
    <r>
      <rPr>
        <sz val="8"/>
        <rFont val="Arial"/>
        <family val="2"/>
      </rPr>
      <t xml:space="preserve">Наименoвание  </t>
    </r>
    <r>
      <rPr>
        <sz val="10"/>
        <rFont val="Arial"/>
        <family val="2"/>
      </rPr>
      <t xml:space="preserve"> </t>
    </r>
  </si>
  <si>
    <t>Y8</t>
  </si>
  <si>
    <t>34;35</t>
  </si>
  <si>
    <t>SCSSP
016</t>
  </si>
  <si>
    <t>GÔNG TỪ DƯỚI NƯỚC</t>
  </si>
  <si>
    <r>
      <rPr>
        <sz val="11"/>
        <rFont val="Arial"/>
        <family val="2"/>
      </rPr>
      <t>Procedure</t>
    </r>
    <r>
      <rPr>
        <sz val="10"/>
        <rFont val="Arial"/>
        <family val="2"/>
      </rPr>
      <t>/</t>
    </r>
    <r>
      <rPr>
        <sz val="8"/>
        <rFont val="Arial"/>
        <family val="2"/>
      </rPr>
      <t>Qui trình/Процедура</t>
    </r>
    <r>
      <rPr>
        <sz val="10"/>
        <rFont val="Arial"/>
        <family val="2"/>
      </rPr>
      <t xml:space="preserve">     </t>
    </r>
  </si>
  <si>
    <r>
      <rPr>
        <sz val="11"/>
        <rFont val="Arial"/>
        <family val="2"/>
      </rPr>
      <t>Acceptance criteria</t>
    </r>
    <r>
      <rPr>
        <sz val="10"/>
        <rFont val="Arial"/>
        <family val="2"/>
      </rPr>
      <t xml:space="preserve">/Tiêu chuẩn chấp nhận/Oцениваемая критерия   </t>
    </r>
  </si>
  <si>
    <t>P6/QA/21 Rev 4</t>
  </si>
  <si>
    <r>
      <rPr>
        <sz val="11"/>
        <rFont val="Arial"/>
        <family val="2"/>
      </rPr>
      <t>MPI method</t>
    </r>
    <r>
      <rPr>
        <sz val="8"/>
        <rFont val="Arial"/>
        <family val="2"/>
      </rPr>
      <t>/Phương pháp/Метод</t>
    </r>
  </si>
  <si>
    <r>
      <rPr>
        <sz val="11"/>
        <rFont val="Arial"/>
        <family val="2"/>
      </rPr>
      <t>Equipment</t>
    </r>
    <r>
      <rPr>
        <sz val="8"/>
        <rFont val="Arial"/>
        <family val="2"/>
      </rPr>
      <t>/Thiết bị/Оборудование</t>
    </r>
  </si>
  <si>
    <r>
      <rPr>
        <sz val="11"/>
        <rFont val="Arial"/>
        <family val="2"/>
      </rPr>
      <t>Current</t>
    </r>
    <r>
      <rPr>
        <sz val="8"/>
        <rFont val="Arial"/>
        <family val="2"/>
      </rPr>
      <t>/Dòng điện/Ток:</t>
    </r>
  </si>
  <si>
    <t>WET Continuous</t>
  </si>
  <si>
    <t>AC</t>
  </si>
  <si>
    <r>
      <rPr>
        <sz val="11"/>
        <rFont val="Arial"/>
        <family val="2"/>
      </rPr>
      <t>Pole spacing</t>
    </r>
    <r>
      <rPr>
        <sz val="8"/>
        <rFont val="Arial"/>
        <family val="2"/>
      </rPr>
      <t>/Khoảng cách cực từ</t>
    </r>
  </si>
  <si>
    <r>
      <rPr>
        <sz val="11"/>
        <rFont val="Arial"/>
        <family val="2"/>
      </rPr>
      <t>Magnetic particle</t>
    </r>
    <r>
      <rPr>
        <sz val="8"/>
        <rFont val="Arial"/>
        <family val="2"/>
      </rPr>
      <t>/Bột từ</t>
    </r>
  </si>
  <si>
    <r>
      <rPr>
        <sz val="11"/>
        <rFont val="Arial"/>
        <family val="2"/>
      </rPr>
      <t>Background</t>
    </r>
    <r>
      <rPr>
        <sz val="8"/>
        <rFont val="Arial"/>
        <family val="2"/>
      </rPr>
      <t>/Nền/Грунт:</t>
    </r>
    <r>
      <rPr>
        <sz val="10"/>
        <rFont val="Arial"/>
        <family val="2"/>
      </rPr>
      <t xml:space="preserve">   </t>
    </r>
  </si>
  <si>
    <r>
      <rPr>
        <sz val="8"/>
        <rFont val="Arial"/>
        <family val="2"/>
      </rPr>
      <t xml:space="preserve">Растояние магнитных полюсов                                          </t>
    </r>
    <r>
      <rPr>
        <b/>
        <sz val="10"/>
        <rFont val="Arial"/>
        <family val="2"/>
      </rPr>
      <t>70</t>
    </r>
    <r>
      <rPr>
        <b/>
        <sz val="10"/>
        <rFont val="Calibri"/>
        <family val="2"/>
      </rPr>
      <t>÷</t>
    </r>
    <r>
      <rPr>
        <b/>
        <sz val="10"/>
        <rFont val="Arial"/>
        <family val="2"/>
      </rPr>
      <t>150mm</t>
    </r>
  </si>
  <si>
    <r>
      <rPr>
        <sz val="8"/>
        <rFont val="Arial"/>
        <family val="2"/>
      </rPr>
      <t xml:space="preserve">Магнитопорошок     </t>
    </r>
    <r>
      <rPr>
        <sz val="10"/>
        <rFont val="Arial"/>
        <family val="2"/>
      </rPr>
      <t xml:space="preserve"> </t>
    </r>
    <r>
      <rPr>
        <b/>
        <sz val="11"/>
        <rFont val="Arial"/>
        <family val="2"/>
      </rPr>
      <t>7C</t>
    </r>
  </si>
  <si>
    <t>WHITE PAINT</t>
  </si>
  <si>
    <r>
      <rPr>
        <sz val="11"/>
        <rFont val="Arial"/>
        <family val="2"/>
      </rPr>
      <t>Material type</t>
    </r>
    <r>
      <rPr>
        <sz val="10"/>
        <rFont val="Arial"/>
        <family val="2"/>
      </rPr>
      <t xml:space="preserve">/Vật liệu/Материалы </t>
    </r>
  </si>
  <si>
    <r>
      <rPr>
        <sz val="11"/>
        <rFont val="Arial"/>
        <family val="2"/>
      </rPr>
      <t>Surface condition</t>
    </r>
    <r>
      <rPr>
        <sz val="10"/>
        <rFont val="Arial"/>
        <family val="2"/>
      </rPr>
      <t>/Bề mặt</t>
    </r>
  </si>
  <si>
    <r>
      <rPr>
        <sz val="11"/>
        <rFont val="Arial"/>
        <family val="2"/>
      </rPr>
      <t>Cleaned</t>
    </r>
    <r>
      <rPr>
        <sz val="8"/>
        <rFont val="Arial"/>
        <family val="2"/>
      </rPr>
      <t xml:space="preserve">/Làm sạch/Очистка: </t>
    </r>
  </si>
  <si>
    <t>BRUSH</t>
  </si>
  <si>
    <r>
      <rPr>
        <sz val="9"/>
        <rFont val="Arial"/>
        <family val="2"/>
      </rPr>
      <t xml:space="preserve">Detail/
Weld ID
</t>
    </r>
    <r>
      <rPr>
        <sz val="8"/>
        <rFont val="Arial"/>
        <family val="2"/>
      </rPr>
      <t>Chi tiết/Mối hàn 
Номер деталей/
cтыка</t>
    </r>
  </si>
  <si>
    <r>
      <rPr>
        <sz val="9"/>
        <rFont val="Arial"/>
        <family val="2"/>
      </rPr>
      <t>Welder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Thợ hàn
Клеймо cварщика</t>
    </r>
  </si>
  <si>
    <r>
      <rPr>
        <sz val="10"/>
        <rFont val="Arial"/>
        <family val="2"/>
      </rPr>
      <t xml:space="preserve">Ф(mm)/
 L(mm)
</t>
    </r>
    <r>
      <rPr>
        <b/>
        <sz val="8"/>
        <rFont val="Arial"/>
        <family val="2"/>
      </rPr>
      <t>(1)</t>
    </r>
    <r>
      <rPr>
        <sz val="10"/>
        <rFont val="Arial"/>
        <family val="2"/>
      </rPr>
      <t xml:space="preserve">
</t>
    </r>
  </si>
  <si>
    <r>
      <rPr>
        <sz val="9"/>
        <rFont val="Arial"/>
        <family val="2"/>
      </rPr>
      <t>Defect
Type</t>
    </r>
    <r>
      <rPr>
        <sz val="8"/>
        <rFont val="Arial"/>
        <family val="2"/>
      </rPr>
      <t xml:space="preserve">
Loại KT
Тип дефекта</t>
    </r>
  </si>
  <si>
    <r>
      <rPr>
        <sz val="9"/>
        <rFont val="Arial"/>
        <family val="2"/>
      </rPr>
      <t>Result</t>
    </r>
    <r>
      <rPr>
        <sz val="8"/>
        <rFont val="Arial"/>
        <family val="2"/>
      </rPr>
      <t xml:space="preserve">
Kết quả
Оценка
(ACC/REJ)</t>
    </r>
  </si>
  <si>
    <t>LƯU Ý KHI LÀM BÁO CÁO:</t>
  </si>
  <si>
    <t>AS WELDED</t>
  </si>
  <si>
    <t>LÀM TRÊN MỐI HÀN</t>
  </si>
  <si>
    <t>AS GROUND</t>
  </si>
  <si>
    <t>LÀM TRÊN VỊ TRÍ ĐÃ ĐƯỢC MÀI( VD: VÙNG KIM LOAI CƠ BẢN ĐƯỢC MÀI, VÙNG SỬA CHỮA SAU KHI LOẠI BỎ KHUYẾT TẬT, MŨ MỐI HÀN DC MÀI..</t>
  </si>
  <si>
    <t>CASTING</t>
  </si>
  <si>
    <t>MANI, MOC PALANG</t>
  </si>
  <si>
    <t xml:space="preserve">Ghi chú: Kiểm tra MT được thực hiện trước và sau khi hàn đắp.   </t>
  </si>
  <si>
    <t>Note: (1). S: Area (cm²), (2). MPI after prepared  surfaces and after carried out  overlap welding</t>
  </si>
  <si>
    <t>Note:</t>
  </si>
  <si>
    <t>- UT after overlap welding</t>
  </si>
  <si>
    <r>
      <rPr>
        <b/>
        <u/>
        <sz val="8"/>
        <rFont val="Arial"/>
        <family val="2"/>
      </rPr>
      <t>REMARKS</t>
    </r>
    <r>
      <rPr>
        <u/>
        <sz val="8"/>
        <rFont val="Arial"/>
        <family val="2"/>
      </rPr>
      <t>/Ghi chú/Примечание</t>
    </r>
    <r>
      <rPr>
        <sz val="8"/>
        <rFont val="Arial"/>
        <family val="2"/>
      </rPr>
      <t xml:space="preserve">:   </t>
    </r>
    <r>
      <rPr>
        <b/>
        <sz val="8"/>
        <rFont val="Arial"/>
        <family val="2"/>
      </rPr>
      <t>ACC</t>
    </r>
    <r>
      <rPr>
        <sz val="8"/>
        <rFont val="Arial"/>
        <family val="2"/>
      </rPr>
      <t xml:space="preserve">= Accept/Đạt/Годен,    </t>
    </r>
    <r>
      <rPr>
        <b/>
        <sz val="8"/>
        <rFont val="Arial"/>
        <family val="2"/>
      </rPr>
      <t>REJ</t>
    </r>
    <r>
      <rPr>
        <sz val="8"/>
        <rFont val="Arial"/>
        <family val="2"/>
      </rPr>
      <t xml:space="preserve">= Reject/Không đạt/Негоден,    </t>
    </r>
    <r>
      <rPr>
        <b/>
        <sz val="8"/>
        <rFont val="Arial"/>
        <family val="2"/>
      </rPr>
      <t>KT</t>
    </r>
    <r>
      <rPr>
        <sz val="8"/>
        <rFont val="Arial"/>
        <family val="2"/>
      </rPr>
      <t xml:space="preserve">= Defect/Khuyết tật/Дефект
</t>
    </r>
    <r>
      <rPr>
        <b/>
        <sz val="8"/>
        <rFont val="Arial"/>
        <family val="2"/>
      </rPr>
      <t>(1)</t>
    </r>
    <r>
      <rPr>
        <sz val="8"/>
        <rFont val="Arial"/>
        <family val="2"/>
      </rPr>
      <t xml:space="preserve"> Ф - diameter /đường kính /диаметр  ; L - length /chiều dài /длина </t>
    </r>
  </si>
  <si>
    <r>
      <rPr>
        <b/>
        <u/>
        <sz val="8"/>
        <rFont val="Arial"/>
        <family val="2"/>
      </rPr>
      <t>Defect Type</t>
    </r>
    <r>
      <rPr>
        <u/>
        <sz val="8"/>
        <rFont val="Arial"/>
        <family val="2"/>
      </rPr>
      <t xml:space="preserve">/Dạng khuyết tật/Тип дефекта </t>
    </r>
  </si>
  <si>
    <r>
      <rPr>
        <b/>
        <sz val="8"/>
        <rFont val="Arial"/>
        <family val="2"/>
      </rPr>
      <t xml:space="preserve">LP </t>
    </r>
    <r>
      <rPr>
        <sz val="8"/>
        <rFont val="Arial"/>
        <family val="2"/>
      </rPr>
      <t xml:space="preserve">=  Lack of Penetration/Không thấu
          Непровар в корне
</t>
    </r>
    <r>
      <rPr>
        <b/>
        <sz val="8"/>
        <rFont val="Arial"/>
        <family val="2"/>
      </rPr>
      <t>CR</t>
    </r>
    <r>
      <rPr>
        <sz val="8"/>
        <rFont val="Arial"/>
        <family val="2"/>
      </rPr>
      <t xml:space="preserve"> =  Crater crack/Nứt dạng sao/
          Звездообразная трешина</t>
    </r>
  </si>
  <si>
    <r>
      <rPr>
        <b/>
        <sz val="8"/>
        <rFont val="Arial"/>
        <family val="2"/>
      </rPr>
      <t>OL</t>
    </r>
    <r>
      <rPr>
        <sz val="8"/>
        <rFont val="Arial"/>
        <family val="2"/>
      </rPr>
      <t xml:space="preserve"> = Overlap/Tràn lớp/Сливание слоя
</t>
    </r>
    <r>
      <rPr>
        <b/>
        <sz val="8"/>
        <rFont val="Arial"/>
        <family val="2"/>
      </rPr>
      <t>P</t>
    </r>
    <r>
      <rPr>
        <sz val="8"/>
        <rFont val="Arial"/>
        <family val="2"/>
      </rPr>
      <t xml:space="preserve">   = Porosity/Rỗ khí/Поры
</t>
    </r>
    <r>
      <rPr>
        <b/>
        <sz val="8"/>
        <rFont val="Arial"/>
        <family val="2"/>
      </rPr>
      <t xml:space="preserve">SI  </t>
    </r>
    <r>
      <rPr>
        <sz val="8"/>
        <rFont val="Arial"/>
        <family val="2"/>
      </rPr>
      <t>= Slag Inclusion/Ngậm sỉ
        Шлакoвое включене</t>
    </r>
  </si>
  <si>
    <r>
      <rPr>
        <b/>
        <sz val="8"/>
        <rFont val="Arial"/>
        <family val="2"/>
      </rPr>
      <t>LF</t>
    </r>
    <r>
      <rPr>
        <sz val="8"/>
        <rFont val="Arial"/>
        <family val="2"/>
      </rPr>
      <t xml:space="preserve"> = Lack of Fusion/Không ngấu/Непровар 
        между валиками или по разделке
</t>
    </r>
    <r>
      <rPr>
        <b/>
        <sz val="8"/>
        <rFont val="Arial"/>
        <family val="2"/>
      </rPr>
      <t>C</t>
    </r>
    <r>
      <rPr>
        <sz val="8"/>
        <rFont val="Arial"/>
        <family val="2"/>
      </rPr>
      <t xml:space="preserve">  = Crack/Nứt/Трешина
</t>
    </r>
    <r>
      <rPr>
        <b/>
        <sz val="8"/>
        <rFont val="Arial"/>
        <family val="2"/>
      </rPr>
      <t>U</t>
    </r>
    <r>
      <rPr>
        <sz val="8"/>
        <rFont val="Arial"/>
        <family val="2"/>
      </rPr>
      <t xml:space="preserve">  = Undercut/Cháy cạnh/Подрезы</t>
    </r>
  </si>
  <si>
    <t>Reported by NDT MT Level II</t>
  </si>
  <si>
    <r>
      <rPr>
        <sz val="9"/>
        <rFont val="Arial"/>
        <family val="2"/>
      </rPr>
      <t>Name/H.Tên/Ф.И.О:</t>
    </r>
    <r>
      <rPr>
        <b/>
        <sz val="9"/>
        <rFont val="Arial"/>
        <family val="2"/>
      </rPr>
      <t xml:space="preserve">  </t>
    </r>
  </si>
  <si>
    <t xml:space="preserve">Date/Ngày/Дата </t>
  </si>
  <si>
    <t>Note: (*) MT was carried out after repaired.</t>
  </si>
  <si>
    <t>Note: (*) MT was carried out 10% by length for above weld joint.</t>
  </si>
  <si>
    <t>Note: (*) MT was carried out 4PCS for above weld joint</t>
  </si>
  <si>
    <t>Nguồn:</t>
  </si>
  <si>
    <t>Máy đo liều:</t>
  </si>
  <si>
    <t>MP-35</t>
  </si>
  <si>
    <t>SM-15</t>
  </si>
  <si>
    <t>3x2.0</t>
  </si>
  <si>
    <r>
      <rPr>
        <sz val="11"/>
        <rFont val="Arial"/>
        <family val="2"/>
      </rPr>
      <t>Film processing</t>
    </r>
    <r>
      <rPr>
        <sz val="12"/>
        <rFont val="Arial"/>
        <family val="2"/>
      </rPr>
      <t xml:space="preserve">:         MANUAL      </t>
    </r>
  </si>
  <si>
    <t>NDT SUMMRY( MT,PT,RT)</t>
  </si>
  <si>
    <t>FUJI100</t>
  </si>
  <si>
    <t>OCD/NDT/031</t>
  </si>
  <si>
    <t>01/04/2022</t>
  </si>
  <si>
    <t>31/03/2027</t>
  </si>
  <si>
    <t>31/01/2028</t>
  </si>
  <si>
    <r>
      <rPr>
        <b/>
        <sz val="12"/>
        <rFont val="Arial"/>
        <family val="2"/>
      </rPr>
      <t xml:space="preserve">QC &amp; Welding Dept.
</t>
    </r>
    <r>
      <rPr>
        <sz val="12"/>
        <rFont val="Arial"/>
        <family val="2"/>
      </rPr>
      <t xml:space="preserve">Checked by QC Manager.
Name:     </t>
    </r>
    <r>
      <rPr>
        <b/>
        <sz val="12"/>
        <rFont val="Arial"/>
        <family val="2"/>
      </rPr>
      <t>PHAM VAN TOAN</t>
    </r>
    <r>
      <rPr>
        <sz val="12"/>
        <rFont val="Arial"/>
        <family val="2"/>
      </rPr>
      <t xml:space="preserve">
Signature:</t>
    </r>
    <r>
      <rPr>
        <b/>
        <sz val="12"/>
        <rFont val="Arial"/>
        <family val="2"/>
      </rPr>
      <t xml:space="preserve">
</t>
    </r>
  </si>
  <si>
    <t>CTK3 (NVSX:006-25)</t>
  </si>
  <si>
    <t>SỬA CHỮA ỐNG CÔNG NGHỆ</t>
  </si>
  <si>
    <t>ASME B31.3  2022</t>
  </si>
  <si>
    <t>Y6 ( No.5)</t>
  </si>
  <si>
    <t>25.006-RT-001</t>
  </si>
  <si>
    <t>CTK3-SỬA CHỮA ỐNG CÔNG NGHỆ</t>
  </si>
  <si>
    <t>CTK3</t>
  </si>
  <si>
    <t>006-25</t>
  </si>
  <si>
    <t>TRAN VAN DOAN
XL104</t>
  </si>
  <si>
    <t>BUI VAN DUNG
XL128</t>
  </si>
  <si>
    <t>OCD/NDT/017</t>
  </si>
  <si>
    <t>OCD/NDT/018</t>
  </si>
  <si>
    <t>01/01/2024</t>
  </si>
  <si>
    <t>ND-CPP3-265-PART 072:3-OM-02-31</t>
  </si>
  <si>
    <t>P</t>
  </si>
  <si>
    <t>25.006-RT-001R</t>
  </si>
  <si>
    <t>3R</t>
  </si>
  <si>
    <t>25.006-RT-002</t>
  </si>
  <si>
    <t>ND-CPP3-265-PART 420+421+424</t>
  </si>
  <si>
    <t>2;4</t>
  </si>
  <si>
    <t xml:space="preserve">    No. 11 (S4835)</t>
  </si>
  <si>
    <t>Y6 (No 5)</t>
  </si>
  <si>
    <t>NVSX:(006-25)</t>
  </si>
  <si>
    <t>CTK3  (NVSX:006-25)</t>
  </si>
  <si>
    <t>1;2;3;4</t>
  </si>
  <si>
    <t>25.006-RT-003</t>
  </si>
  <si>
    <t>ND-CPP3-265-PART 073:2-FL-02-38</t>
  </si>
  <si>
    <t>4</t>
  </si>
  <si>
    <t>2;3;4;5</t>
  </si>
  <si>
    <t>Ф60</t>
  </si>
  <si>
    <t>25.006-RT-004</t>
  </si>
  <si>
    <t>25.006-RT-005</t>
  </si>
  <si>
    <t>ND-CPP3-265-PART 662:2-DC-58-04</t>
  </si>
  <si>
    <t>2;3</t>
  </si>
  <si>
    <t>7;8;1;6</t>
  </si>
  <si>
    <t>25.006-RT-006</t>
  </si>
  <si>
    <t>ND-CPP3-265-PART 658:8-FL-57-16</t>
  </si>
  <si>
    <t>1;4</t>
  </si>
  <si>
    <t>25.006-MT-001÷002</t>
  </si>
  <si>
    <t>G10:No 03409. G19:No 03440</t>
  </si>
  <si>
    <t>10 FE EN</t>
  </si>
  <si>
    <r>
      <t>RT techniques</t>
    </r>
    <r>
      <rPr>
        <sz val="8"/>
        <rFont val="Arial"/>
        <family val="2"/>
      </rPr>
      <t>/Kỹ thuật chụp/Текника фотографии</t>
    </r>
  </si>
  <si>
    <t xml:space="preserve">        SWSI            DWSI         DWDI          PANORAMIC</t>
  </si>
  <si>
    <r>
      <t>No</t>
    </r>
    <r>
      <rPr>
        <sz val="8"/>
        <rFont val="Arial"/>
        <family val="2"/>
      </rPr>
      <t xml:space="preserve">
STT
П/н</t>
    </r>
  </si>
  <si>
    <r>
      <t xml:space="preserve">Drawing No.
</t>
    </r>
    <r>
      <rPr>
        <sz val="8"/>
        <rFont val="Arial"/>
        <family val="2"/>
      </rPr>
      <t>Số bản vẽ
Чертеж No.</t>
    </r>
  </si>
  <si>
    <r>
      <t xml:space="preserve">Weld ID
</t>
    </r>
    <r>
      <rPr>
        <sz val="8"/>
        <rFont val="Arial"/>
        <family val="2"/>
      </rPr>
      <t>Mối hàn
Номер стыка</t>
    </r>
  </si>
  <si>
    <r>
      <t xml:space="preserve">Welder
</t>
    </r>
    <r>
      <rPr>
        <sz val="8"/>
        <rFont val="Arial"/>
        <family val="2"/>
      </rPr>
      <t>Thợ hàn
Клеймо cварщика</t>
    </r>
  </si>
  <si>
    <r>
      <t>Area</t>
    </r>
    <r>
      <rPr>
        <sz val="8"/>
        <rFont val="Arial"/>
        <family val="2"/>
      </rPr>
      <t xml:space="preserve">
Phạm vi
Предел 
</t>
    </r>
  </si>
  <si>
    <r>
      <t xml:space="preserve">Defect
</t>
    </r>
    <r>
      <rPr>
        <sz val="8"/>
        <rFont val="Arial"/>
        <family val="2"/>
      </rPr>
      <t>Location
Vị trí KT
Место
дефекта</t>
    </r>
  </si>
  <si>
    <r>
      <t xml:space="preserve">Defect
Length
</t>
    </r>
    <r>
      <rPr>
        <sz val="8"/>
        <rFont val="Arial"/>
        <family val="2"/>
      </rPr>
      <t xml:space="preserve">KT dài
Длина дефекта
(mm)
</t>
    </r>
  </si>
  <si>
    <r>
      <t xml:space="preserve">Defect
Type
</t>
    </r>
    <r>
      <rPr>
        <sz val="8"/>
        <rFont val="Arial"/>
        <family val="2"/>
      </rPr>
      <t>Loại KT
Тип дефекта</t>
    </r>
  </si>
  <si>
    <r>
      <t xml:space="preserve">Result
</t>
    </r>
    <r>
      <rPr>
        <sz val="8"/>
        <rFont val="Arial"/>
        <family val="2"/>
      </rPr>
      <t>Kết quả
Оценка
(ACC/
REJ)</t>
    </r>
  </si>
  <si>
    <r>
      <t>Remark</t>
    </r>
    <r>
      <rPr>
        <sz val="8"/>
        <rFont val="Arial"/>
        <family val="2"/>
      </rPr>
      <t xml:space="preserve">
Ghi chú Прим.
</t>
    </r>
  </si>
  <si>
    <r>
      <t>DWSI</t>
    </r>
    <r>
      <rPr>
        <sz val="8"/>
        <rFont val="Arial"/>
        <family val="2"/>
      </rPr>
      <t xml:space="preserve"> = Double Wall Single Image</t>
    </r>
  </si>
  <si>
    <r>
      <t xml:space="preserve"> Ф x T </t>
    </r>
    <r>
      <rPr>
        <sz val="8"/>
        <rFont val="Arial"/>
        <family val="2"/>
      </rPr>
      <t xml:space="preserve">-Diameter x thickness/đường kínhx
chiều dày/диаметр x толщина
</t>
    </r>
    <r>
      <rPr>
        <b/>
        <sz val="8"/>
        <rFont val="Arial"/>
        <family val="2"/>
      </rPr>
      <t xml:space="preserve"> L x T </t>
    </r>
    <r>
      <rPr>
        <sz val="8"/>
        <rFont val="Arial"/>
        <family val="2"/>
      </rPr>
      <t xml:space="preserve">- Length x thickness/chiều dài x chiều dày/длина x толщина
</t>
    </r>
  </si>
  <si>
    <r>
      <t xml:space="preserve">REJ </t>
    </r>
    <r>
      <rPr>
        <sz val="8"/>
        <rFont val="Arial"/>
        <family val="2"/>
      </rPr>
      <t xml:space="preserve"> = Reject/ Không đạt/Не годен</t>
    </r>
  </si>
  <si>
    <r>
      <t>DWDI</t>
    </r>
    <r>
      <rPr>
        <sz val="8"/>
        <rFont val="Arial"/>
        <family val="2"/>
      </rPr>
      <t xml:space="preserve"> = Double Wall Double Image</t>
    </r>
  </si>
  <si>
    <r>
      <t>ACC</t>
    </r>
    <r>
      <rPr>
        <sz val="8"/>
        <rFont val="Arial"/>
        <family val="2"/>
      </rPr>
      <t xml:space="preserve"> = Accept/Đạt/Годен</t>
    </r>
  </si>
  <si>
    <r>
      <t xml:space="preserve">SWSI </t>
    </r>
    <r>
      <rPr>
        <sz val="8"/>
        <rFont val="Arial"/>
        <family val="2"/>
      </rPr>
      <t>= Single Wall Single Image</t>
    </r>
  </si>
  <si>
    <r>
      <t xml:space="preserve">KT </t>
    </r>
    <r>
      <rPr>
        <sz val="8"/>
        <rFont val="Arial"/>
        <family val="2"/>
      </rPr>
      <t>= Defect/Khuyết tật/Дефект</t>
    </r>
  </si>
  <si>
    <r>
      <t>RS</t>
    </r>
    <r>
      <rPr>
        <sz val="8"/>
        <rFont val="Arial"/>
        <family val="2"/>
      </rPr>
      <t>= Reshoot/Chụp lại/Переделать</t>
    </r>
  </si>
  <si>
    <r>
      <t>Defect Type/dạng KT/Тип дефектов</t>
    </r>
    <r>
      <rPr>
        <b/>
        <sz val="8"/>
        <rFont val="Arial"/>
        <family val="2"/>
      </rPr>
      <t xml:space="preserve">
BT </t>
    </r>
    <r>
      <rPr>
        <sz val="8"/>
        <rFont val="Arial"/>
        <family val="2"/>
      </rPr>
      <t xml:space="preserve">= Burn Through/Cháy đáy/Загорание
</t>
    </r>
    <r>
      <rPr>
        <b/>
        <sz val="8"/>
        <rFont val="Arial"/>
        <family val="2"/>
      </rPr>
      <t>C</t>
    </r>
    <r>
      <rPr>
        <sz val="8"/>
        <rFont val="Arial"/>
        <family val="2"/>
      </rPr>
      <t xml:space="preserve">   = Crack/Nứt/Трешина
</t>
    </r>
    <r>
      <rPr>
        <b/>
        <sz val="8"/>
        <rFont val="Arial"/>
        <family val="2"/>
      </rPr>
      <t>CP =</t>
    </r>
    <r>
      <rPr>
        <sz val="8"/>
        <rFont val="Arial"/>
        <family val="2"/>
      </rPr>
      <t xml:space="preserve"> Chùm rỗ khí/Cluster Porosity/
         Цепочка пор
</t>
    </r>
    <r>
      <rPr>
        <b/>
        <sz val="8"/>
        <rFont val="Arial"/>
        <family val="2"/>
      </rPr>
      <t>ESI</t>
    </r>
    <r>
      <rPr>
        <sz val="8"/>
        <rFont val="Arial"/>
        <family val="2"/>
      </rPr>
      <t xml:space="preserve">= Elongated Slag Inclusion/Sỉ dài
        Удлинительное шлаковое включение
</t>
    </r>
    <r>
      <rPr>
        <b/>
        <sz val="8"/>
        <rFont val="Arial"/>
        <family val="2"/>
      </rPr>
      <t>ER</t>
    </r>
    <r>
      <rPr>
        <sz val="8"/>
        <rFont val="Arial"/>
        <family val="2"/>
      </rPr>
      <t xml:space="preserve"> = Excess Root/Lồi đáy/Выпуклость корня 
</t>
    </r>
    <r>
      <rPr>
        <b/>
        <sz val="8"/>
        <rFont val="Arial"/>
        <family val="2"/>
      </rPr>
      <t>RP</t>
    </r>
    <r>
      <rPr>
        <sz val="8"/>
        <rFont val="Arial"/>
        <family val="2"/>
      </rPr>
      <t xml:space="preserve"> = Random Porosity/Rỗ khí rải rác</t>
    </r>
  </si>
  <si>
    <r>
      <t xml:space="preserve">EU </t>
    </r>
    <r>
      <rPr>
        <sz val="8"/>
        <rFont val="Arial"/>
        <family val="2"/>
      </rPr>
      <t xml:space="preserve">= External Undercut/Cháy cạnh
        ngoài/ Внешний подрез
</t>
    </r>
    <r>
      <rPr>
        <b/>
        <sz val="8"/>
        <rFont val="Arial"/>
        <family val="2"/>
      </rPr>
      <t xml:space="preserve">ISI </t>
    </r>
    <r>
      <rPr>
        <sz val="8"/>
        <rFont val="Arial"/>
        <family val="2"/>
      </rPr>
      <t xml:space="preserve">= Isolated Slag Inclusion/Sỉ đơn 
       Шлаковое включение
</t>
    </r>
    <r>
      <rPr>
        <b/>
        <sz val="8"/>
        <rFont val="Arial"/>
        <family val="2"/>
      </rPr>
      <t xml:space="preserve">IU </t>
    </r>
    <r>
      <rPr>
        <sz val="8"/>
        <rFont val="Arial"/>
        <family val="2"/>
      </rPr>
      <t xml:space="preserve">= Internal Undercut/Cháy cạnh trong
       Внутренний подрез
</t>
    </r>
    <r>
      <rPr>
        <b/>
        <sz val="8"/>
        <rFont val="Arial"/>
        <family val="2"/>
      </rPr>
      <t xml:space="preserve">IC </t>
    </r>
    <r>
      <rPr>
        <sz val="8"/>
        <rFont val="Arial"/>
        <family val="2"/>
      </rPr>
      <t xml:space="preserve">= Internal Concavity/Lõm đáy/
       Вогнутость корня
</t>
    </r>
    <r>
      <rPr>
        <b/>
        <sz val="8"/>
        <rFont val="Arial"/>
        <family val="2"/>
      </rPr>
      <t>P</t>
    </r>
    <r>
      <rPr>
        <sz val="8"/>
        <rFont val="Arial"/>
        <family val="2"/>
      </rPr>
      <t xml:space="preserve">  =  Porosity/Rỗ khí/Отделная пора</t>
    </r>
  </si>
  <si>
    <r>
      <t>LF</t>
    </r>
    <r>
      <rPr>
        <sz val="8"/>
        <rFont val="Arial"/>
        <family val="2"/>
      </rPr>
      <t xml:space="preserve"> = Lack of Fusion/Không ngấu           
        Непровар между валиками или по 
        разделке
</t>
    </r>
    <r>
      <rPr>
        <b/>
        <sz val="8"/>
        <rFont val="Arial"/>
        <family val="2"/>
      </rPr>
      <t>LP</t>
    </r>
    <r>
      <rPr>
        <sz val="8"/>
        <rFont val="Arial"/>
        <family val="2"/>
      </rPr>
      <t xml:space="preserve"> = Lack of Penetration/Không thấu/
         Непровар в корне
</t>
    </r>
    <r>
      <rPr>
        <b/>
        <sz val="8"/>
        <rFont val="Arial"/>
        <family val="2"/>
      </rPr>
      <t xml:space="preserve">TI </t>
    </r>
    <r>
      <rPr>
        <sz val="8"/>
        <rFont val="Arial"/>
        <family val="2"/>
      </rPr>
      <t xml:space="preserve">= Tungsten Inclusion/Sỉ tungsten  
        Вольфрамовое включение 
</t>
    </r>
    <r>
      <rPr>
        <b/>
        <sz val="8"/>
        <rFont val="Arial"/>
        <family val="2"/>
      </rPr>
      <t>S</t>
    </r>
    <r>
      <rPr>
        <sz val="8"/>
        <rFont val="Arial"/>
        <family val="2"/>
      </rPr>
      <t>=   Surface defect/KT bề mặt
        Поверхностный дефект</t>
    </r>
  </si>
  <si>
    <r>
      <t>Cert. Authority</t>
    </r>
    <r>
      <rPr>
        <b/>
        <sz val="8"/>
        <rFont val="Arial"/>
        <family val="2"/>
      </rPr>
      <t/>
    </r>
  </si>
  <si>
    <r>
      <t xml:space="preserve">Name/H.Tên/Ф.И.О:   </t>
    </r>
    <r>
      <rPr>
        <b/>
        <sz val="9"/>
        <rFont val="Arial"/>
        <family val="2"/>
      </rPr>
      <t>NG. V. PHONG LUU</t>
    </r>
  </si>
  <si>
    <t xml:space="preserve">Date/Ngày/Дата:   </t>
  </si>
  <si>
    <t xml:space="preserve">Date/Ngày/Дата:  </t>
  </si>
  <si>
    <t>25.006-RT-007</t>
  </si>
  <si>
    <t>ND-CPP3-265-PART</t>
  </si>
  <si>
    <t>25.006-RT-008</t>
  </si>
  <si>
    <t>ND-CPP3-265-PART 646-2"-G-56-40</t>
  </si>
  <si>
    <t>ND-CPP3-265-PART 639-2"-G-56-06</t>
  </si>
  <si>
    <t>25.006-RT-010</t>
  </si>
  <si>
    <t>25.006-RT-011</t>
  </si>
  <si>
    <t>25.006-RT-012</t>
  </si>
  <si>
    <t>25.006-RT-013</t>
  </si>
  <si>
    <t>25.006-RT-013R</t>
  </si>
  <si>
    <t>6R</t>
  </si>
  <si>
    <t>25.006-RT-014</t>
  </si>
  <si>
    <t>25.006-RT-015</t>
  </si>
  <si>
    <t>ND-CPP3-265-PART 587-4"-G-52-43</t>
  </si>
  <si>
    <t>ND-CPP3-265-PART 641-2"-DC-56-08</t>
  </si>
  <si>
    <t>ND-CPP3-265-PART 154-4"-ST-04-97</t>
  </si>
  <si>
    <t>ND-CPP3-265-PART 705-2"-ST-17-29</t>
  </si>
  <si>
    <t>2;3;4</t>
  </si>
  <si>
    <t>1;2</t>
  </si>
  <si>
    <t>1;2;3;4;5</t>
  </si>
  <si>
    <t>1;6;7;8</t>
  </si>
  <si>
    <t>NGUYEN VIET PHONG LUU
XL1709</t>
  </si>
  <si>
    <t>OCD/NDT/103</t>
  </si>
  <si>
    <t>04/12/2023</t>
  </si>
  <si>
    <t>03/12/2028</t>
  </si>
  <si>
    <t>Giẻ lau</t>
  </si>
  <si>
    <t>NGUYỄN VIẾT PHONG LƯU</t>
  </si>
  <si>
    <t>25.006-RT-016</t>
  </si>
  <si>
    <t>25.006-RT-017</t>
  </si>
  <si>
    <t>11R</t>
  </si>
  <si>
    <t>25.006-RT-017R</t>
  </si>
  <si>
    <t>1;5;6;7</t>
  </si>
  <si>
    <t>8;9;10;11</t>
  </si>
  <si>
    <t>Ф114</t>
  </si>
  <si>
    <t>Date :      00/04/2025</t>
  </si>
  <si>
    <t>759;495</t>
  </si>
  <si>
    <r>
      <t>25.006-RT-001</t>
    </r>
    <r>
      <rPr>
        <sz val="10"/>
        <color indexed="8"/>
        <rFont val="Calibri"/>
        <family val="2"/>
      </rPr>
      <t>÷</t>
    </r>
    <r>
      <rPr>
        <sz val="10"/>
        <color indexed="8"/>
        <rFont val="Arial"/>
        <family val="2"/>
      </rPr>
      <t>0023</t>
    </r>
  </si>
  <si>
    <t>25.006-PT-001÷004</t>
  </si>
  <si>
    <t>LE VAN DUNG
XL432</t>
  </si>
  <si>
    <r>
      <t xml:space="preserve">Date/Ngày/Дата:       </t>
    </r>
    <r>
      <rPr>
        <b/>
        <sz val="10"/>
        <rFont val="Arial"/>
        <family val="2"/>
      </rPr>
      <t xml:space="preserve"> 21/04/2025</t>
    </r>
  </si>
  <si>
    <r>
      <t xml:space="preserve">Name/H.Tên/Ф.И.О: </t>
    </r>
    <r>
      <rPr>
        <b/>
        <sz val="10"/>
        <rFont val="Arial"/>
        <family val="2"/>
      </rPr>
      <t xml:space="preserve"> NG.V.PHONG LUU</t>
    </r>
  </si>
  <si>
    <t>04/05/2025</t>
  </si>
  <si>
    <t>Số mét / cm²</t>
  </si>
  <si>
    <t>Số mối / cm²</t>
  </si>
  <si>
    <t>01/12/2021</t>
  </si>
  <si>
    <t>30/11/2026</t>
  </si>
  <si>
    <t>921:4"-DO-60-41</t>
  </si>
  <si>
    <t>25.006-MT-005</t>
  </si>
  <si>
    <t xml:space="preserve">ND-CPP3-265-PART </t>
  </si>
  <si>
    <r>
      <t xml:space="preserve">Name/H.Tên/Ф.И.О: </t>
    </r>
    <r>
      <rPr>
        <b/>
        <sz val="9"/>
        <rFont val="Arial"/>
        <family val="2"/>
      </rPr>
      <t>NG. V. P. LUU</t>
    </r>
  </si>
  <si>
    <t xml:space="preserve">Material type/Loại vật liệu </t>
  </si>
  <si>
    <t>Dye penetrant type/Chất thấm</t>
  </si>
  <si>
    <t xml:space="preserve">PT method/Phương pháp/Метод: </t>
  </si>
  <si>
    <t>Developer type/Chất hiện hình</t>
  </si>
  <si>
    <t>Surface condition/Bề mặt</t>
  </si>
  <si>
    <t>Dwell time/Thời gian thấm</t>
  </si>
  <si>
    <t>Cleaner type/Chất làm sạch</t>
  </si>
  <si>
    <t xml:space="preserve">Cleaned/Làm sạch/Очистка: </t>
  </si>
  <si>
    <t xml:space="preserve">Procedure/Qui trình/Процедура          </t>
  </si>
  <si>
    <t>Item/Hạng mục/Наименавание</t>
  </si>
  <si>
    <t xml:space="preserve">Acceptance criteria/Tiêu chuẩn chấp nhận                            </t>
  </si>
  <si>
    <r>
      <rPr>
        <sz val="10"/>
        <rFont val="Arial"/>
        <family val="2"/>
      </rPr>
      <t>Oцениваемая критерия :</t>
    </r>
    <r>
      <rPr>
        <sz val="8"/>
        <rFont val="Arial"/>
        <family val="2"/>
      </rPr>
      <t xml:space="preserve"> </t>
    </r>
    <r>
      <rPr>
        <sz val="9"/>
        <rFont val="Arial"/>
        <family val="2"/>
      </rPr>
      <t xml:space="preserve"> </t>
    </r>
    <r>
      <rPr>
        <b/>
        <sz val="10"/>
        <rFont val="Arial"/>
        <family val="2"/>
      </rPr>
      <t xml:space="preserve">   ASME B31.3-2022</t>
    </r>
  </si>
  <si>
    <r>
      <rPr>
        <sz val="10"/>
        <rFont val="Arial"/>
        <family val="2"/>
      </rPr>
      <t>Виды материалов</t>
    </r>
    <r>
      <rPr>
        <sz val="8"/>
        <rFont val="Arial"/>
        <family val="2"/>
      </rPr>
      <t xml:space="preserve">   </t>
    </r>
    <r>
      <rPr>
        <b/>
        <sz val="10"/>
        <rFont val="Arial"/>
        <family val="2"/>
      </rPr>
      <t xml:space="preserve"> CARBON STEEL</t>
    </r>
  </si>
  <si>
    <r>
      <rPr>
        <sz val="10"/>
        <rFont val="Arial"/>
        <family val="2"/>
      </rPr>
      <t xml:space="preserve">Поверхность  </t>
    </r>
    <r>
      <rPr>
        <sz val="8"/>
        <rFont val="Arial"/>
        <family val="2"/>
      </rPr>
      <t xml:space="preserve">             </t>
    </r>
    <r>
      <rPr>
        <b/>
        <sz val="8"/>
        <rFont val="Arial"/>
        <family val="2"/>
      </rPr>
      <t xml:space="preserve"> </t>
    </r>
    <r>
      <rPr>
        <b/>
        <sz val="10"/>
        <rFont val="Arial"/>
        <family val="2"/>
      </rPr>
      <t>AS WELDED</t>
    </r>
  </si>
  <si>
    <r>
      <rPr>
        <sz val="10"/>
        <rFont val="Arial"/>
        <family val="2"/>
      </rPr>
      <t>Пpоявитель</t>
    </r>
    <r>
      <rPr>
        <sz val="8"/>
        <rFont val="Arial"/>
        <family val="2"/>
      </rPr>
      <t xml:space="preserve">     </t>
    </r>
    <r>
      <rPr>
        <b/>
        <sz val="10"/>
        <rFont val="Arial"/>
        <family val="2"/>
      </rPr>
      <t xml:space="preserve"> MCD-3010</t>
    </r>
  </si>
  <si>
    <r>
      <rPr>
        <sz val="10"/>
        <rFont val="Arial"/>
        <family val="2"/>
      </rPr>
      <t>Время проникновения</t>
    </r>
    <r>
      <rPr>
        <sz val="8"/>
        <rFont val="Arial"/>
        <family val="2"/>
      </rPr>
      <t xml:space="preserve"> </t>
    </r>
    <r>
      <rPr>
        <b/>
        <sz val="10"/>
        <rFont val="Arial"/>
        <family val="2"/>
      </rPr>
      <t xml:space="preserve"> 10</t>
    </r>
    <r>
      <rPr>
        <b/>
        <sz val="10"/>
        <rFont val="Symbol"/>
        <family val="1"/>
        <charset val="2"/>
      </rPr>
      <t>¸</t>
    </r>
    <r>
      <rPr>
        <b/>
        <sz val="10"/>
        <rFont val="Arial"/>
        <family val="2"/>
      </rPr>
      <t>20 Min</t>
    </r>
  </si>
  <si>
    <r>
      <rPr>
        <sz val="10"/>
        <rFont val="Arial"/>
        <family val="2"/>
      </rPr>
      <t>Kiểm tra/Контроль:</t>
    </r>
    <r>
      <rPr>
        <sz val="8"/>
        <rFont val="Arial"/>
        <family val="2"/>
      </rPr>
      <t xml:space="preserve">     </t>
    </r>
    <r>
      <rPr>
        <b/>
        <sz val="8"/>
        <rFont val="Arial"/>
        <family val="2"/>
      </rPr>
      <t xml:space="preserve">     </t>
    </r>
    <r>
      <rPr>
        <b/>
        <sz val="10"/>
        <rFont val="Arial"/>
        <family val="2"/>
      </rPr>
      <t>20 Min</t>
    </r>
  </si>
  <si>
    <t xml:space="preserve">Page/Trang   1 of/của  1 </t>
  </si>
  <si>
    <t>In.date/Ngày k.tra/Дата</t>
  </si>
  <si>
    <t xml:space="preserve">Báo cáo số/Отчет No.                                                                                         
</t>
  </si>
  <si>
    <r>
      <t>Проникающее вещество:</t>
    </r>
    <r>
      <rPr>
        <b/>
        <sz val="10"/>
        <rFont val="Arial"/>
        <family val="2"/>
      </rPr>
      <t xml:space="preserve"> MCP-2010</t>
    </r>
  </si>
  <si>
    <r>
      <rPr>
        <sz val="9"/>
        <rFont val="Arial"/>
        <family val="2"/>
      </rPr>
      <t>Вещество для очистки</t>
    </r>
    <r>
      <rPr>
        <sz val="8"/>
        <rFont val="Arial"/>
        <family val="2"/>
      </rPr>
      <t xml:space="preserve">   </t>
    </r>
    <r>
      <rPr>
        <b/>
        <sz val="10"/>
        <rFont val="Arial"/>
        <family val="2"/>
      </rPr>
      <t>MCC-1010</t>
    </r>
  </si>
  <si>
    <t>845:2"-DO-07-10</t>
  </si>
  <si>
    <t>25.006-PT-006</t>
  </si>
  <si>
    <t>10 / 650</t>
  </si>
  <si>
    <t>3,51 / 650</t>
  </si>
  <si>
    <t>Date/Ngày/Дата</t>
  </si>
  <si>
    <t>ULTRASONIC TESTING REPORT</t>
  </si>
  <si>
    <t>BÁO CÁO KIỂM TRA SIÊU ÂM</t>
  </si>
  <si>
    <t>25.191-UT-001</t>
  </si>
  <si>
    <t>ОТЧЕТ ОБ УЛЬТРАЗВУКОВОМ КОНТРОЛЕ</t>
  </si>
  <si>
    <t>Form :  QF-11; Rev. No. 2</t>
  </si>
  <si>
    <r>
      <rPr>
        <sz val="11"/>
        <rFont val="Arial"/>
        <family val="2"/>
      </rPr>
      <t>Insp. date</t>
    </r>
    <r>
      <rPr>
        <sz val="8"/>
        <rFont val="Arial"/>
        <family val="2"/>
      </rPr>
      <t>/Ngày k.tra/Дата:</t>
    </r>
  </si>
  <si>
    <t>30/05/2025</t>
  </si>
  <si>
    <r>
      <rPr>
        <sz val="11"/>
        <rFont val="Arial"/>
        <family val="2"/>
      </rPr>
      <t>Project/</t>
    </r>
    <r>
      <rPr>
        <sz val="8"/>
        <rFont val="Arial"/>
        <family val="2"/>
      </rPr>
      <t xml:space="preserve">Công trình/Объект  </t>
    </r>
    <r>
      <rPr>
        <sz val="11"/>
        <rFont val="Arial"/>
        <family val="2"/>
      </rPr>
      <t xml:space="preserve"> </t>
    </r>
    <r>
      <rPr>
        <sz val="8"/>
        <rFont val="Arial"/>
        <family val="2"/>
      </rPr>
      <t xml:space="preserve">        </t>
    </r>
    <r>
      <rPr>
        <sz val="10"/>
        <rFont val="Arial"/>
        <family val="2"/>
      </rPr>
      <t xml:space="preserve">      </t>
    </r>
    <r>
      <rPr>
        <sz val="11"/>
        <rFont val="Arial"/>
        <family val="2"/>
      </rPr>
      <t xml:space="preserve">   </t>
    </r>
  </si>
  <si>
    <r>
      <rPr>
        <sz val="11"/>
        <rFont val="Arial"/>
        <family val="2"/>
      </rPr>
      <t>Item</t>
    </r>
    <r>
      <rPr>
        <sz val="8"/>
        <rFont val="Arial"/>
        <family val="2"/>
      </rPr>
      <t xml:space="preserve">/Hạng mục/Наименoвание:  </t>
    </r>
  </si>
  <si>
    <t>MSP5 (NVSX: 191-25)</t>
  </si>
  <si>
    <t>RISER REPAIR NO.3</t>
  </si>
  <si>
    <r>
      <rPr>
        <sz val="11"/>
        <rFont val="Arial"/>
        <family val="2"/>
      </rPr>
      <t>Procedure</t>
    </r>
    <r>
      <rPr>
        <sz val="8"/>
        <rFont val="Arial"/>
        <family val="2"/>
      </rPr>
      <t xml:space="preserve">/Qui trình/Процедура           </t>
    </r>
    <r>
      <rPr>
        <sz val="10"/>
        <rFont val="Arial"/>
        <family val="2"/>
      </rPr>
      <t xml:space="preserve">      </t>
    </r>
    <r>
      <rPr>
        <sz val="11"/>
        <rFont val="Arial"/>
        <family val="2"/>
      </rPr>
      <t xml:space="preserve">   </t>
    </r>
  </si>
  <si>
    <r>
      <rPr>
        <sz val="11"/>
        <rFont val="Arial"/>
        <family val="2"/>
      </rPr>
      <t>Acceptance criteria</t>
    </r>
    <r>
      <rPr>
        <sz val="8"/>
        <rFont val="Arial"/>
        <family val="2"/>
      </rPr>
      <t>/Tiêu chuẩn chấp nhận/Oцениваемая критерия:</t>
    </r>
  </si>
  <si>
    <t>P6/QA/19, Rev 5</t>
  </si>
  <si>
    <t>ASME B31.8 - 2022</t>
  </si>
  <si>
    <r>
      <rPr>
        <sz val="11"/>
        <rFont val="Arial"/>
        <family val="2"/>
      </rPr>
      <t>Flaw detector</t>
    </r>
    <r>
      <rPr>
        <sz val="10"/>
        <rFont val="Arial"/>
        <family val="2"/>
      </rPr>
      <t>/</t>
    </r>
    <r>
      <rPr>
        <sz val="8"/>
        <rFont val="Arial"/>
        <family val="2"/>
      </rPr>
      <t>Thiết bị /Дефектоскоп</t>
    </r>
  </si>
  <si>
    <r>
      <rPr>
        <sz val="11"/>
        <rFont val="Arial"/>
        <family val="2"/>
      </rPr>
      <t>Calibration block</t>
    </r>
    <r>
      <rPr>
        <sz val="8"/>
        <rFont val="Arial"/>
        <family val="2"/>
      </rPr>
      <t>/Mẫu</t>
    </r>
  </si>
  <si>
    <r>
      <rPr>
        <sz val="10"/>
        <rFont val="Arial"/>
        <family val="2"/>
      </rPr>
      <t>DAC block/</t>
    </r>
    <r>
      <rPr>
        <sz val="8"/>
        <rFont val="Arial"/>
        <family val="2"/>
      </rPr>
      <t xml:space="preserve">Mẫu DAC/Блок DAC </t>
    </r>
  </si>
  <si>
    <t>USM35x</t>
  </si>
  <si>
    <t xml:space="preserve"> chuẩn/Эталонный образец</t>
  </si>
  <si>
    <t xml:space="preserve">         </t>
  </si>
  <si>
    <t>V1,V2</t>
  </si>
  <si>
    <r>
      <rPr>
        <sz val="11"/>
        <rFont val="Arial"/>
        <family val="2"/>
      </rPr>
      <t xml:space="preserve">Cable: </t>
    </r>
    <r>
      <rPr>
        <sz val="10"/>
        <rFont val="Arial"/>
        <family val="2"/>
      </rPr>
      <t>Manufacturer/Type/Length/Loại /Тип</t>
    </r>
  </si>
  <si>
    <r>
      <rPr>
        <sz val="11"/>
        <rFont val="Arial"/>
        <family val="2"/>
      </rPr>
      <t>Probes</t>
    </r>
    <r>
      <rPr>
        <sz val="10"/>
        <rFont val="Arial"/>
        <family val="2"/>
      </rPr>
      <t>/</t>
    </r>
    <r>
      <rPr>
        <sz val="8"/>
        <rFont val="Arial"/>
        <family val="2"/>
      </rPr>
      <t>Đầu dò/Искатель</t>
    </r>
  </si>
  <si>
    <t>LEMO.FFA.1S</t>
  </si>
  <si>
    <r>
      <rPr>
        <sz val="11"/>
        <rFont val="Arial"/>
        <family val="2"/>
      </rPr>
      <t>Manufacturer/Type</t>
    </r>
    <r>
      <rPr>
        <sz val="8"/>
        <rFont val="Arial"/>
        <family val="2"/>
      </rPr>
      <t>/</t>
    </r>
    <r>
      <rPr>
        <sz val="7"/>
        <rFont val="Arial"/>
        <family val="2"/>
      </rPr>
      <t>Loại</t>
    </r>
    <r>
      <rPr>
        <sz val="8"/>
        <rFont val="Arial"/>
        <family val="2"/>
      </rPr>
      <t xml:space="preserve"> </t>
    </r>
    <r>
      <rPr>
        <sz val="7"/>
        <rFont val="Arial"/>
        <family val="2"/>
      </rPr>
      <t>/Тип</t>
    </r>
  </si>
  <si>
    <t>GE</t>
  </si>
  <si>
    <t>GB</t>
  </si>
  <si>
    <r>
      <rPr>
        <sz val="11"/>
        <rFont val="Arial"/>
        <family val="2"/>
      </rPr>
      <t>Material</t>
    </r>
    <r>
      <rPr>
        <sz val="10"/>
        <rFont val="Arial"/>
        <family val="2"/>
      </rPr>
      <t>/</t>
    </r>
    <r>
      <rPr>
        <sz val="8"/>
        <rFont val="Arial"/>
        <family val="2"/>
      </rPr>
      <t>Vật liệu/Материалы:</t>
    </r>
    <r>
      <rPr>
        <b/>
        <sz val="10"/>
        <rFont val="Arial"/>
        <family val="2"/>
      </rPr>
      <t xml:space="preserve"> CARBON STEEL</t>
    </r>
  </si>
  <si>
    <r>
      <rPr>
        <sz val="11"/>
        <rFont val="Arial"/>
        <family val="2"/>
      </rPr>
      <t>Serial No</t>
    </r>
    <r>
      <rPr>
        <sz val="8"/>
        <rFont val="Arial"/>
        <family val="2"/>
      </rPr>
      <t>/Số/Cерия No</t>
    </r>
  </si>
  <si>
    <t>53656</t>
  </si>
  <si>
    <t>74020</t>
  </si>
  <si>
    <t>76786</t>
  </si>
  <si>
    <t>54205</t>
  </si>
  <si>
    <r>
      <rPr>
        <sz val="11"/>
        <rFont val="Arial"/>
        <family val="2"/>
      </rPr>
      <t>Joint preparation</t>
    </r>
    <r>
      <rPr>
        <sz val="10"/>
        <rFont val="Arial"/>
        <family val="2"/>
      </rPr>
      <t>/Mối ghép/Cтык:</t>
    </r>
  </si>
  <si>
    <r>
      <rPr>
        <sz val="11"/>
        <rFont val="Arial"/>
        <family val="2"/>
      </rPr>
      <t>Size</t>
    </r>
    <r>
      <rPr>
        <sz val="10"/>
        <rFont val="Arial"/>
        <family val="2"/>
      </rPr>
      <t>/</t>
    </r>
    <r>
      <rPr>
        <sz val="8"/>
        <rFont val="Arial"/>
        <family val="2"/>
      </rPr>
      <t>Kích thước/Размер</t>
    </r>
  </si>
  <si>
    <t>Ø10</t>
  </si>
  <si>
    <t>8x9</t>
  </si>
  <si>
    <t>SINGLE VEE</t>
  </si>
  <si>
    <r>
      <rPr>
        <sz val="11"/>
        <rFont val="Arial"/>
        <family val="2"/>
      </rPr>
      <t>Freq (MHz)</t>
    </r>
    <r>
      <rPr>
        <sz val="9"/>
        <rFont val="Arial"/>
        <family val="2"/>
      </rPr>
      <t>/</t>
    </r>
    <r>
      <rPr>
        <sz val="8"/>
        <rFont val="Arial"/>
        <family val="2"/>
      </rPr>
      <t>Tần số/Частоты</t>
    </r>
  </si>
  <si>
    <r>
      <rPr>
        <sz val="11"/>
        <rFont val="Arial"/>
        <family val="2"/>
      </rPr>
      <t>Range</t>
    </r>
    <r>
      <rPr>
        <sz val="10"/>
        <rFont val="Arial"/>
        <family val="2"/>
      </rPr>
      <t>/</t>
    </r>
    <r>
      <rPr>
        <sz val="8"/>
        <rFont val="Arial"/>
        <family val="2"/>
      </rPr>
      <t>Dải kiểm tra/Диапазон</t>
    </r>
  </si>
  <si>
    <t>100</t>
  </si>
  <si>
    <r>
      <rPr>
        <sz val="11"/>
        <rFont val="Arial"/>
        <family val="2"/>
      </rPr>
      <t>Sensitivity (dB)</t>
    </r>
    <r>
      <rPr>
        <sz val="10"/>
        <rFont val="Arial"/>
        <family val="2"/>
      </rPr>
      <t>/</t>
    </r>
    <r>
      <rPr>
        <sz val="8"/>
        <rFont val="Arial"/>
        <family val="2"/>
      </rPr>
      <t>Độ nhạy
Чусвствительность</t>
    </r>
  </si>
  <si>
    <t>2nd BWE 100% FSH</t>
  </si>
  <si>
    <t>48</t>
  </si>
  <si>
    <t>52</t>
  </si>
  <si>
    <t>58</t>
  </si>
  <si>
    <r>
      <rPr>
        <sz val="11"/>
        <rFont val="Arial"/>
        <family val="2"/>
      </rPr>
      <t>Transfer (dB)</t>
    </r>
    <r>
      <rPr>
        <sz val="9"/>
        <rFont val="Arial"/>
        <family val="2"/>
      </rPr>
      <t xml:space="preserve">
</t>
    </r>
    <r>
      <rPr>
        <sz val="8"/>
        <rFont val="Arial"/>
        <family val="2"/>
      </rPr>
      <t>Tổn hao/Затраты</t>
    </r>
  </si>
  <si>
    <t>+1</t>
  </si>
  <si>
    <t>+5</t>
  </si>
  <si>
    <t>+6</t>
  </si>
  <si>
    <r>
      <rPr>
        <sz val="11"/>
        <rFont val="Arial"/>
        <family val="2"/>
      </rPr>
      <t>Couplant</t>
    </r>
    <r>
      <rPr>
        <sz val="10"/>
        <rFont val="Arial"/>
        <family val="2"/>
      </rPr>
      <t>/</t>
    </r>
    <r>
      <rPr>
        <sz val="8"/>
        <rFont val="Arial"/>
        <family val="2"/>
      </rPr>
      <t>Tiếp âm/Контакная жидкость:</t>
    </r>
    <r>
      <rPr>
        <sz val="9"/>
        <rFont val="Arial"/>
        <family val="2"/>
      </rPr>
      <t xml:space="preserve">   </t>
    </r>
    <r>
      <rPr>
        <b/>
        <sz val="9"/>
        <rFont val="Arial"/>
        <family val="2"/>
      </rPr>
      <t xml:space="preserve">  </t>
    </r>
    <r>
      <rPr>
        <b/>
        <sz val="10"/>
        <rFont val="Arial"/>
        <family val="2"/>
      </rPr>
      <t xml:space="preserve"> </t>
    </r>
  </si>
  <si>
    <t>No
STT
П/н</t>
  </si>
  <si>
    <r>
      <rPr>
        <sz val="9"/>
        <rFont val="Arial"/>
        <family val="2"/>
      </rPr>
      <t xml:space="preserve">Drawing No.
</t>
    </r>
    <r>
      <rPr>
        <sz val="8"/>
        <rFont val="Arial"/>
        <family val="2"/>
      </rPr>
      <t>Số bản vẽ
Чертеж No.</t>
    </r>
  </si>
  <si>
    <r>
      <rPr>
        <sz val="9"/>
        <rFont val="Arial"/>
        <family val="2"/>
      </rPr>
      <t xml:space="preserve">Weld ID
</t>
    </r>
    <r>
      <rPr>
        <sz val="8"/>
        <rFont val="Arial"/>
        <family val="2"/>
      </rPr>
      <t>Mối hàn
Номер стыка</t>
    </r>
  </si>
  <si>
    <r>
      <rPr>
        <sz val="9"/>
        <rFont val="Arial"/>
        <family val="2"/>
      </rPr>
      <t xml:space="preserve">Welder
</t>
    </r>
    <r>
      <rPr>
        <sz val="8"/>
        <rFont val="Arial"/>
        <family val="2"/>
      </rPr>
      <t>Thợ hàn
Клеймо cварщика</t>
    </r>
  </si>
  <si>
    <t>Ф x T /
 L x T
(mm)
(1)</t>
  </si>
  <si>
    <r>
      <rPr>
        <sz val="9"/>
        <rFont val="Arial"/>
        <family val="2"/>
      </rPr>
      <t xml:space="preserve">Defect
Location
</t>
    </r>
    <r>
      <rPr>
        <sz val="8"/>
        <rFont val="Arial"/>
        <family val="2"/>
      </rPr>
      <t xml:space="preserve">Vị trí KT
Место дефекта
(mm)   </t>
    </r>
  </si>
  <si>
    <r>
      <rPr>
        <sz val="9"/>
        <rFont val="Arial"/>
        <family val="2"/>
      </rPr>
      <t xml:space="preserve">Defect
Length
   </t>
    </r>
    <r>
      <rPr>
        <sz val="8"/>
        <rFont val="Arial"/>
        <family val="2"/>
      </rPr>
      <t xml:space="preserve"> KT dài
Длина дефекта  (mm)</t>
    </r>
    <r>
      <rPr>
        <sz val="9"/>
        <rFont val="Arial"/>
        <family val="2"/>
      </rPr>
      <t xml:space="preserve">
</t>
    </r>
  </si>
  <si>
    <r>
      <rPr>
        <sz val="9"/>
        <rFont val="Arial"/>
        <family val="2"/>
      </rPr>
      <t xml:space="preserve">Defect
Type
</t>
    </r>
    <r>
      <rPr>
        <sz val="8"/>
        <rFont val="Arial"/>
        <family val="2"/>
      </rPr>
      <t>Loại KT
Тип дефекта</t>
    </r>
  </si>
  <si>
    <r>
      <rPr>
        <sz val="9"/>
        <rFont val="Arial"/>
        <family val="2"/>
      </rPr>
      <t xml:space="preserve">Result
</t>
    </r>
    <r>
      <rPr>
        <sz val="8"/>
        <rFont val="Arial"/>
        <family val="2"/>
      </rPr>
      <t>Kết quả
Оценка
(ACC/
REJ)</t>
    </r>
  </si>
  <si>
    <t>Ф324x15.9</t>
  </si>
  <si>
    <r>
      <rPr>
        <b/>
        <sz val="8"/>
        <rFont val="Arial"/>
        <family val="2"/>
      </rPr>
      <t>REMARKS/</t>
    </r>
    <r>
      <rPr>
        <sz val="8"/>
        <rFont val="Arial"/>
        <family val="2"/>
      </rPr>
      <t xml:space="preserve">Ghi chú/Примечание:   </t>
    </r>
    <r>
      <rPr>
        <b/>
        <sz val="8"/>
        <rFont val="Arial"/>
        <family val="2"/>
      </rPr>
      <t>ACC</t>
    </r>
    <r>
      <rPr>
        <sz val="8"/>
        <rFont val="Arial"/>
        <family val="2"/>
      </rPr>
      <t xml:space="preserve">= Accept/Đạt/Годен,  </t>
    </r>
    <r>
      <rPr>
        <b/>
        <sz val="8"/>
        <rFont val="Arial"/>
        <family val="2"/>
      </rPr>
      <t>REJ</t>
    </r>
    <r>
      <rPr>
        <sz val="8"/>
        <rFont val="Arial"/>
        <family val="2"/>
      </rPr>
      <t xml:space="preserve">= Reject/Không đạt/Негоден, </t>
    </r>
    <r>
      <rPr>
        <b/>
        <sz val="8"/>
        <rFont val="Arial"/>
        <family val="2"/>
      </rPr>
      <t>KT</t>
    </r>
    <r>
      <rPr>
        <sz val="8"/>
        <rFont val="Arial"/>
        <family val="2"/>
      </rPr>
      <t>= Defect/Khuyết tật/Дефект;</t>
    </r>
    <r>
      <rPr>
        <b/>
        <sz val="8"/>
        <rFont val="Arial"/>
        <family val="2"/>
      </rPr>
      <t xml:space="preserve"> 
(1)</t>
    </r>
    <r>
      <rPr>
        <sz val="8"/>
        <rFont val="Arial"/>
        <family val="2"/>
      </rPr>
      <t xml:space="preserve">: </t>
    </r>
    <r>
      <rPr>
        <b/>
        <sz val="8"/>
        <rFont val="Arial"/>
        <family val="2"/>
      </rPr>
      <t>Ф x T -</t>
    </r>
    <r>
      <rPr>
        <sz val="8"/>
        <rFont val="Arial"/>
        <family val="2"/>
      </rPr>
      <t xml:space="preserve"> diameter x thickness/đường kính x chiều dày/диаметр x толщина ;</t>
    </r>
    <r>
      <rPr>
        <b/>
        <sz val="8"/>
        <rFont val="Arial"/>
        <family val="2"/>
      </rPr>
      <t xml:space="preserve"> L x T </t>
    </r>
    <r>
      <rPr>
        <sz val="8"/>
        <rFont val="Arial"/>
        <family val="2"/>
      </rPr>
      <t>- length x thickness/chiều dài x chiều dày/длина x толщи</t>
    </r>
  </si>
  <si>
    <r>
      <rPr>
        <b/>
        <sz val="8"/>
        <rFont val="Arial"/>
        <family val="2"/>
      </rPr>
      <t>PL</t>
    </r>
    <r>
      <rPr>
        <sz val="8"/>
        <rFont val="Arial"/>
        <family val="2"/>
      </rPr>
      <t xml:space="preserve">= Planar defect/Khuyết tật dạng mặt/Поверхностные дефекты,   </t>
    </r>
    <r>
      <rPr>
        <b/>
        <sz val="8"/>
        <rFont val="Arial"/>
        <family val="2"/>
      </rPr>
      <t>SP</t>
    </r>
    <r>
      <rPr>
        <sz val="8"/>
        <rFont val="Arial"/>
        <family val="2"/>
      </rPr>
      <t xml:space="preserve">= Spherical defect/Khuyết tật dạng cầu/Сферические дефекты
</t>
    </r>
    <r>
      <rPr>
        <b/>
        <sz val="8"/>
        <rFont val="Arial"/>
        <family val="2"/>
      </rPr>
      <t>CL</t>
    </r>
    <r>
      <rPr>
        <sz val="8"/>
        <rFont val="Arial"/>
        <family val="2"/>
      </rPr>
      <t>= Cylindrical defect/Khuyết tật dạng ống/Цилиндрические дефекты</t>
    </r>
  </si>
  <si>
    <t>Reported by UT Level II</t>
  </si>
  <si>
    <t>Checked/Kiểm tra/Контролер</t>
  </si>
  <si>
    <t>Authority/Chứng nhận/Утверждение</t>
  </si>
  <si>
    <t xml:space="preserve">Name/H.Tên/Ф.И.О:    </t>
  </si>
  <si>
    <t>NGUYEN VIET PHONG LUU</t>
  </si>
  <si>
    <t>2025 IN-AIR MAJOR STRUCTURAL INSPECTION REPORT</t>
  </si>
  <si>
    <t>OFFSHORE CONSTRUCTION DIVISION</t>
  </si>
  <si>
    <t>PLATFORM</t>
  </si>
  <si>
    <t>WALL THICKNESS 
MEASUREMENT OF RISER</t>
  </si>
  <si>
    <t>Report No.</t>
  </si>
  <si>
    <t>OFFSHORE INSPECTION DEPARTMENT</t>
  </si>
  <si>
    <t>MSP5</t>
  </si>
  <si>
    <t>25.191-UTM-002</t>
  </si>
  <si>
    <t>Jacket</t>
  </si>
  <si>
    <t>Frame</t>
  </si>
  <si>
    <t>Photo</t>
  </si>
  <si>
    <t>Riser No.</t>
  </si>
  <si>
    <t>Service</t>
  </si>
  <si>
    <t>Max. Pressure</t>
  </si>
  <si>
    <t>Material</t>
  </si>
  <si>
    <t>Date</t>
  </si>
  <si>
    <t>OB-1</t>
  </si>
  <si>
    <t>D1</t>
  </si>
  <si>
    <t>R3</t>
  </si>
  <si>
    <t>OIL</t>
  </si>
  <si>
    <t>40 ATM</t>
  </si>
  <si>
    <t>API-X60</t>
  </si>
  <si>
    <t>25/05/2025</t>
  </si>
  <si>
    <t>WT READINGS OF RISER (mm) (AND STEEL PROTECTIVE FENDER)</t>
  </si>
  <si>
    <t>Pos.</t>
  </si>
  <si>
    <t>OD x Design 
WT (mm)</t>
  </si>
  <si>
    <t>12 o/c</t>
  </si>
  <si>
    <t>1
 o/c</t>
  </si>
  <si>
    <t>2 
o/c</t>
  </si>
  <si>
    <t>3
 o/c</t>
  </si>
  <si>
    <t>4 
o/c</t>
  </si>
  <si>
    <t>5 
o/c</t>
  </si>
  <si>
    <t>6 
o/c</t>
  </si>
  <si>
    <t>7 
o/c</t>
  </si>
  <si>
    <t>8 
o/c</t>
  </si>
  <si>
    <t>9
 o/c</t>
  </si>
  <si>
    <t>10 o/c</t>
  </si>
  <si>
    <t>11 o/c</t>
  </si>
  <si>
    <t>Remarks</t>
  </si>
  <si>
    <t xml:space="preserve">323.9 x 15.9mm </t>
  </si>
  <si>
    <t>EL.(+) 14.60m</t>
  </si>
  <si>
    <t>EL.(+) 14.65m</t>
  </si>
  <si>
    <t>EL.(+) 14.75m</t>
  </si>
  <si>
    <t>EL.(+) 14.85m</t>
  </si>
  <si>
    <t>EL.(+) 14.95m</t>
  </si>
  <si>
    <t>EL.(+) 15.05m</t>
  </si>
  <si>
    <t>EL.(+) 15.15m</t>
  </si>
  <si>
    <t>EL.(+) 15.25m</t>
  </si>
  <si>
    <t>EL.(+) 15.35m</t>
  </si>
  <si>
    <t>EL.(+) 15.45m</t>
  </si>
  <si>
    <t>EL.(+) 15.50m</t>
  </si>
  <si>
    <t>COMMENT:</t>
  </si>
  <si>
    <t>Inspector:</t>
  </si>
  <si>
    <t>Signature</t>
  </si>
  <si>
    <t>Checked by:</t>
  </si>
  <si>
    <r>
      <t>Serial No.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Số/Cерия No.: </t>
    </r>
    <r>
      <rPr>
        <b/>
        <sz val="10"/>
        <color rgb="FFFF0000"/>
        <rFont val="Arial"/>
        <family val="2"/>
      </rPr>
      <t>12665a</t>
    </r>
  </si>
  <si>
    <r>
      <t>Surface condition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Bề mặt/Поверхность
                </t>
    </r>
    <r>
      <rPr>
        <sz val="10"/>
        <rFont val="Arial"/>
        <family val="2"/>
      </rPr>
      <t xml:space="preserve">           </t>
    </r>
    <r>
      <rPr>
        <b/>
        <sz val="10"/>
        <color rgb="FFFF0000"/>
        <rFont val="Arial"/>
        <family val="2"/>
      </rPr>
      <t>AS ROLLED</t>
    </r>
  </si>
  <si>
    <r>
      <t>Welding process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Quá trình hàn/Сварочный
 процесс:                     </t>
    </r>
    <r>
      <rPr>
        <b/>
        <sz val="10"/>
        <color rgb="FFFF0000"/>
        <rFont val="Arial"/>
        <family val="2"/>
      </rPr>
      <t>GTAW/SMAW</t>
    </r>
  </si>
  <si>
    <t>CÁCH VIẾT</t>
  </si>
  <si>
    <t>ÁP DỤNG</t>
  </si>
  <si>
    <t>AS ROLLED</t>
  </si>
  <si>
    <r>
      <t>- SxT: Area x Thickness (cm</t>
    </r>
    <r>
      <rPr>
        <sz val="10"/>
        <rFont val="Calibri"/>
        <family val="2"/>
      </rPr>
      <t>²</t>
    </r>
    <r>
      <rPr>
        <sz val="10"/>
        <rFont val="Arial"/>
        <family val="2"/>
      </rPr>
      <t xml:space="preserve"> x mm)</t>
    </r>
  </si>
  <si>
    <t>Note : - (*) -SxT Square of local defect x Thickness (mm² x mm)</t>
  </si>
  <si>
    <t>UT carried out after over-lap welded completion</t>
  </si>
  <si>
    <t>Note (*) -S Square of local defect (Cm²)</t>
  </si>
  <si>
    <t>MPI carried out before welding and after over-lap welded completion</t>
  </si>
  <si>
    <t xml:space="preserve">OCN: </t>
  </si>
  <si>
    <t>Cẩu:</t>
  </si>
  <si>
    <t>AWS D1.1-2020 TABLE 8.3</t>
  </si>
  <si>
    <t>ASME B31.8  2022</t>
  </si>
  <si>
    <t xml:space="preserve">NONTUBULAR ULTRASONIC TESTING REPORT </t>
  </si>
  <si>
    <r>
      <t>Report No/</t>
    </r>
    <r>
      <rPr>
        <sz val="9"/>
        <rFont val="Arial"/>
        <family val="2"/>
      </rPr>
      <t>S</t>
    </r>
    <r>
      <rPr>
        <sz val="8"/>
        <rFont val="Arial"/>
        <family val="2"/>
      </rPr>
      <t xml:space="preserve">ố/ Отчет No.:
     </t>
    </r>
    <r>
      <rPr>
        <b/>
        <sz val="10"/>
        <rFont val="Arial"/>
        <family val="2"/>
      </rPr>
      <t>24.335-UT-004</t>
    </r>
  </si>
  <si>
    <t>BÁO CÁO KIỂM TRA SIÊU ÂM KHÔNG PHẢI DẠNG ỐNG</t>
  </si>
  <si>
    <r>
      <rPr>
        <sz val="11"/>
        <color indexed="8"/>
        <rFont val="Arial"/>
        <family val="2"/>
      </rPr>
      <t>Insp. date</t>
    </r>
    <r>
      <rPr>
        <sz val="8"/>
        <color indexed="8"/>
        <rFont val="Arial"/>
        <family val="2"/>
      </rPr>
      <t>/Ngày/Дата:</t>
    </r>
  </si>
  <si>
    <t>Form :  QF-62; Rev. No. 0</t>
  </si>
  <si>
    <t xml:space="preserve">          18/09/2024</t>
  </si>
  <si>
    <t xml:space="preserve">Project/Công trình/Объект  </t>
  </si>
  <si>
    <r>
      <t xml:space="preserve">Item/Hạng mục/Наименoвание:  </t>
    </r>
    <r>
      <rPr>
        <b/>
        <sz val="10"/>
        <color indexed="8"/>
        <rFont val="Arial"/>
        <family val="2"/>
        <charset val="163"/>
      </rPr>
      <t xml:space="preserve">  </t>
    </r>
  </si>
  <si>
    <t>CTK3 (NVSX: 335-24BS2)</t>
  </si>
  <si>
    <t>MỞ RỘNG SÀN VÀ CHẾ TẠO SÀN THAO TÁC</t>
  </si>
  <si>
    <t>Procedure/Qui trình/Процедура:</t>
  </si>
  <si>
    <t xml:space="preserve">Acceptance Criteria/Tiêu chuẩn chấp nhận/Oцениваемая критерия:    </t>
  </si>
  <si>
    <t xml:space="preserve">P6/QA/19 </t>
  </si>
  <si>
    <t>Rev.:</t>
  </si>
  <si>
    <t>AWS D1.1 - 2020</t>
  </si>
  <si>
    <t xml:space="preserve">Flaw Detector 
/Thiết bị /Дефектоскоп: 
 </t>
  </si>
  <si>
    <t>USM 35X</t>
  </si>
  <si>
    <t>Calibration Block/Mẫu hiệu chỉnh/Эталонный образец:</t>
  </si>
  <si>
    <t>Sensitivity Block/Mẫu Độ nhạy
/Блок чувствительность:</t>
  </si>
  <si>
    <t>Serial No/Số/Cерия No.:</t>
  </si>
  <si>
    <t>12665a</t>
  </si>
  <si>
    <t>V1, V2</t>
  </si>
  <si>
    <r>
      <rPr>
        <sz val="10"/>
        <color indexed="8"/>
        <rFont val="Arial"/>
        <family val="2"/>
      </rPr>
      <t>Probe/Đầu dò/Искатель:</t>
    </r>
  </si>
  <si>
    <t>Sur.Condition/Bề mặt/Поверхность:</t>
  </si>
  <si>
    <t>Type/Loại /Тип</t>
  </si>
  <si>
    <t>Size/Kích thước/Размер</t>
  </si>
  <si>
    <r>
      <rPr>
        <sz val="10"/>
        <color indexed="8"/>
        <rFont val="Calibri"/>
        <family val="2"/>
      </rPr>
      <t>Ø</t>
    </r>
    <r>
      <rPr>
        <sz val="10"/>
        <color indexed="8"/>
        <rFont val="Arial"/>
        <family val="2"/>
      </rPr>
      <t>10</t>
    </r>
  </si>
  <si>
    <r>
      <rPr>
        <sz val="10"/>
        <color indexed="8"/>
        <rFont val="Arial"/>
        <family val="2"/>
      </rPr>
      <t xml:space="preserve">Couplant/Tiếp âm/Контакная жидкость:                  </t>
    </r>
    <r>
      <rPr>
        <b/>
        <sz val="10"/>
        <color indexed="8"/>
        <rFont val="Arial"/>
        <family val="2"/>
      </rPr>
      <t xml:space="preserve">CELLULOSE PASTE    </t>
    </r>
    <r>
      <rPr>
        <sz val="10"/>
        <color indexed="8"/>
        <rFont val="Arial"/>
        <family val="2"/>
      </rPr>
      <t xml:space="preserve">                             
       </t>
    </r>
  </si>
  <si>
    <t>Freq. (Mhz)/Tần số/Частоты</t>
  </si>
  <si>
    <r>
      <t xml:space="preserve">Joint Preparation/Mối ghép/Cтык:
      </t>
    </r>
    <r>
      <rPr>
        <b/>
        <sz val="10"/>
        <color indexed="8"/>
        <rFont val="Arial"/>
        <family val="2"/>
      </rPr>
      <t xml:space="preserve">            SINGLE BEVEL</t>
    </r>
  </si>
  <si>
    <t>Serial No./Số/Cерия No</t>
  </si>
  <si>
    <r>
      <t xml:space="preserve">Welding Process/Quá trình hàn/
Сварочный процесс: </t>
    </r>
    <r>
      <rPr>
        <b/>
        <sz val="10"/>
        <color indexed="8"/>
        <rFont val="Arial"/>
        <family val="2"/>
      </rPr>
      <t xml:space="preserve"> SMAW</t>
    </r>
  </si>
  <si>
    <t>Range/Dải kiểm tra/Диапазон</t>
  </si>
  <si>
    <r>
      <rPr>
        <sz val="10"/>
        <color indexed="8"/>
        <rFont val="Arial"/>
        <family val="2"/>
      </rPr>
      <t xml:space="preserve">Material/Vật liệu/Материалы: 
              </t>
    </r>
    <r>
      <rPr>
        <b/>
        <sz val="10"/>
        <color indexed="8"/>
        <rFont val="Arial"/>
        <family val="2"/>
      </rPr>
      <t xml:space="preserve">  CARBON STEEL</t>
    </r>
  </si>
  <si>
    <r>
      <rPr>
        <sz val="11"/>
        <color indexed="8"/>
        <rFont val="Arial"/>
        <family val="2"/>
      </rPr>
      <t>Cable: Manufacturer/Type/Length/</t>
    </r>
    <r>
      <rPr>
        <sz val="9"/>
        <color indexed="8"/>
        <rFont val="Arial"/>
        <family val="2"/>
      </rPr>
      <t>Loại dây cáp/Тип:</t>
    </r>
  </si>
  <si>
    <r>
      <rPr>
        <sz val="10"/>
        <color indexed="8"/>
        <rFont val="Arial"/>
        <family val="2"/>
      </rPr>
      <t xml:space="preserve">No.
</t>
    </r>
    <r>
      <rPr>
        <sz val="8"/>
        <color indexed="8"/>
        <rFont val="Arial"/>
        <family val="2"/>
      </rPr>
      <t>STT
П/н</t>
    </r>
  </si>
  <si>
    <t>Drawing No.
Số bản vẽ
Чертеж No.</t>
  </si>
  <si>
    <r>
      <rPr>
        <sz val="10"/>
        <color indexed="8"/>
        <rFont val="Arial"/>
        <family val="2"/>
      </rPr>
      <t xml:space="preserve">Weld No.
</t>
    </r>
    <r>
      <rPr>
        <sz val="8"/>
        <color indexed="8"/>
        <rFont val="Arial"/>
        <family val="2"/>
      </rPr>
      <t>Mối hàn
Номер стыка</t>
    </r>
  </si>
  <si>
    <r>
      <rPr>
        <sz val="10"/>
        <color indexed="8"/>
        <rFont val="Arial"/>
        <family val="2"/>
      </rPr>
      <t xml:space="preserve">Welder No.
</t>
    </r>
    <r>
      <rPr>
        <sz val="8"/>
        <color indexed="8"/>
        <rFont val="Arial"/>
        <family val="2"/>
      </rPr>
      <t>Thợ hàn
Клеймо cварщика</t>
    </r>
  </si>
  <si>
    <r>
      <rPr>
        <sz val="10"/>
        <color indexed="8"/>
        <rFont val="Arial"/>
        <family val="2"/>
      </rPr>
      <t xml:space="preserve">L x T 
</t>
    </r>
    <r>
      <rPr>
        <sz val="8"/>
        <color indexed="8"/>
        <rFont val="Arial"/>
        <family val="2"/>
      </rPr>
      <t>(mm)
(1)</t>
    </r>
  </si>
  <si>
    <t>Indication No.</t>
  </si>
  <si>
    <t>Probe angle /góc đầu dò</t>
  </si>
  <si>
    <t xml:space="preserve">Indication Level </t>
  </si>
  <si>
    <t>Reference Level</t>
  </si>
  <si>
    <t>AttenuationFactor</t>
  </si>
  <si>
    <t>Indication Rating</t>
  </si>
  <si>
    <t>Class</t>
  </si>
  <si>
    <r>
      <rPr>
        <sz val="10"/>
        <color indexed="8"/>
        <rFont val="Arial"/>
        <family val="2"/>
      </rPr>
      <t xml:space="preserve">Length </t>
    </r>
    <r>
      <rPr>
        <sz val="8"/>
        <color indexed="8"/>
        <rFont val="Arial"/>
        <family val="2"/>
      </rPr>
      <t>(mm)</t>
    </r>
  </si>
  <si>
    <r>
      <rPr>
        <sz val="10"/>
        <color indexed="8"/>
        <rFont val="Arial"/>
        <family val="2"/>
      </rPr>
      <t xml:space="preserve">Result
</t>
    </r>
    <r>
      <rPr>
        <sz val="8"/>
        <color indexed="8"/>
        <rFont val="Arial"/>
        <family val="2"/>
      </rPr>
      <t>Kết quả
Оценка</t>
    </r>
    <r>
      <rPr>
        <sz val="10"/>
        <color indexed="8"/>
        <rFont val="Arial"/>
        <family val="2"/>
      </rPr>
      <t xml:space="preserve">
(ACC/
REJ)</t>
    </r>
  </si>
  <si>
    <t>a</t>
  </si>
  <si>
    <t>b</t>
  </si>
  <si>
    <t>c</t>
  </si>
  <si>
    <t>d</t>
  </si>
  <si>
    <t>RB3-008-TS</t>
  </si>
  <si>
    <t>589;785</t>
  </si>
  <si>
    <t>L200x12</t>
  </si>
  <si>
    <t>ACC(*)</t>
  </si>
  <si>
    <t>-ST3-DW-003</t>
  </si>
  <si>
    <t>Note: (*) UT was carried out 10% by length for above weld joints</t>
  </si>
  <si>
    <r>
      <rPr>
        <sz val="11"/>
        <color indexed="8"/>
        <rFont val="Arial"/>
        <family val="2"/>
      </rPr>
      <t>REMARKS</t>
    </r>
    <r>
      <rPr>
        <sz val="9"/>
        <color indexed="8"/>
        <rFont val="Arial"/>
        <family val="2"/>
      </rPr>
      <t xml:space="preserve">/Ghi chú/Примечание: </t>
    </r>
    <r>
      <rPr>
        <sz val="11"/>
        <color indexed="8"/>
        <rFont val="Arial"/>
        <family val="2"/>
      </rPr>
      <t xml:space="preserve">  ACC= Accept</t>
    </r>
    <r>
      <rPr>
        <sz val="9"/>
        <color indexed="8"/>
        <rFont val="Arial"/>
        <family val="2"/>
      </rPr>
      <t>/Đạt/Годен</t>
    </r>
    <r>
      <rPr>
        <sz val="11"/>
        <color indexed="8"/>
        <rFont val="Arial"/>
        <family val="2"/>
      </rPr>
      <t>,  REJ= Reject</t>
    </r>
    <r>
      <rPr>
        <sz val="7"/>
        <color indexed="8"/>
        <rFont val="Arial"/>
        <family val="2"/>
      </rPr>
      <t>/</t>
    </r>
    <r>
      <rPr>
        <sz val="9"/>
        <color indexed="8"/>
        <rFont val="Arial"/>
        <family val="2"/>
      </rPr>
      <t xml:space="preserve">Không đạt/Негоден, </t>
    </r>
    <r>
      <rPr>
        <sz val="11"/>
        <color indexed="8"/>
        <rFont val="Arial"/>
        <family val="2"/>
      </rPr>
      <t xml:space="preserve">
(1): L x T: Length x thickness</t>
    </r>
    <r>
      <rPr>
        <sz val="9"/>
        <color indexed="8"/>
        <rFont val="Arial"/>
        <family val="2"/>
      </rPr>
      <t>/Kích thướcx chiều dày/диаметр x толщина.</t>
    </r>
  </si>
  <si>
    <t>Check by</t>
  </si>
  <si>
    <t>Cert. Authority</t>
  </si>
  <si>
    <r>
      <rPr>
        <sz val="11"/>
        <color indexed="8"/>
        <rFont val="Arial"/>
        <family val="2"/>
      </rPr>
      <t>Operator</t>
    </r>
    <r>
      <rPr>
        <sz val="8"/>
        <color indexed="8"/>
        <rFont val="Arial"/>
        <family val="2"/>
      </rPr>
      <t>/Thực hiện/Составление</t>
    </r>
  </si>
  <si>
    <r>
      <rPr>
        <sz val="11"/>
        <color indexed="8"/>
        <rFont val="Arial"/>
        <family val="2"/>
      </rPr>
      <t>Checked/</t>
    </r>
    <r>
      <rPr>
        <sz val="8"/>
        <color indexed="8"/>
        <rFont val="Arial"/>
        <family val="2"/>
      </rPr>
      <t>Kiểm tra/Контролер</t>
    </r>
  </si>
  <si>
    <r>
      <rPr>
        <sz val="11"/>
        <color indexed="8"/>
        <rFont val="Arial"/>
        <family val="2"/>
      </rPr>
      <t>Authority/</t>
    </r>
    <r>
      <rPr>
        <sz val="8"/>
        <color indexed="8"/>
        <rFont val="Arial"/>
        <family val="2"/>
      </rPr>
      <t>Chứng nhận/Утверждение</t>
    </r>
  </si>
  <si>
    <r>
      <rPr>
        <sz val="11"/>
        <color indexed="8"/>
        <rFont val="Arial"/>
        <family val="2"/>
      </rPr>
      <t>Name/</t>
    </r>
    <r>
      <rPr>
        <sz val="8"/>
        <color indexed="8"/>
        <rFont val="Arial"/>
        <family val="2"/>
      </rPr>
      <t>H.Tên/Ф.И.О:</t>
    </r>
  </si>
  <si>
    <r>
      <rPr>
        <sz val="11"/>
        <color indexed="8"/>
        <rFont val="Arial"/>
        <family val="2"/>
      </rPr>
      <t>Name</t>
    </r>
    <r>
      <rPr>
        <sz val="8"/>
        <color indexed="8"/>
        <rFont val="Arial"/>
        <family val="2"/>
      </rPr>
      <t xml:space="preserve">/H.Tên/Ф.И.О: </t>
    </r>
  </si>
  <si>
    <r>
      <rPr>
        <sz val="11"/>
        <color indexed="8"/>
        <rFont val="Arial"/>
        <family val="2"/>
      </rPr>
      <t>Name/</t>
    </r>
    <r>
      <rPr>
        <sz val="8"/>
        <color indexed="8"/>
        <rFont val="Arial"/>
        <family val="2"/>
      </rPr>
      <t xml:space="preserve">H.Tên/Ф.И.О: </t>
    </r>
  </si>
  <si>
    <t>NG. VIET PHONG LUU</t>
  </si>
  <si>
    <r>
      <rPr>
        <sz val="11"/>
        <color indexed="8"/>
        <rFont val="Arial"/>
        <family val="2"/>
      </rPr>
      <t>Sign.</t>
    </r>
    <r>
      <rPr>
        <sz val="8"/>
        <color indexed="8"/>
        <rFont val="Arial"/>
        <family val="2"/>
      </rPr>
      <t>/Chữ ký/Подпись:</t>
    </r>
  </si>
  <si>
    <r>
      <rPr>
        <sz val="11"/>
        <color indexed="8"/>
        <rFont val="Arial"/>
        <family val="2"/>
      </rPr>
      <t>Sign</t>
    </r>
    <r>
      <rPr>
        <sz val="8"/>
        <color indexed="8"/>
        <rFont val="Arial"/>
        <family val="2"/>
      </rPr>
      <t>./Chữ ký/Подпись:</t>
    </r>
  </si>
  <si>
    <r>
      <t>Date</t>
    </r>
    <r>
      <rPr>
        <sz val="8"/>
        <color indexed="8"/>
        <rFont val="Arial"/>
        <family val="2"/>
      </rPr>
      <t xml:space="preserve">/Дата: </t>
    </r>
  </si>
  <si>
    <r>
      <rPr>
        <sz val="11"/>
        <color indexed="8"/>
        <rFont val="Arial"/>
        <family val="2"/>
      </rPr>
      <t>Date</t>
    </r>
    <r>
      <rPr>
        <sz val="8"/>
        <color indexed="8"/>
        <rFont val="Arial"/>
        <family val="2"/>
      </rPr>
      <t>/Дата:</t>
    </r>
  </si>
  <si>
    <r>
      <t xml:space="preserve">Поверхность   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AS WELDED</t>
    </r>
  </si>
  <si>
    <t>AWS D1.1-2020</t>
  </si>
  <si>
    <t>Dầm/ Sàn: AWS D1.1 - 2020</t>
  </si>
  <si>
    <t>Cẩu: AWS D1.1 2020 TABLE 8.3</t>
  </si>
  <si>
    <t>Ống Riser: ASME B31.8 - 2022 . Mẫu API</t>
  </si>
  <si>
    <t>OCN: ASME B31.3 - 2022. Mẫu IOW</t>
  </si>
  <si>
    <t>Cẩu: AWS D1.1 2020 TABLE 8.3. Mẫu IOW</t>
  </si>
  <si>
    <t xml:space="preserve">Riser ống: </t>
  </si>
  <si>
    <t>Dầm/ Riser clamp</t>
  </si>
  <si>
    <r>
      <t xml:space="preserve">Cтраница   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 xml:space="preserve">         от</t>
    </r>
  </si>
  <si>
    <r>
      <t>Page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Trang :  </t>
    </r>
    <r>
      <rPr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 xml:space="preserve"> </t>
    </r>
    <r>
      <rPr>
        <sz val="11"/>
        <rFont val="Arial"/>
        <family val="2"/>
      </rPr>
      <t>of</t>
    </r>
    <r>
      <rPr>
        <sz val="8"/>
        <rFont val="Arial"/>
        <family val="2"/>
      </rPr>
      <t xml:space="preserve">/   của: </t>
    </r>
    <r>
      <rPr>
        <sz val="10"/>
        <rFont val="Arial"/>
        <family val="2"/>
      </rPr>
      <t xml:space="preserve"> 1</t>
    </r>
  </si>
  <si>
    <r>
      <rPr>
        <sz val="10"/>
        <rFont val="Arial"/>
        <family val="2"/>
      </rPr>
      <t>Report No</t>
    </r>
    <r>
      <rPr>
        <sz val="9"/>
        <rFont val="Arial"/>
        <family val="2"/>
      </rPr>
      <t xml:space="preserve">/Báo cáo số/Отчет No.:  
</t>
    </r>
  </si>
  <si>
    <r>
      <t>Date</t>
    </r>
    <r>
      <rPr>
        <sz val="8"/>
        <color indexed="8"/>
        <rFont val="Arial"/>
        <family val="2"/>
      </rPr>
      <t xml:space="preserve">/Дата:                    </t>
    </r>
    <r>
      <rPr>
        <b/>
        <sz val="11"/>
        <color indexed="8"/>
        <rFont val="Arial"/>
        <family val="2"/>
      </rPr>
      <t>18/09/2024</t>
    </r>
  </si>
  <si>
    <t>THỐNG KÊ FORM BÁO CÁO VÀ QUY TRÌNH ÁP DỤNG 2024</t>
  </si>
  <si>
    <t>1. THEO HỆ THỐNG ISO - CHUNG CHO CÁC DỰ ÁN VSP VÀ OFFSHORE</t>
  </si>
  <si>
    <t>FORM</t>
  </si>
  <si>
    <t>QUY TRÌNH</t>
  </si>
  <si>
    <t>LOẠI FORM</t>
  </si>
  <si>
    <t>SỐ FORM</t>
  </si>
  <si>
    <t>REV.</t>
  </si>
  <si>
    <t>NGÀY ÁP DỤNG</t>
  </si>
  <si>
    <t>SỐ QUY TRÌNH</t>
  </si>
  <si>
    <t>PAUT</t>
  </si>
  <si>
    <t>QF-41</t>
  </si>
  <si>
    <t>P6/QA/33 Rev.3</t>
  </si>
  <si>
    <t>AUT</t>
  </si>
  <si>
    <t>QF-44</t>
  </si>
  <si>
    <t>P6/QA/34 Rev.3</t>
  </si>
  <si>
    <t>ET</t>
  </si>
  <si>
    <t>QF-57</t>
  </si>
  <si>
    <t>P6/QA/38 Rev.1</t>
  </si>
  <si>
    <t>UL</t>
  </si>
  <si>
    <t>QF-17</t>
  </si>
  <si>
    <t>P6/QA/19.01 Rev.2</t>
  </si>
  <si>
    <t>UT Ống</t>
  </si>
  <si>
    <t>QF-11</t>
  </si>
  <si>
    <t>P6/QA/19 Rev.5</t>
  </si>
  <si>
    <t>UT Tấm</t>
  </si>
  <si>
    <t>QF-62</t>
  </si>
  <si>
    <t>UTM</t>
  </si>
  <si>
    <t>QF-18</t>
  </si>
  <si>
    <t>QF-12</t>
  </si>
  <si>
    <t>P6/QA/20 Rev.4</t>
  </si>
  <si>
    <t>QF-15</t>
  </si>
  <si>
    <t>P6/QA/21 Rev.4</t>
  </si>
  <si>
    <t>QF-16</t>
  </si>
  <si>
    <t>P6/QA/22 Rev.4</t>
  </si>
  <si>
    <t>SKETCH PAUT</t>
  </si>
  <si>
    <t>QF-42</t>
  </si>
  <si>
    <t>SKETCH</t>
  </si>
  <si>
    <t>QF-20</t>
  </si>
  <si>
    <t>2. THEO HỆ THỐNG API 2B - QUY TRÌNH CHO CUỐN ỐNG</t>
  </si>
  <si>
    <t>API2B/P6/QA/33 Rev.6</t>
  </si>
  <si>
    <t>API2B/P6/QA/19 Rev.9</t>
  </si>
  <si>
    <t>API2B/P6/QA/20 Rev.7</t>
  </si>
  <si>
    <t>API2B/P6/QA/21 Rev.8</t>
  </si>
  <si>
    <t>3. THEO HỆ THỐNG ASME - QUY TRÌNH CHO CHẾ TẠO BÌNH ÁP LỰC</t>
  </si>
  <si>
    <t>OCD-QM-01\Ex. 9-6</t>
  </si>
  <si>
    <t>OCD-PR-17 Rev.5</t>
  </si>
  <si>
    <t>LƯU Ý : FORM ASME CHỈ DÙNG CHO HỒ SƠ BỜ, HỒ SƠ BIỂN VẪN DÙNG FORM ISO</t>
  </si>
  <si>
    <t>OCD-QM-01\Ex. 9-3</t>
  </si>
  <si>
    <t>OCD-PR-10 Rev.10</t>
  </si>
  <si>
    <t>OCD-QM-01\Ex. 9-5</t>
  </si>
  <si>
    <t>OCD-PR-10-2 Rev.9</t>
  </si>
  <si>
    <t>OCD-QM-01\Ex. 9-2</t>
  </si>
  <si>
    <t>OCD-PR-09 Rev.11</t>
  </si>
  <si>
    <t>OCD-QM-01\Ex. 9-1</t>
  </si>
  <si>
    <t>OCD-PR-11 Rev.10</t>
  </si>
  <si>
    <t>OCD-QM-01\Ex. 9-4</t>
  </si>
  <si>
    <t>OCD-PR-12 Rev.10</t>
  </si>
  <si>
    <t>THỐNG KÊ PHIÊN BẢN TIÊU CHUẨN NDT ĐANG ÁP DỤNG 2023</t>
  </si>
  <si>
    <t>PHIÊN BẢN ÁP DỤNG</t>
  </si>
  <si>
    <t>ĐỐI TƯỢNG ÁP DỤNG</t>
  </si>
  <si>
    <t>MẪU
DAC</t>
  </si>
  <si>
    <t>MT / PT</t>
  </si>
  <si>
    <t>ASTM A-578/ A578M</t>
  </si>
  <si>
    <t>Tách lớp</t>
  </si>
  <si>
    <t>Lấy độ nhạy trên vật liệu kiểm tra</t>
  </si>
  <si>
    <t>AWS</t>
  </si>
  <si>
    <r>
      <t xml:space="preserve">- </t>
    </r>
    <r>
      <rPr>
        <b/>
        <sz val="14"/>
        <color theme="1"/>
        <rFont val="Arial"/>
        <family val="2"/>
      </rPr>
      <t>Table 8.1</t>
    </r>
    <r>
      <rPr>
        <sz val="14"/>
        <color theme="1"/>
        <rFont val="Arial"/>
        <family val="2"/>
      </rPr>
      <t>: cho Visual, MT/PT - Cho kết cấu KHÔNG phải dạng ống.
-</t>
    </r>
    <r>
      <rPr>
        <b/>
        <sz val="14"/>
        <color theme="1"/>
        <rFont val="Arial"/>
        <family val="2"/>
      </rPr>
      <t xml:space="preserve"> Table 10.15</t>
    </r>
    <r>
      <rPr>
        <sz val="14"/>
        <color theme="1"/>
        <rFont val="Arial"/>
        <family val="2"/>
      </rPr>
      <t xml:space="preserve">: cho Visual. MT/PT - Cho kết cấu dạng ống
- </t>
    </r>
    <r>
      <rPr>
        <b/>
        <sz val="14"/>
        <color theme="1"/>
        <rFont val="Arial"/>
        <family val="2"/>
      </rPr>
      <t>UT Table 8.2</t>
    </r>
    <r>
      <rPr>
        <sz val="14"/>
        <color theme="1"/>
        <rFont val="Arial"/>
        <family val="2"/>
      </rPr>
      <t xml:space="preserve">: Mối hàn không phải dạng ống chịu ứng suất tĩnh và ứng suất động dạng nén
- </t>
    </r>
    <r>
      <rPr>
        <b/>
        <sz val="14"/>
        <color theme="1"/>
        <rFont val="Arial"/>
        <family val="2"/>
      </rPr>
      <t>UT Table 8.3</t>
    </r>
    <r>
      <rPr>
        <sz val="14"/>
        <color theme="1"/>
        <rFont val="Arial"/>
        <family val="2"/>
      </rPr>
      <t xml:space="preserve">: Mối hàn không phải dạng ống chịu ứng suất động dạng kéo               (padeye móc cẩu,…)
</t>
    </r>
    <r>
      <rPr>
        <b/>
        <sz val="14"/>
        <color theme="1"/>
        <rFont val="Arial"/>
        <family val="2"/>
      </rPr>
      <t>- CLASS R</t>
    </r>
    <r>
      <rPr>
        <sz val="14"/>
        <color theme="1"/>
        <rFont val="Arial"/>
        <family val="2"/>
      </rPr>
      <t xml:space="preserve">: UT thay thế cho RT, mối hàn ống đối đầu
- </t>
    </r>
    <r>
      <rPr>
        <b/>
        <sz val="14"/>
        <color theme="1"/>
        <rFont val="Arial"/>
        <family val="2"/>
      </rPr>
      <t>Class X</t>
    </r>
    <r>
      <rPr>
        <sz val="14"/>
        <color theme="1"/>
        <rFont val="Arial"/>
        <family val="2"/>
      </rPr>
      <t>: Mối hàn kết cấu ống dạng T-Y-K</t>
    </r>
  </si>
  <si>
    <t>IOW</t>
  </si>
  <si>
    <t>ASME B31.3</t>
  </si>
  <si>
    <t>Ống công nghệ / Piping</t>
  </si>
  <si>
    <t>ASME</t>
  </si>
  <si>
    <t>ASME B31.1</t>
  </si>
  <si>
    <t>Power Piping / Ống trong bình áp lực</t>
  </si>
  <si>
    <t>ASME IX</t>
  </si>
  <si>
    <t>Đánh giá quy trình/ thợ hàn</t>
  </si>
  <si>
    <t>ASME VIII Div.1</t>
  </si>
  <si>
    <t>Bình áp lực / Pressure vessel</t>
  </si>
  <si>
    <t>ASME VIII Div.2</t>
  </si>
  <si>
    <t>Bình áp lực / Pressure vessel
(khi có yêu cầu)</t>
  </si>
  <si>
    <t>ASME B31.8</t>
  </si>
  <si>
    <t>Tie -in Spool; Riser; Riser tie-in (đoạn từ sau Pipeline đến trước SDV)</t>
  </si>
  <si>
    <t>Dùng API-1104 để đánh giá mối hàn</t>
  </si>
  <si>
    <t>API 1104</t>
  </si>
  <si>
    <t>Đường ống ngầm/ Pipeline</t>
  </si>
  <si>
    <t>API</t>
  </si>
  <si>
    <t>API RP2X
Level A &amp; C</t>
  </si>
  <si>
    <t>Mối hàn kết cấu cho các công trình biển + Đánh giá tay nghề - Áp dụng khi có yêu cầu của dự án
(Offshore structure fabrication + Qualification of technicians)</t>
  </si>
  <si>
    <t>Mẫu API - RP 2X
Có thể thay thế bằng IOW cho phần thân mối hàn</t>
  </si>
  <si>
    <t>ABS</t>
  </si>
  <si>
    <t>Tàu bè / Ship Hull</t>
  </si>
  <si>
    <t>Lỗ khoan 1,2mm</t>
  </si>
  <si>
    <t>IACS</t>
  </si>
  <si>
    <t>Mối hàn kết cẩu biển / Offshore structure</t>
  </si>
  <si>
    <t>EEMUA 158</t>
  </si>
  <si>
    <t>Mối hàn kết cấu nước sâu - Áp dụng khi có yêu cầu của dự án</t>
  </si>
  <si>
    <t>Lỗ khoan 3mm</t>
  </si>
  <si>
    <r>
      <t>Report No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Báo cáo số
Отчет No.:  </t>
    </r>
  </si>
  <si>
    <t>22.307-UT-001</t>
  </si>
  <si>
    <r>
      <t>Page</t>
    </r>
    <r>
      <rPr>
        <sz val="10"/>
        <rFont val="Arial"/>
        <family val="2"/>
      </rPr>
      <t>/</t>
    </r>
    <r>
      <rPr>
        <sz val="8"/>
        <rFont val="Arial"/>
        <family val="2"/>
      </rPr>
      <t>Trang 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11"/>
        <rFont val="Arial"/>
        <family val="2"/>
      </rPr>
      <t>of</t>
    </r>
    <r>
      <rPr>
        <sz val="8"/>
        <rFont val="Arial"/>
        <family val="2"/>
      </rPr>
      <t xml:space="preserve">/   của  </t>
    </r>
    <r>
      <rPr>
        <b/>
        <sz val="10"/>
        <rFont val="Arial"/>
        <family val="2"/>
      </rPr>
      <t xml:space="preserve"> 1</t>
    </r>
  </si>
  <si>
    <t>Form :  QF-11; Rev. No.2</t>
  </si>
  <si>
    <t xml:space="preserve">  30/12/2022</t>
  </si>
  <si>
    <r>
      <t>Project/</t>
    </r>
    <r>
      <rPr>
        <sz val="8"/>
        <rFont val="Arial"/>
        <family val="2"/>
      </rPr>
      <t xml:space="preserve">Công trình/Объект  </t>
    </r>
    <r>
      <rPr>
        <sz val="11"/>
        <rFont val="Arial"/>
        <family val="2"/>
      </rPr>
      <t xml:space="preserve"> </t>
    </r>
    <r>
      <rPr>
        <sz val="8"/>
        <rFont val="Arial"/>
        <family val="2"/>
      </rPr>
      <t xml:space="preserve">        </t>
    </r>
    <r>
      <rPr>
        <sz val="10"/>
        <rFont val="Arial"/>
        <family val="2"/>
      </rPr>
      <t xml:space="preserve">      </t>
    </r>
    <r>
      <rPr>
        <sz val="11"/>
        <rFont val="Arial"/>
        <family val="2"/>
      </rPr>
      <t xml:space="preserve">   </t>
    </r>
  </si>
  <si>
    <r>
      <t>Item</t>
    </r>
    <r>
      <rPr>
        <sz val="8"/>
        <rFont val="Arial"/>
        <family val="2"/>
      </rPr>
      <t xml:space="preserve">/Hạng mục/Наименoвание:  </t>
    </r>
    <r>
      <rPr>
        <b/>
        <sz val="11"/>
        <rFont val="Arial"/>
        <family val="2"/>
      </rPr>
      <t xml:space="preserve">  </t>
    </r>
  </si>
  <si>
    <t>CTK3 (NVSX 307-22)</t>
  </si>
  <si>
    <t>SỬA CHỮA XUỒNG CỨU SINH</t>
  </si>
  <si>
    <r>
      <t>Procedure</t>
    </r>
    <r>
      <rPr>
        <sz val="8"/>
        <rFont val="Arial"/>
        <family val="2"/>
      </rPr>
      <t xml:space="preserve">/Qui trình/Процедура           </t>
    </r>
    <r>
      <rPr>
        <sz val="10"/>
        <rFont val="Arial"/>
        <family val="2"/>
      </rPr>
      <t xml:space="preserve">      </t>
    </r>
    <r>
      <rPr>
        <sz val="11"/>
        <rFont val="Arial"/>
        <family val="2"/>
      </rPr>
      <t xml:space="preserve">   </t>
    </r>
  </si>
  <si>
    <r>
      <t>Acceptance criteria</t>
    </r>
    <r>
      <rPr>
        <sz val="8"/>
        <rFont val="Arial"/>
        <family val="2"/>
      </rPr>
      <t>/Tiêu chuẩn chấp nhận/Oцениваемая критерия:</t>
    </r>
  </si>
  <si>
    <t>P6/QA/19  Rev.5</t>
  </si>
  <si>
    <t>AWS D1.1 2020 Table O.1 Cyclically Loaded</t>
  </si>
  <si>
    <r>
      <t>Flaw detector</t>
    </r>
    <r>
      <rPr>
        <sz val="10"/>
        <rFont val="Arial"/>
        <family val="2"/>
      </rPr>
      <t>/</t>
    </r>
    <r>
      <rPr>
        <sz val="8"/>
        <rFont val="Arial"/>
        <family val="2"/>
      </rPr>
      <t>Thiết bị /Дефектоскоп</t>
    </r>
  </si>
  <si>
    <t>Calibration block/Mẫu</t>
  </si>
  <si>
    <t xml:space="preserve">DAC block/Mẫu DAC/Блок DAC </t>
  </si>
  <si>
    <t>USM 35x</t>
  </si>
  <si>
    <t xml:space="preserve">           IOW             ASME            API</t>
  </si>
  <si>
    <r>
      <t>Serial No.</t>
    </r>
    <r>
      <rPr>
        <sz val="10"/>
        <rFont val="Arial"/>
        <family val="2"/>
      </rPr>
      <t>/</t>
    </r>
    <r>
      <rPr>
        <sz val="8"/>
        <rFont val="Arial"/>
        <family val="2"/>
      </rPr>
      <t>Số/Cерия No.:</t>
    </r>
    <r>
      <rPr>
        <b/>
        <sz val="10"/>
        <rFont val="Arial"/>
        <family val="2"/>
      </rPr>
      <t xml:space="preserve">      13572a</t>
    </r>
  </si>
  <si>
    <r>
      <t xml:space="preserve">Cable: </t>
    </r>
    <r>
      <rPr>
        <sz val="10"/>
        <rFont val="Arial"/>
        <family val="2"/>
      </rPr>
      <t>Manufacturer/Type/Length/Loại /Тип</t>
    </r>
  </si>
  <si>
    <r>
      <t>Probes</t>
    </r>
    <r>
      <rPr>
        <sz val="10"/>
        <rFont val="Arial"/>
        <family val="2"/>
      </rPr>
      <t>/</t>
    </r>
    <r>
      <rPr>
        <sz val="8"/>
        <rFont val="Arial"/>
        <family val="2"/>
      </rPr>
      <t>Đầu dò/Искатель</t>
    </r>
  </si>
  <si>
    <t>0 deg.</t>
  </si>
  <si>
    <t>45 deg.</t>
  </si>
  <si>
    <t>60 deg.</t>
  </si>
  <si>
    <t>70 deg.</t>
  </si>
  <si>
    <t>LEMO FFA.1S</t>
  </si>
  <si>
    <r>
      <t>Type</t>
    </r>
    <r>
      <rPr>
        <sz val="8"/>
        <rFont val="Arial"/>
        <family val="2"/>
      </rPr>
      <t>/Loại /Тип</t>
    </r>
  </si>
  <si>
    <r>
      <t>Material</t>
    </r>
    <r>
      <rPr>
        <sz val="10"/>
        <rFont val="Arial"/>
        <family val="2"/>
      </rPr>
      <t>/</t>
    </r>
    <r>
      <rPr>
        <sz val="8"/>
        <rFont val="Arial"/>
        <family val="2"/>
      </rPr>
      <t>Vật liệu/Материалы :</t>
    </r>
    <r>
      <rPr>
        <b/>
        <sz val="8"/>
        <rFont val="Arial"/>
        <family val="2"/>
      </rPr>
      <t xml:space="preserve"> </t>
    </r>
    <r>
      <rPr>
        <b/>
        <sz val="10"/>
        <rFont val="Arial"/>
        <family val="2"/>
      </rPr>
      <t>CARBON STEEL</t>
    </r>
  </si>
  <si>
    <r>
      <t>Serial No</t>
    </r>
    <r>
      <rPr>
        <sz val="8"/>
        <rFont val="Arial"/>
        <family val="2"/>
      </rPr>
      <t>/Số/Cерия No</t>
    </r>
  </si>
  <si>
    <t>76735</t>
  </si>
  <si>
    <t>76741</t>
  </si>
  <si>
    <t>76765</t>
  </si>
  <si>
    <r>
      <t>Joint preparation/</t>
    </r>
    <r>
      <rPr>
        <sz val="8"/>
        <rFont val="Arial"/>
        <family val="2"/>
      </rPr>
      <t>Mối ghép/Cтык:</t>
    </r>
    <r>
      <rPr>
        <sz val="10"/>
        <rFont val="Arial"/>
        <family val="2"/>
      </rPr>
      <t xml:space="preserve"> </t>
    </r>
  </si>
  <si>
    <r>
      <t>Size</t>
    </r>
    <r>
      <rPr>
        <sz val="10"/>
        <rFont val="Arial"/>
        <family val="2"/>
      </rPr>
      <t>/</t>
    </r>
    <r>
      <rPr>
        <sz val="8"/>
        <rFont val="Arial"/>
        <family val="2"/>
      </rPr>
      <t>Kích thước/Размер</t>
    </r>
  </si>
  <si>
    <t>Ф10</t>
  </si>
  <si>
    <t>SINGLE BEVEL / N/A</t>
  </si>
  <si>
    <r>
      <t>Freq (MHz)</t>
    </r>
    <r>
      <rPr>
        <sz val="9"/>
        <rFont val="Arial"/>
        <family val="2"/>
      </rPr>
      <t>/</t>
    </r>
    <r>
      <rPr>
        <sz val="8"/>
        <rFont val="Arial"/>
        <family val="2"/>
      </rPr>
      <t>Tần số/Частоты</t>
    </r>
  </si>
  <si>
    <r>
      <t>Welding process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Quá trình hàn/Сварочный процесс
</t>
    </r>
    <r>
      <rPr>
        <b/>
        <sz val="10"/>
        <rFont val="Arial"/>
        <family val="2"/>
        <charset val="163"/>
      </rPr>
      <t>SMAW</t>
    </r>
  </si>
  <si>
    <r>
      <t>Range</t>
    </r>
    <r>
      <rPr>
        <sz val="10"/>
        <rFont val="Arial"/>
        <family val="2"/>
      </rPr>
      <t>/</t>
    </r>
    <r>
      <rPr>
        <sz val="8"/>
        <rFont val="Arial"/>
        <family val="2"/>
      </rPr>
      <t>Dải kiểm tra/Диапазон</t>
    </r>
  </si>
  <si>
    <r>
      <t>Sensitivity (dB)</t>
    </r>
    <r>
      <rPr>
        <sz val="10"/>
        <rFont val="Arial"/>
        <family val="2"/>
      </rPr>
      <t>/</t>
    </r>
    <r>
      <rPr>
        <sz val="8"/>
        <rFont val="Arial"/>
        <family val="2"/>
      </rPr>
      <t>Độ nhạy
Чусвствительность</t>
    </r>
  </si>
  <si>
    <r>
      <rPr>
        <sz val="8"/>
        <rFont val="Arial"/>
        <family val="2"/>
      </rPr>
      <t>2nd</t>
    </r>
    <r>
      <rPr>
        <sz val="9"/>
        <rFont val="Arial"/>
        <family val="2"/>
      </rPr>
      <t xml:space="preserve"> BWE
100% FSH</t>
    </r>
  </si>
  <si>
    <r>
      <t>Surface condition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Bề mặt/Поверхность
              </t>
    </r>
    <r>
      <rPr>
        <b/>
        <sz val="8"/>
        <rFont val="Arial"/>
        <family val="2"/>
      </rPr>
      <t xml:space="preserve">  </t>
    </r>
    <r>
      <rPr>
        <b/>
        <sz val="10"/>
        <rFont val="Arial"/>
        <family val="2"/>
      </rPr>
      <t>AS ROLLED/GROUND</t>
    </r>
  </si>
  <si>
    <r>
      <t>Transfer (dB)</t>
    </r>
    <r>
      <rPr>
        <sz val="9"/>
        <rFont val="Arial"/>
        <family val="2"/>
      </rPr>
      <t xml:space="preserve">
</t>
    </r>
    <r>
      <rPr>
        <sz val="8"/>
        <rFont val="Arial"/>
        <family val="2"/>
      </rPr>
      <t>Tổn hao/Затраты</t>
    </r>
  </si>
  <si>
    <t>+4</t>
  </si>
  <si>
    <r>
      <t>Couplant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Tiếp âm/Контакная жидкость:    </t>
    </r>
    <r>
      <rPr>
        <sz val="10"/>
        <rFont val="Arial"/>
        <family val="2"/>
      </rPr>
      <t xml:space="preserve">
           C</t>
    </r>
    <r>
      <rPr>
        <sz val="8"/>
        <rFont val="Arial"/>
        <family val="2"/>
      </rPr>
      <t xml:space="preserve">ellulose paste                 Petroleum grease     </t>
    </r>
    <r>
      <rPr>
        <sz val="10"/>
        <rFont val="Arial"/>
        <family val="2"/>
      </rPr>
      <t xml:space="preserve">                </t>
    </r>
    <r>
      <rPr>
        <sz val="9"/>
        <rFont val="Arial"/>
        <family val="2"/>
      </rPr>
      <t xml:space="preserve">   </t>
    </r>
    <r>
      <rPr>
        <b/>
        <sz val="9"/>
        <rFont val="Arial"/>
        <family val="2"/>
      </rPr>
      <t xml:space="preserve">  </t>
    </r>
    <r>
      <rPr>
        <b/>
        <sz val="10"/>
        <rFont val="Arial"/>
        <family val="2"/>
      </rPr>
      <t xml:space="preserve"> </t>
    </r>
  </si>
  <si>
    <t xml:space="preserve">Ф x T (mm)/
 L x T (mm)
(1)
</t>
  </si>
  <si>
    <r>
      <t xml:space="preserve">Defect
Location
</t>
    </r>
    <r>
      <rPr>
        <sz val="8"/>
        <rFont val="Arial"/>
        <family val="2"/>
      </rPr>
      <t xml:space="preserve">Vị trí KT
Место дефекта
(mm)   </t>
    </r>
  </si>
  <si>
    <r>
      <t xml:space="preserve">Defect
Length
   </t>
    </r>
    <r>
      <rPr>
        <sz val="8"/>
        <rFont val="Arial"/>
        <family val="2"/>
      </rPr>
      <t xml:space="preserve"> KT dài
Длина дефекта  (mm)</t>
    </r>
    <r>
      <rPr>
        <sz val="9"/>
        <rFont val="Arial"/>
        <family val="2"/>
      </rPr>
      <t xml:space="preserve">
</t>
    </r>
  </si>
  <si>
    <t>ND-CPP3-242-TS-ST6-DW-001</t>
  </si>
  <si>
    <t>S1000x6/8</t>
  </si>
  <si>
    <t>1A</t>
  </si>
  <si>
    <t>S16000x6/8</t>
  </si>
  <si>
    <t>S2500x6/8</t>
  </si>
  <si>
    <t>2A</t>
  </si>
  <si>
    <t>S20000x6/8</t>
  </si>
  <si>
    <t>S22000x6/8</t>
  </si>
  <si>
    <t>3A</t>
  </si>
  <si>
    <t>L900x6</t>
  </si>
  <si>
    <r>
      <t>REMARKS/</t>
    </r>
    <r>
      <rPr>
        <sz val="8"/>
        <rFont val="Arial"/>
        <family val="2"/>
      </rPr>
      <t xml:space="preserve">Ghi chú/Примечание:   </t>
    </r>
    <r>
      <rPr>
        <b/>
        <sz val="8"/>
        <rFont val="Arial"/>
        <family val="2"/>
      </rPr>
      <t>ACC</t>
    </r>
    <r>
      <rPr>
        <sz val="8"/>
        <rFont val="Arial"/>
        <family val="2"/>
      </rPr>
      <t xml:space="preserve">= Accept/Đạt/Годен,  </t>
    </r>
    <r>
      <rPr>
        <b/>
        <sz val="8"/>
        <rFont val="Arial"/>
        <family val="2"/>
      </rPr>
      <t>REJ</t>
    </r>
    <r>
      <rPr>
        <sz val="8"/>
        <rFont val="Arial"/>
        <family val="2"/>
      </rPr>
      <t xml:space="preserve">= Reject/Không đạt/Негоден, </t>
    </r>
    <r>
      <rPr>
        <b/>
        <sz val="8"/>
        <rFont val="Arial"/>
        <family val="2"/>
      </rPr>
      <t>KT</t>
    </r>
    <r>
      <rPr>
        <sz val="8"/>
        <rFont val="Arial"/>
        <family val="2"/>
      </rPr>
      <t>= Defect/Khuyết tật/Дефект;</t>
    </r>
    <r>
      <rPr>
        <b/>
        <sz val="8"/>
        <rFont val="Arial"/>
        <family val="2"/>
      </rPr>
      <t xml:space="preserve"> 
(1)</t>
    </r>
    <r>
      <rPr>
        <sz val="8"/>
        <rFont val="Arial"/>
        <family val="2"/>
      </rPr>
      <t xml:space="preserve">: </t>
    </r>
    <r>
      <rPr>
        <b/>
        <sz val="8"/>
        <rFont val="Arial"/>
        <family val="2"/>
      </rPr>
      <t>Ф x T -</t>
    </r>
    <r>
      <rPr>
        <sz val="8"/>
        <rFont val="Arial"/>
        <family val="2"/>
      </rPr>
      <t xml:space="preserve"> diameter x thickness/đường kính x chiều dày/диаметр x толщина ;</t>
    </r>
    <r>
      <rPr>
        <b/>
        <sz val="8"/>
        <rFont val="Arial"/>
        <family val="2"/>
      </rPr>
      <t xml:space="preserve"> L x T </t>
    </r>
    <r>
      <rPr>
        <sz val="8"/>
        <rFont val="Arial"/>
        <family val="2"/>
      </rPr>
      <t>- length x thickness/chiều dài x chiều dày/длина x толщи</t>
    </r>
  </si>
  <si>
    <r>
      <t>PL</t>
    </r>
    <r>
      <rPr>
        <sz val="8"/>
        <rFont val="Arial"/>
        <family val="2"/>
      </rPr>
      <t xml:space="preserve">= Planar defect/Khuyết tật dạng mặt/Поверхностные дефекты,   </t>
    </r>
    <r>
      <rPr>
        <b/>
        <sz val="8"/>
        <rFont val="Arial"/>
        <family val="2"/>
      </rPr>
      <t>SP</t>
    </r>
    <r>
      <rPr>
        <sz val="8"/>
        <rFont val="Arial"/>
        <family val="2"/>
      </rPr>
      <t xml:space="preserve">= Spherical defect/Khuyết tật dạng cầu/Сферические дефекты
</t>
    </r>
    <r>
      <rPr>
        <b/>
        <sz val="8"/>
        <rFont val="Arial"/>
        <family val="2"/>
      </rPr>
      <t>CL</t>
    </r>
    <r>
      <rPr>
        <sz val="8"/>
        <rFont val="Arial"/>
        <family val="2"/>
      </rPr>
      <t>= Cylindrical defect/Khuyết tật dạng ống/Цилиндрические дефекты</t>
    </r>
  </si>
  <si>
    <r>
      <t>Checked by/</t>
    </r>
    <r>
      <rPr>
        <sz val="10"/>
        <rFont val="Arial"/>
        <family val="2"/>
      </rPr>
      <t xml:space="preserve"> Kiểm tra</t>
    </r>
  </si>
  <si>
    <t>Контролер</t>
  </si>
  <si>
    <r>
      <t xml:space="preserve">Name/H.Tên/Ф.И.О: </t>
    </r>
    <r>
      <rPr>
        <sz val="10"/>
        <rFont val="Arial"/>
        <family val="2"/>
      </rPr>
      <t xml:space="preserve"> </t>
    </r>
  </si>
  <si>
    <t>DINH VAN THIEN</t>
  </si>
  <si>
    <t>Date/Ngày/Дата:</t>
  </si>
  <si>
    <r>
      <t>Name/H.Tên/Ф.И.О:</t>
    </r>
    <r>
      <rPr>
        <b/>
        <sz val="9"/>
        <rFont val="Arial"/>
        <family val="2"/>
      </rPr>
      <t xml:space="preserve"> </t>
    </r>
  </si>
  <si>
    <t>V1</t>
  </si>
  <si>
    <t xml:space="preserve">ULTRASONIC THICKNESS
</t>
  </si>
  <si>
    <t xml:space="preserve"> TESTING REPORT</t>
  </si>
  <si>
    <t>BÁO CÁO ĐO CHIỀU DÀY</t>
  </si>
  <si>
    <t>ОТЧЕТ О ИЗМЕРЕНИИ ТОЛЩИНЫ</t>
  </si>
  <si>
    <r>
      <rPr>
        <sz val="10"/>
        <rFont val="Arial"/>
        <family val="2"/>
      </rPr>
      <t>Isp. Date</t>
    </r>
    <r>
      <rPr>
        <sz val="8"/>
        <rFont val="Arial"/>
        <family val="2"/>
      </rPr>
      <t>/Ngày/Дата:</t>
    </r>
  </si>
  <si>
    <t>Form No.  QF-18; Rev. No. 2</t>
  </si>
  <si>
    <r>
      <rPr>
        <sz val="11"/>
        <rFont val="Arial"/>
        <family val="2"/>
      </rPr>
      <t>Project</t>
    </r>
    <r>
      <rPr>
        <sz val="8"/>
        <rFont val="Arial"/>
        <family val="2"/>
      </rPr>
      <t xml:space="preserve">/Công trình/Объект        </t>
    </r>
    <r>
      <rPr>
        <sz val="11"/>
        <rFont val="Arial"/>
        <family val="2"/>
      </rPr>
      <t xml:space="preserve">  </t>
    </r>
  </si>
  <si>
    <r>
      <rPr>
        <sz val="11"/>
        <rFont val="Arial"/>
        <family val="2"/>
      </rPr>
      <t>Calibration block</t>
    </r>
    <r>
      <rPr>
        <sz val="8"/>
        <rFont val="Arial"/>
        <family val="2"/>
      </rPr>
      <t>/Mẫu hiệu chỉnh</t>
    </r>
  </si>
  <si>
    <t>11240a</t>
  </si>
  <si>
    <r>
      <rPr>
        <sz val="10"/>
        <rFont val="Arial"/>
        <family val="2"/>
      </rPr>
      <t xml:space="preserve">No
</t>
    </r>
    <r>
      <rPr>
        <sz val="8"/>
        <rFont val="Arial"/>
        <family val="2"/>
      </rPr>
      <t>STT
П/н</t>
    </r>
  </si>
  <si>
    <r>
      <rPr>
        <sz val="9"/>
        <rFont val="Arial"/>
        <family val="2"/>
      </rPr>
      <t xml:space="preserve">Item identification
</t>
    </r>
    <r>
      <rPr>
        <sz val="8"/>
        <rFont val="Arial"/>
        <family val="2"/>
      </rPr>
      <t>Số chi tiết
Номер деталей</t>
    </r>
  </si>
  <si>
    <t xml:space="preserve">Cross section
Mặt cắt
Чтение
</t>
  </si>
  <si>
    <r>
      <rPr>
        <b/>
        <sz val="8"/>
        <rFont val="Arial"/>
        <family val="2"/>
      </rPr>
      <t>REMARKS/</t>
    </r>
    <r>
      <rPr>
        <sz val="8"/>
        <rFont val="Arial"/>
        <family val="2"/>
      </rPr>
      <t xml:space="preserve">Ghi chú/Примечание:   </t>
    </r>
  </si>
  <si>
    <t>Name/H.Tên/Ф.И.О:</t>
  </si>
  <si>
    <t xml:space="preserve">Date/Ngày/Дата      </t>
  </si>
  <si>
    <t>ULTRASONIC LAMINATION
TESTING REPORT</t>
  </si>
  <si>
    <r>
      <rPr>
        <sz val="10"/>
        <rFont val="Arial"/>
        <family val="2"/>
      </rPr>
      <t xml:space="preserve">Report No
</t>
    </r>
    <r>
      <rPr>
        <sz val="9"/>
        <rFont val="Arial"/>
        <family val="2"/>
      </rPr>
      <t>Báo cáo số/Отчет No.:</t>
    </r>
  </si>
  <si>
    <t>BÁO CÁO KIỂM TRA SIÊU ÂM TÁCH LỚP</t>
  </si>
  <si>
    <t>18.050-UL-001</t>
  </si>
  <si>
    <t xml:space="preserve">ОТЧЕТ ОБ УЛЬТРАЗВУКОВОМ КОНТРОЛЕ  НА РАСЛОЕНИЯ </t>
  </si>
  <si>
    <t>Form :  QF-17; Rev. No. 2</t>
  </si>
  <si>
    <r>
      <rPr>
        <sz val="9"/>
        <rFont val="Arial"/>
        <family val="2"/>
      </rPr>
      <t>Isp. Date/Ngày/Дата</t>
    </r>
    <r>
      <rPr>
        <sz val="10"/>
        <rFont val="Arial"/>
        <family val="2"/>
      </rPr>
      <t>:</t>
    </r>
  </si>
  <si>
    <r>
      <rPr>
        <sz val="11"/>
        <rFont val="Arial"/>
        <family val="2"/>
      </rPr>
      <t>Procedure</t>
    </r>
    <r>
      <rPr>
        <sz val="9"/>
        <rFont val="Arial"/>
        <family val="2"/>
      </rPr>
      <t>/</t>
    </r>
    <r>
      <rPr>
        <sz val="8"/>
        <rFont val="Arial"/>
        <family val="2"/>
      </rPr>
      <t xml:space="preserve">Qui trình/Процедура        </t>
    </r>
    <r>
      <rPr>
        <sz val="10"/>
        <rFont val="Arial"/>
        <family val="2"/>
      </rPr>
      <t xml:space="preserve">         </t>
    </r>
    <r>
      <rPr>
        <sz val="11"/>
        <rFont val="Arial"/>
        <family val="2"/>
      </rPr>
      <t xml:space="preserve">   </t>
    </r>
  </si>
  <si>
    <t xml:space="preserve"> GIÀN CỬU LONG</t>
  </si>
  <si>
    <r>
      <rPr>
        <sz val="11"/>
        <rFont val="Arial"/>
        <family val="2"/>
      </rPr>
      <t>Acceptance criteria/</t>
    </r>
    <r>
      <rPr>
        <sz val="8"/>
        <rFont val="Arial"/>
        <family val="2"/>
      </rPr>
      <t xml:space="preserve">Tiêu chuẩn chấp nhận    </t>
    </r>
  </si>
  <si>
    <r>
      <rPr>
        <sz val="11"/>
        <rFont val="Arial"/>
        <family val="2"/>
      </rPr>
      <t>Item/</t>
    </r>
    <r>
      <rPr>
        <sz val="8"/>
        <rFont val="Arial"/>
        <family val="2"/>
      </rPr>
      <t xml:space="preserve">Hạng mục/Наименoвание:  </t>
    </r>
  </si>
  <si>
    <t xml:space="preserve">Oцениваемая критерия </t>
  </si>
  <si>
    <t>CHẾ TẠO TAI MÓC CẨU</t>
  </si>
  <si>
    <r>
      <rPr>
        <sz val="11"/>
        <rFont val="Arial"/>
        <family val="2"/>
      </rPr>
      <t>UT set</t>
    </r>
    <r>
      <rPr>
        <sz val="8"/>
        <rFont val="Arial"/>
        <family val="2"/>
      </rPr>
      <t xml:space="preserve">/Thiết bị/Дефектоскоп:  </t>
    </r>
  </si>
  <si>
    <r>
      <rPr>
        <sz val="11"/>
        <rFont val="Arial"/>
        <family val="2"/>
      </rPr>
      <t>Probe type</t>
    </r>
    <r>
      <rPr>
        <sz val="8"/>
        <rFont val="Arial"/>
        <family val="2"/>
      </rPr>
      <t>/ Loại đầu dò/Тип искателей</t>
    </r>
  </si>
  <si>
    <t>Эталонный образец</t>
  </si>
  <si>
    <t>IIW V1</t>
  </si>
  <si>
    <r>
      <rPr>
        <sz val="11"/>
        <rFont val="Arial"/>
        <family val="2"/>
      </rPr>
      <t>Serial No</t>
    </r>
    <r>
      <rPr>
        <sz val="10"/>
        <rFont val="Arial"/>
        <family val="2"/>
      </rPr>
      <t>.</t>
    </r>
    <r>
      <rPr>
        <sz val="8"/>
        <rFont val="Arial"/>
        <family val="2"/>
      </rPr>
      <t>/Số/Cерия No .</t>
    </r>
  </si>
  <si>
    <r>
      <rPr>
        <sz val="11"/>
        <rFont val="Arial"/>
        <family val="2"/>
      </rPr>
      <t>Transducer size</t>
    </r>
    <r>
      <rPr>
        <sz val="8"/>
        <rFont val="Arial"/>
        <family val="2"/>
      </rPr>
      <t>/Kích thước biến tử</t>
    </r>
  </si>
  <si>
    <t>13572a</t>
  </si>
  <si>
    <t xml:space="preserve">Sensitivity setting:   </t>
  </si>
  <si>
    <r>
      <rPr>
        <sz val="11"/>
        <rFont val="Arial"/>
        <family val="2"/>
      </rPr>
      <t>Material</t>
    </r>
    <r>
      <rPr>
        <sz val="10"/>
        <rFont val="Arial"/>
        <family val="2"/>
      </rPr>
      <t>/</t>
    </r>
    <r>
      <rPr>
        <sz val="8"/>
        <rFont val="Arial"/>
        <family val="2"/>
      </rPr>
      <t>Vật liệu/Материалы:</t>
    </r>
    <r>
      <rPr>
        <sz val="10"/>
        <rFont val="Arial"/>
        <family val="2"/>
      </rPr>
      <t xml:space="preserve"> </t>
    </r>
  </si>
  <si>
    <t>Cable: Manufacturer/Type:</t>
  </si>
  <si>
    <t xml:space="preserve">Độ nhạy/Чувствительность: </t>
  </si>
  <si>
    <r>
      <rPr>
        <sz val="10"/>
        <rFont val="Arial"/>
        <family val="2"/>
      </rPr>
      <t xml:space="preserve">No
</t>
    </r>
    <r>
      <rPr>
        <sz val="8"/>
        <rFont val="Arial"/>
        <family val="2"/>
      </rPr>
      <t>STT
П/п</t>
    </r>
  </si>
  <si>
    <r>
      <rPr>
        <sz val="8"/>
        <rFont val="Arial"/>
        <family val="2"/>
      </rPr>
      <t xml:space="preserve">Detail/Weld No.
Chi tiết/Mối hàn
Номер деталлей/
cтыка 
 </t>
    </r>
    <r>
      <rPr>
        <b/>
        <sz val="8"/>
        <rFont val="Arial"/>
        <family val="2"/>
      </rPr>
      <t>(1)</t>
    </r>
  </si>
  <si>
    <r>
      <rPr>
        <sz val="9"/>
        <rFont val="Arial"/>
        <family val="2"/>
      </rPr>
      <t xml:space="preserve">Thickness </t>
    </r>
    <r>
      <rPr>
        <sz val="8"/>
        <rFont val="Arial"/>
        <family val="2"/>
      </rPr>
      <t>Chiều dày   Толщина (mm)</t>
    </r>
  </si>
  <si>
    <r>
      <rPr>
        <sz val="9"/>
        <rFont val="Arial"/>
        <family val="2"/>
      </rPr>
      <t xml:space="preserve">Indication No.            </t>
    </r>
    <r>
      <rPr>
        <sz val="8"/>
        <rFont val="Arial"/>
        <family val="2"/>
      </rPr>
      <t xml:space="preserve">Chỉ thị Индикатор No. </t>
    </r>
    <r>
      <rPr>
        <sz val="9"/>
        <rFont val="Arial"/>
        <family val="2"/>
      </rPr>
      <t xml:space="preserve">
</t>
    </r>
  </si>
  <si>
    <r>
      <rPr>
        <sz val="9"/>
        <rFont val="Arial"/>
        <family val="2"/>
      </rPr>
      <t xml:space="preserve">Largest size       </t>
    </r>
    <r>
      <rPr>
        <sz val="8"/>
        <rFont val="Arial"/>
        <family val="2"/>
      </rPr>
      <t>Kích thước 
lớn nhất
 Мак. Размер</t>
    </r>
  </si>
  <si>
    <r>
      <rPr>
        <sz val="9"/>
        <rFont val="Arial"/>
        <family val="2"/>
      </rPr>
      <t xml:space="preserve">Result
</t>
    </r>
    <r>
      <rPr>
        <sz val="8"/>
        <rFont val="Arial"/>
        <family val="2"/>
      </rPr>
      <t>Kết quả
Оценка
ACC/REJ</t>
    </r>
  </si>
  <si>
    <r>
      <rPr>
        <sz val="9"/>
        <rFont val="Arial"/>
        <family val="2"/>
      </rPr>
      <t xml:space="preserve">Remarks  
 </t>
    </r>
    <r>
      <rPr>
        <sz val="8"/>
        <rFont val="Arial"/>
        <family val="2"/>
      </rPr>
      <t>Ghi chú     Примечание</t>
    </r>
  </si>
  <si>
    <t>ND-BK4-003-CL-POC-04</t>
  </si>
  <si>
    <t>25(L460x400)</t>
  </si>
  <si>
    <t>=</t>
  </si>
  <si>
    <r>
      <rPr>
        <b/>
        <sz val="8"/>
        <rFont val="Arial"/>
        <family val="2"/>
      </rPr>
      <t>REMARKS/</t>
    </r>
    <r>
      <rPr>
        <sz val="8"/>
        <rFont val="Arial"/>
        <family val="2"/>
      </rPr>
      <t xml:space="preserve">Ghi chú/Примечание:   </t>
    </r>
    <r>
      <rPr>
        <b/>
        <sz val="8"/>
        <rFont val="Arial"/>
        <family val="2"/>
      </rPr>
      <t>ACC</t>
    </r>
    <r>
      <rPr>
        <sz val="8"/>
        <rFont val="Arial"/>
        <family val="2"/>
      </rPr>
      <t xml:space="preserve">= Accept/Đạt/Годен,   </t>
    </r>
    <r>
      <rPr>
        <b/>
        <sz val="8"/>
        <rFont val="Arial"/>
        <family val="2"/>
      </rPr>
      <t xml:space="preserve"> REJ</t>
    </r>
    <r>
      <rPr>
        <sz val="8"/>
        <rFont val="Arial"/>
        <family val="2"/>
      </rPr>
      <t xml:space="preserve">= Reject/Không đạt/Негоден
</t>
    </r>
    <r>
      <rPr>
        <b/>
        <sz val="8"/>
        <rFont val="Arial"/>
        <family val="2"/>
      </rPr>
      <t xml:space="preserve"> (1) : </t>
    </r>
    <r>
      <rPr>
        <sz val="8"/>
        <rFont val="Arial"/>
        <family val="2"/>
      </rPr>
      <t>Add J if weld No. is entered/Thêm J nếu là mối hàn/Плюс J в номер стыка</t>
    </r>
  </si>
  <si>
    <t>Reported by NDT Level II</t>
  </si>
  <si>
    <r>
      <rPr>
        <b/>
        <sz val="10"/>
        <rFont val="Arial"/>
        <family val="2"/>
      </rPr>
      <t>Checked by/</t>
    </r>
    <r>
      <rPr>
        <sz val="10"/>
        <rFont val="Arial"/>
        <family val="2"/>
      </rPr>
      <t xml:space="preserve"> Kiểm tra</t>
    </r>
  </si>
  <si>
    <t xml:space="preserve"> Kiểm tra/Контролер</t>
  </si>
  <si>
    <r>
      <rPr>
        <sz val="9"/>
        <rFont val="Arial"/>
        <family val="2"/>
      </rPr>
      <t>Name</t>
    </r>
    <r>
      <rPr>
        <sz val="8"/>
        <rFont val="Arial"/>
        <family val="2"/>
      </rPr>
      <t xml:space="preserve">/H.Tên/Ф.И.О: </t>
    </r>
  </si>
  <si>
    <r>
      <t>Name/H.Tên/Ф.И.О:</t>
    </r>
    <r>
      <rPr>
        <b/>
        <sz val="10"/>
        <rFont val="Arial"/>
        <family val="2"/>
      </rPr>
      <t xml:space="preserve"> </t>
    </r>
  </si>
  <si>
    <r>
      <rPr>
        <sz val="9"/>
        <rFont val="Arial"/>
        <family val="2"/>
      </rPr>
      <t xml:space="preserve">Date/Ngày/Дата: </t>
    </r>
    <r>
      <rPr>
        <b/>
        <sz val="9"/>
        <rFont val="Arial"/>
        <family val="2"/>
      </rPr>
      <t xml:space="preserve"> </t>
    </r>
  </si>
  <si>
    <t>P6/QA/19 Rev 5</t>
  </si>
  <si>
    <t xml:space="preserve">                                                                                                                                   </t>
  </si>
  <si>
    <t>PHASED ARRAY 
ULTRASONIC TESTING REPORT
Form. No.  QF-41; Rev. No. 2</t>
  </si>
  <si>
    <t xml:space="preserve">Report No.:
</t>
  </si>
  <si>
    <t>Page  1   of   1</t>
  </si>
  <si>
    <t>Client Name: VIETSOVPETRO</t>
  </si>
  <si>
    <t>Calibration/ Reference Block: V1/ ASME</t>
  </si>
  <si>
    <t>Procedure No: P6/QA/33, Rev. 3</t>
  </si>
  <si>
    <t>Material: CARBON STEEL</t>
  </si>
  <si>
    <t>Weld Preparation: SINGLE VEE</t>
  </si>
  <si>
    <t>Surface Condition: AS ROLLED</t>
  </si>
  <si>
    <t>Couplant: WATER</t>
  </si>
  <si>
    <t>A10</t>
  </si>
  <si>
    <t xml:space="preserve">Date of inspection: </t>
  </si>
  <si>
    <t>Probe</t>
  </si>
  <si>
    <t>Type</t>
  </si>
  <si>
    <t>Serial No</t>
  </si>
  <si>
    <t>Freq (MHz)</t>
  </si>
  <si>
    <t>I.O/PCS (mm)</t>
  </si>
  <si>
    <t>Scan Offstet (mm)</t>
  </si>
  <si>
    <t>Wedge</t>
  </si>
  <si>
    <t>Serial No.</t>
  </si>
  <si>
    <t>PA-1 (Skew 90)</t>
  </si>
  <si>
    <t>N2153</t>
  </si>
  <si>
    <t>SA10-N55S</t>
  </si>
  <si>
    <t>NA</t>
  </si>
  <si>
    <t>-30</t>
  </si>
  <si>
    <t>Group</t>
  </si>
  <si>
    <t xml:space="preserve">Range
 (mm) </t>
  </si>
  <si>
    <t>Sens.
(dB)</t>
  </si>
  <si>
    <t>Angle</t>
  </si>
  <si>
    <t>PA</t>
  </si>
  <si>
    <t>45÷75</t>
  </si>
  <si>
    <t>Drawing number</t>
  </si>
  <si>
    <t>Weld I.D</t>
  </si>
  <si>
    <t>Welder I.D</t>
  </si>
  <si>
    <t>O.D./LxT</t>
  </si>
  <si>
    <t>Defect</t>
  </si>
  <si>
    <t>Result</t>
  </si>
  <si>
    <t>Location</t>
  </si>
  <si>
    <t>Length</t>
  </si>
  <si>
    <t>Depth</t>
  </si>
  <si>
    <t>ACC/REJ</t>
  </si>
  <si>
    <t>Φ89x7.6</t>
  </si>
  <si>
    <t>10</t>
  </si>
  <si>
    <r>
      <rPr>
        <b/>
        <sz val="8"/>
        <color theme="1"/>
        <rFont val="Arial"/>
        <family val="2"/>
      </rPr>
      <t>REMARKS</t>
    </r>
    <r>
      <rPr>
        <sz val="8"/>
        <color theme="1"/>
        <rFont val="Arial"/>
        <family val="2"/>
      </rPr>
      <t xml:space="preserve">:          </t>
    </r>
    <r>
      <rPr>
        <b/>
        <sz val="8"/>
        <color theme="1"/>
        <rFont val="Arial"/>
        <family val="2"/>
      </rPr>
      <t>ACC</t>
    </r>
    <r>
      <rPr>
        <sz val="8"/>
        <color theme="1"/>
        <rFont val="Arial"/>
        <family val="2"/>
      </rPr>
      <t xml:space="preserve">= Accept                   </t>
    </r>
    <r>
      <rPr>
        <b/>
        <sz val="8"/>
        <color theme="1"/>
        <rFont val="Arial"/>
        <family val="2"/>
      </rPr>
      <t>REJ</t>
    </r>
    <r>
      <rPr>
        <sz val="8"/>
        <color theme="1"/>
        <rFont val="Arial"/>
        <family val="2"/>
      </rPr>
      <t xml:space="preserve">= Reject                   </t>
    </r>
    <r>
      <rPr>
        <b/>
        <sz val="8"/>
        <color theme="1"/>
        <rFont val="Arial"/>
        <family val="2"/>
      </rPr>
      <t xml:space="preserve"> S/N</t>
    </r>
    <r>
      <rPr>
        <sz val="8"/>
        <color theme="1"/>
        <rFont val="Arial"/>
        <family val="2"/>
      </rPr>
      <t xml:space="preserve">: serial number              </t>
    </r>
    <r>
      <rPr>
        <b/>
        <sz val="8"/>
        <color theme="1"/>
        <rFont val="Arial"/>
        <family val="2"/>
      </rPr>
      <t xml:space="preserve"> O.D.</t>
    </r>
    <r>
      <rPr>
        <sz val="8"/>
        <color theme="1"/>
        <rFont val="Arial"/>
        <family val="2"/>
      </rPr>
      <t>: Outside diameter</t>
    </r>
  </si>
  <si>
    <r>
      <rPr>
        <b/>
        <sz val="8"/>
        <color theme="1"/>
        <rFont val="Arial"/>
        <family val="2"/>
      </rPr>
      <t xml:space="preserve">                             Ф x T -</t>
    </r>
    <r>
      <rPr>
        <sz val="8"/>
        <color theme="1"/>
        <rFont val="Arial"/>
        <family val="2"/>
      </rPr>
      <t xml:space="preserve"> diameter x thickness                   </t>
    </r>
    <r>
      <rPr>
        <b/>
        <sz val="8"/>
        <color theme="1"/>
        <rFont val="Arial"/>
        <family val="2"/>
      </rPr>
      <t xml:space="preserve"> L x T </t>
    </r>
    <r>
      <rPr>
        <sz val="8"/>
        <color theme="1"/>
        <rFont val="Arial"/>
        <family val="2"/>
      </rPr>
      <t xml:space="preserve">- length x thickness       </t>
    </r>
    <r>
      <rPr>
        <b/>
        <sz val="8"/>
        <color theme="1"/>
        <rFont val="Arial"/>
        <family val="2"/>
      </rPr>
      <t>PCS</t>
    </r>
    <r>
      <rPr>
        <sz val="8"/>
        <color theme="1"/>
        <rFont val="Arial"/>
        <family val="2"/>
      </rPr>
      <t>: probes center separation</t>
    </r>
  </si>
  <si>
    <r>
      <rPr>
        <sz val="8"/>
        <color theme="1"/>
        <rFont val="Arial"/>
        <family val="2"/>
      </rPr>
      <t xml:space="preserve">                                                                                                                                             </t>
    </r>
    <r>
      <rPr>
        <b/>
        <sz val="8"/>
        <color theme="1"/>
        <rFont val="Arial"/>
        <family val="2"/>
      </rPr>
      <t xml:space="preserve">  I.O</t>
    </r>
    <r>
      <rPr>
        <sz val="8"/>
        <color theme="1"/>
        <rFont val="Arial"/>
        <family val="2"/>
      </rPr>
      <t>: Index Offset</t>
    </r>
  </si>
  <si>
    <r>
      <rPr>
        <b/>
        <sz val="8"/>
        <color theme="1"/>
        <rFont val="Arial"/>
        <family val="2"/>
      </rPr>
      <t>PL</t>
    </r>
    <r>
      <rPr>
        <sz val="8"/>
        <color theme="1"/>
        <rFont val="Arial"/>
        <family val="2"/>
      </rPr>
      <t xml:space="preserve">= Planar defect                                   </t>
    </r>
    <r>
      <rPr>
        <b/>
        <sz val="8"/>
        <color theme="1"/>
        <rFont val="Arial"/>
        <family val="2"/>
      </rPr>
      <t>SP</t>
    </r>
    <r>
      <rPr>
        <sz val="8"/>
        <color theme="1"/>
        <rFont val="Arial"/>
        <family val="2"/>
      </rPr>
      <t>= Spherical defect</t>
    </r>
    <r>
      <rPr>
        <b/>
        <sz val="8"/>
        <color theme="1"/>
        <rFont val="Arial"/>
        <family val="2"/>
      </rPr>
      <t xml:space="preserve">                                                         CL</t>
    </r>
    <r>
      <rPr>
        <sz val="8"/>
        <color theme="1"/>
        <rFont val="Arial"/>
        <family val="2"/>
      </rPr>
      <t>= Cylindrical defect</t>
    </r>
  </si>
  <si>
    <t xml:space="preserve">(All dimension in mm)                                                                                                                   </t>
  </si>
  <si>
    <t>Evaluated by</t>
  </si>
  <si>
    <t>Reviewed by</t>
  </si>
  <si>
    <t xml:space="preserve">Reviewed by </t>
  </si>
  <si>
    <t>Cert. Authority by</t>
  </si>
  <si>
    <t xml:space="preserve">Name: </t>
  </si>
  <si>
    <t>Name:</t>
  </si>
  <si>
    <t>Signature:</t>
  </si>
  <si>
    <t>Date:</t>
  </si>
  <si>
    <t>SA10 N60S</t>
  </si>
  <si>
    <r>
      <t xml:space="preserve">Welding Process: </t>
    </r>
    <r>
      <rPr>
        <b/>
        <sz val="10"/>
        <color rgb="FFC00000"/>
        <rFont val="Arial"/>
        <family val="2"/>
      </rPr>
      <t xml:space="preserve"> </t>
    </r>
    <r>
      <rPr>
        <b/>
        <sz val="10"/>
        <rFont val="Arial"/>
        <family val="2"/>
      </rPr>
      <t>GTAW/SMAW</t>
    </r>
  </si>
  <si>
    <t>PAUT SKETCH DEFECT</t>
  </si>
  <si>
    <t xml:space="preserve"> Report No.:</t>
  </si>
  <si>
    <t>Form. No.  QF-42; Rev. No. 1</t>
  </si>
  <si>
    <t>LUUNVP-PAUT-11</t>
  </si>
  <si>
    <t xml:space="preserve">Drawing: </t>
  </si>
  <si>
    <t>UT-11_SV_T19</t>
  </si>
  <si>
    <t>Weld ID:</t>
  </si>
  <si>
    <t>Defect No.</t>
  </si>
  <si>
    <t>Skew</t>
  </si>
  <si>
    <t>TOFD/PA</t>
  </si>
  <si>
    <t>PL</t>
  </si>
  <si>
    <t>15÷19</t>
  </si>
  <si>
    <t>NDT Technician Name:</t>
  </si>
  <si>
    <t>26/02/2025</t>
  </si>
  <si>
    <t>J5</t>
  </si>
  <si>
    <r>
      <t xml:space="preserve"> Page     </t>
    </r>
    <r>
      <rPr>
        <sz val="10"/>
        <color rgb="FFFF0000"/>
        <rFont val="Arial"/>
        <family val="2"/>
      </rPr>
      <t>5</t>
    </r>
    <r>
      <rPr>
        <sz val="10"/>
        <color theme="1"/>
        <rFont val="Arial"/>
        <family val="2"/>
      </rPr>
      <t xml:space="preserve">    of   </t>
    </r>
    <r>
      <rPr>
        <sz val="10"/>
        <color rgb="FFFF0000"/>
        <rFont val="Arial"/>
        <family val="2"/>
      </rPr>
      <t>5</t>
    </r>
  </si>
  <si>
    <t xml:space="preserve">Project:   </t>
  </si>
  <si>
    <t>VSP - THUC HANH PAUT</t>
  </si>
  <si>
    <t>303-25</t>
  </si>
  <si>
    <t>SỬA CHỮA RISER R8</t>
  </si>
  <si>
    <t>17/05/2025</t>
  </si>
  <si>
    <t>đến:   31/05/2025</t>
  </si>
  <si>
    <t>X.BỜ</t>
  </si>
  <si>
    <t>ĐÀO NGỌC HẢI</t>
  </si>
  <si>
    <t>0919581221</t>
  </si>
  <si>
    <t>Từ ca</t>
  </si>
  <si>
    <t>Chuyển nv khác</t>
  </si>
  <si>
    <t>từ Kho</t>
  </si>
  <si>
    <t>trước</t>
  </si>
  <si>
    <t xml:space="preserve">Phim </t>
  </si>
  <si>
    <t>- VTTB UT/MT chuyển cho 02 NV:
+ NVSX 191-25
+ NVSX 325-25</t>
  </si>
  <si>
    <t xml:space="preserve">Phim   </t>
  </si>
  <si>
    <t>ĐẶC</t>
  </si>
  <si>
    <r>
      <rPr>
        <sz val="9"/>
        <rFont val="Arial"/>
        <family val="2"/>
      </rPr>
      <t xml:space="preserve">ASTM </t>
    </r>
    <r>
      <rPr>
        <b/>
        <sz val="9"/>
        <rFont val="Arial"/>
        <family val="2"/>
      </rPr>
      <t>1A</t>
    </r>
  </si>
  <si>
    <r>
      <rPr>
        <sz val="9"/>
        <rFont val="Arial"/>
        <family val="2"/>
      </rPr>
      <t xml:space="preserve">ASTM </t>
    </r>
    <r>
      <rPr>
        <b/>
        <sz val="9"/>
        <rFont val="Arial"/>
        <family val="2"/>
      </rPr>
      <t>1B</t>
    </r>
  </si>
  <si>
    <r>
      <rPr>
        <sz val="9"/>
        <rFont val="Arial"/>
        <family val="2"/>
      </rPr>
      <t xml:space="preserve">ASTM </t>
    </r>
    <r>
      <rPr>
        <b/>
        <sz val="9"/>
        <rFont val="Arial"/>
        <family val="2"/>
      </rPr>
      <t>1C</t>
    </r>
  </si>
  <si>
    <r>
      <rPr>
        <sz val="9"/>
        <rFont val="Arial"/>
        <family val="2"/>
      </rPr>
      <t xml:space="preserve">Chữ chì </t>
    </r>
    <r>
      <rPr>
        <b/>
        <sz val="9"/>
        <rFont val="Arial"/>
        <family val="2"/>
      </rPr>
      <t>B</t>
    </r>
  </si>
  <si>
    <r>
      <rPr>
        <b/>
        <sz val="11"/>
        <color theme="1"/>
        <rFont val="Calibri"/>
        <family val="2"/>
        <scheme val="minor"/>
      </rPr>
      <t>Thủ kho ký</t>
    </r>
    <r>
      <rPr>
        <sz val="11"/>
        <color theme="1"/>
        <rFont val="Calibri"/>
        <family val="2"/>
        <scheme val="minor"/>
      </rPr>
      <t xml:space="preserve">
(thủ kho ký xác nhận vật tư trả kho)</t>
    </r>
  </si>
  <si>
    <t>Máy siêu âm</t>
  </si>
  <si>
    <t>USM35x No.33 - Serial: 12665a</t>
  </si>
  <si>
    <t>Số điểm đo</t>
  </si>
  <si>
    <t>Thợ Bậc</t>
  </si>
  <si>
    <t>Ng. V. Phong Lưu</t>
  </si>
  <si>
    <t xml:space="preserve">Ngày kí QF-50:       </t>
  </si>
  <si>
    <t>ASTM A-578 LEVEL B</t>
  </si>
  <si>
    <r>
      <t>/Length/Loại /Тип:</t>
    </r>
    <r>
      <rPr>
        <b/>
        <sz val="10"/>
        <rFont val="Arial"/>
        <family val="2"/>
      </rPr>
      <t xml:space="preserve"> LEMO.FFA.1S</t>
    </r>
  </si>
  <si>
    <r>
      <t>Размер пьезоэлемента:</t>
    </r>
    <r>
      <rPr>
        <b/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Ф10-4MHz</t>
    </r>
  </si>
  <si>
    <t>AAAAAAAA</t>
  </si>
  <si>
    <t>USM35X</t>
  </si>
  <si>
    <t>Cable: Manufacturer/Type/Length/Loại/Тип:</t>
  </si>
  <si>
    <r>
      <t xml:space="preserve">NVSX: </t>
    </r>
    <r>
      <rPr>
        <b/>
        <sz val="14"/>
        <color rgb="FFFF0000"/>
        <rFont val="Arial"/>
        <family val="2"/>
      </rPr>
      <t>006-25</t>
    </r>
  </si>
  <si>
    <t>SỬA CHỮA ỐNG CÔNG NGHỆ TRÊN GIÀN CTK3</t>
  </si>
  <si>
    <t>XONG</t>
  </si>
  <si>
    <t>REJ</t>
  </si>
  <si>
    <t>690;773</t>
  </si>
  <si>
    <t>7.62</t>
  </si>
  <si>
    <t>MỐI HÀN</t>
  </si>
  <si>
    <t>Date of Report</t>
  </si>
  <si>
    <t>ĐẠT / HỎNG</t>
  </si>
  <si>
    <t>LOẠI KT</t>
  </si>
  <si>
    <t>VẬT TƯ KHÁC</t>
  </si>
  <si>
    <r>
      <rPr>
        <sz val="11"/>
        <rFont val="Arial"/>
        <family val="2"/>
      </rPr>
      <t>Report No</t>
    </r>
    <r>
      <rPr>
        <sz val="10"/>
        <rFont val="Arial"/>
        <family val="2"/>
      </rPr>
      <t xml:space="preserve">
Báo cáo số/Отчет No.
   </t>
    </r>
  </si>
  <si>
    <t>25.006-RT-057</t>
  </si>
  <si>
    <t xml:space="preserve">Page/Trang   1    of/của   1
</t>
  </si>
  <si>
    <t>Insp.date/Ngày k.tra/Дата</t>
  </si>
  <si>
    <t>26/06/2025</t>
  </si>
  <si>
    <t xml:space="preserve">Project/Công trình/Объект    </t>
  </si>
  <si>
    <t xml:space="preserve">Item/Hạng mục/Наименoвание </t>
  </si>
  <si>
    <r>
      <rPr>
        <sz val="10"/>
        <rFont val="Arial"/>
        <family val="2"/>
      </rPr>
      <t>Procedure/Qui trình/ Процедура:</t>
    </r>
    <r>
      <rPr>
        <sz val="8"/>
        <rFont val="Arial"/>
        <family val="2"/>
      </rPr>
      <t xml:space="preserve"> </t>
    </r>
    <r>
      <rPr>
        <b/>
        <sz val="10"/>
        <rFont val="Arial"/>
        <family val="2"/>
      </rPr>
      <t xml:space="preserve">P6/QA/20 Rev.4 </t>
    </r>
  </si>
  <si>
    <t xml:space="preserve">Acceptance. criteria/Tiêu chuẩn chấp nhận/ </t>
  </si>
  <si>
    <t>Material/Loại vật liệu/ материалы.</t>
  </si>
  <si>
    <r>
      <rPr>
        <sz val="10"/>
        <rFont val="Arial"/>
        <family val="2"/>
      </rPr>
      <t>Oцениваемая критерия:</t>
    </r>
    <r>
      <rPr>
        <sz val="8"/>
        <rFont val="Arial"/>
        <family val="2"/>
      </rPr>
      <t xml:space="preserve"> </t>
    </r>
    <r>
      <rPr>
        <b/>
        <sz val="10"/>
        <rFont val="Arial"/>
        <family val="2"/>
      </rPr>
      <t xml:space="preserve"> ASME B31.3  2022</t>
    </r>
    <r>
      <rPr>
        <sz val="8"/>
        <rFont val="Arial"/>
        <family val="2"/>
      </rPr>
      <t xml:space="preserve">
</t>
    </r>
  </si>
  <si>
    <t>0-12</t>
  </si>
  <si>
    <t>659: 4"-FL-57-17</t>
  </si>
  <si>
    <t>x6.02</t>
  </si>
  <si>
    <t>12-24</t>
  </si>
  <si>
    <t>24-0</t>
  </si>
  <si>
    <r>
      <rPr>
        <sz val="11"/>
        <color indexed="8"/>
        <rFont val="Arial"/>
        <family val="2"/>
      </rPr>
      <t>Page</t>
    </r>
    <r>
      <rPr>
        <sz val="8"/>
        <color indexed="8"/>
        <rFont val="Arial"/>
        <family val="2"/>
      </rPr>
      <t xml:space="preserve">/Trang    of/của Cтраница:   </t>
    </r>
    <r>
      <rPr>
        <sz val="10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от</t>
    </r>
    <r>
      <rPr>
        <sz val="10"/>
        <color indexed="8"/>
        <rFont val="Arial"/>
        <family val="2"/>
      </rPr>
      <t xml:space="preserve"> 1</t>
    </r>
  </si>
  <si>
    <r>
      <t>Page/</t>
    </r>
    <r>
      <rPr>
        <sz val="9"/>
        <rFont val="Arial"/>
        <family val="2"/>
      </rPr>
      <t>Trang</t>
    </r>
    <r>
      <rPr>
        <sz val="10"/>
        <rFont val="Arial"/>
        <family val="2"/>
      </rPr>
      <t xml:space="preserve"> of/của </t>
    </r>
    <r>
      <rPr>
        <sz val="9"/>
        <rFont val="Arial"/>
        <family val="2"/>
      </rPr>
      <t xml:space="preserve">Cтраница  1  от  1 </t>
    </r>
  </si>
  <si>
    <t>Tổng số mối RT:</t>
  </si>
  <si>
    <t>Tổng số mối PT:</t>
  </si>
  <si>
    <t>Tổng số mối MT:</t>
  </si>
  <si>
    <t>Tổng số mối UT:</t>
  </si>
  <si>
    <t>Tổng số mối đã làm:</t>
  </si>
  <si>
    <t>PROJECT/GIÀN : RP-3 (NVSX 498-25)</t>
  </si>
  <si>
    <t>Thay thế bình tách V-902 trên RP3</t>
  </si>
  <si>
    <t>Tổng số mối của NVSX:</t>
  </si>
  <si>
    <r>
      <t>QC &amp; Welding Dept.</t>
    </r>
    <r>
      <rPr>
        <sz val="12"/>
        <rFont val="Arial"/>
        <family val="2"/>
      </rPr>
      <t xml:space="preserve">
Prepared by NDT Technician.
Name: </t>
    </r>
    <r>
      <rPr>
        <b/>
        <sz val="12"/>
        <rFont val="Arial"/>
        <family val="2"/>
      </rPr>
      <t xml:space="preserve"> NGUYEN VIET PHONG LUU</t>
    </r>
    <r>
      <rPr>
        <sz val="12"/>
        <rFont val="Arial"/>
        <family val="2"/>
      </rPr>
      <t xml:space="preserve">
Signature:
</t>
    </r>
  </si>
  <si>
    <t>Date:  15/09/2025</t>
  </si>
  <si>
    <t>ND-RP3-251-T-PI1-ISO-001.01</t>
  </si>
  <si>
    <t>661;684</t>
  </si>
  <si>
    <t>8.56</t>
  </si>
  <si>
    <t>25.498-RT-001</t>
  </si>
  <si>
    <t>Lưu+Thủy</t>
  </si>
  <si>
    <t>KC-540;713</t>
  </si>
  <si>
    <t>25.498-RT-012</t>
  </si>
  <si>
    <t>KC-540</t>
  </si>
  <si>
    <t>25.498-PT-001</t>
  </si>
  <si>
    <t>ND-RP3-251-T-PI1-ISO-001.02</t>
  </si>
  <si>
    <t>7.1</t>
  </si>
  <si>
    <t>25.498-RT-006</t>
  </si>
  <si>
    <t>25.498-RT-010</t>
  </si>
  <si>
    <t>ND-RP3-251-T-PI1-ISO-001.03</t>
  </si>
  <si>
    <t>8.18</t>
  </si>
  <si>
    <t>25.498-RT-013</t>
  </si>
  <si>
    <t>25.498-RT-002</t>
  </si>
  <si>
    <t>25.498-RT-004</t>
  </si>
  <si>
    <t>25.498-RT-007</t>
  </si>
  <si>
    <t>ND-RP3-251-T-PI1-ISO-001.04</t>
  </si>
  <si>
    <t>5.5</t>
  </si>
  <si>
    <t>25.498-RT-008</t>
  </si>
  <si>
    <t>25.498-RT-005</t>
  </si>
  <si>
    <t>ND-RP3-251-T-PI1-ISO-001.05</t>
  </si>
  <si>
    <t>25.498-RT-009</t>
  </si>
  <si>
    <t>IC</t>
  </si>
  <si>
    <t>25.498-RT-004R</t>
  </si>
  <si>
    <t>ND-RP3-251-T-PI1-ISO-001.08</t>
  </si>
  <si>
    <t>25.498-RT-003</t>
  </si>
  <si>
    <t>25.498-RT-011</t>
  </si>
  <si>
    <t>25.498-MT-001</t>
  </si>
  <si>
    <t>ND-RP3-251-T-PI1-ISO-001.12</t>
  </si>
  <si>
    <t>UT/PAUT</t>
  </si>
  <si>
    <t>length
(mm)</t>
  </si>
  <si>
    <t>20 mm</t>
  </si>
  <si>
    <r>
      <t xml:space="preserve">No
</t>
    </r>
    <r>
      <rPr>
        <sz val="8"/>
        <rFont val="Arial"/>
        <family val="2"/>
      </rPr>
      <t>STT
П/н</t>
    </r>
  </si>
  <si>
    <r>
      <t xml:space="preserve">Item identification
</t>
    </r>
    <r>
      <rPr>
        <sz val="8"/>
        <rFont val="Arial"/>
        <family val="2"/>
      </rPr>
      <t>Số chi tiết
Номер деталей</t>
    </r>
  </si>
  <si>
    <r>
      <t xml:space="preserve">Thickness Readings at  the Location as per attached sketch </t>
    </r>
    <r>
      <rPr>
        <sz val="8"/>
        <rFont val="Arial"/>
        <family val="2"/>
      </rPr>
      <t xml:space="preserve">
Giá  trị  chiều dày đo được tại các vị trí như hình vẽ đính kèm/Величина измеренной толщины на местах, указанных в прилагаемой схеме (mm)
</t>
    </r>
  </si>
  <si>
    <t>6 o/c</t>
  </si>
  <si>
    <t>5</t>
  </si>
  <si>
    <t>6</t>
  </si>
  <si>
    <t>7</t>
  </si>
  <si>
    <t>8</t>
  </si>
  <si>
    <t>9</t>
  </si>
  <si>
    <r>
      <t>REMARKS/</t>
    </r>
    <r>
      <rPr>
        <sz val="8"/>
        <rFont val="Arial"/>
        <family val="2"/>
      </rPr>
      <t xml:space="preserve">Ghi chú/Примечание:   </t>
    </r>
    <r>
      <rPr>
        <b/>
        <sz val="8"/>
        <rFont val="Arial"/>
        <family val="2"/>
      </rPr>
      <t/>
    </r>
  </si>
  <si>
    <t>Isp. Date/Ngày/Дата:</t>
  </si>
  <si>
    <t>04/10/2025</t>
  </si>
  <si>
    <t xml:space="preserve">Procedure/Quy trình/Процедура                    </t>
  </si>
  <si>
    <t xml:space="preserve">Project/Công trình/Объект          </t>
  </si>
  <si>
    <t>Equipment/Thiết bị/Оборудование</t>
  </si>
  <si>
    <t>Calibration block/Mẫu hiệu chỉnh</t>
  </si>
  <si>
    <t xml:space="preserve">Serial No./Số máy/Серия  No. </t>
  </si>
  <si>
    <t>Reference thickness/Chiều dày chuẩn/Эталонная толщина</t>
  </si>
  <si>
    <t>11</t>
  </si>
  <si>
    <t>12</t>
  </si>
  <si>
    <t>13</t>
  </si>
  <si>
    <t>14</t>
  </si>
  <si>
    <t>15</t>
  </si>
  <si>
    <t>16</t>
  </si>
  <si>
    <t>17</t>
  </si>
  <si>
    <t>25.543-PAUT-005</t>
  </si>
  <si>
    <t>Project Name: MSP9 (NVSX: 543-25)</t>
  </si>
  <si>
    <r>
      <t xml:space="preserve">Item: </t>
    </r>
    <r>
      <rPr>
        <b/>
        <sz val="9"/>
        <rFont val="Arial"/>
        <family val="2"/>
      </rPr>
      <t>INSTALLATION OF ESP EQUIPMENT FOR WELL #923 AT MSP9</t>
    </r>
  </si>
  <si>
    <r>
      <t>Acceptance Standard:</t>
    </r>
    <r>
      <rPr>
        <b/>
        <sz val="8"/>
        <rFont val="Arial"/>
        <family val="2"/>
      </rPr>
      <t xml:space="preserve"> </t>
    </r>
    <r>
      <rPr>
        <b/>
        <sz val="10"/>
        <rFont val="Arial"/>
        <family val="2"/>
      </rPr>
      <t>ASME B31.3 - 2022</t>
    </r>
  </si>
  <si>
    <t>PAUT instrument type: MENTOR UT</t>
  </si>
  <si>
    <t>PAUT instrument S/N: 22I016DP</t>
  </si>
  <si>
    <t>Scanner type: Microbe</t>
  </si>
  <si>
    <t>Scanner serial no.: 138465</t>
  </si>
  <si>
    <t>10/10/2025</t>
  </si>
  <si>
    <t>2058AD1033</t>
  </si>
  <si>
    <t>-12/-23</t>
  </si>
  <si>
    <t>15.1</t>
  </si>
  <si>
    <t>16.1</t>
  </si>
  <si>
    <t>ND-MSP9.BK18A-202-TS.</t>
  </si>
  <si>
    <t>589;590</t>
  </si>
  <si>
    <t>Φ89</t>
  </si>
  <si>
    <t>MSP9-PI1-ISO-001.03</t>
  </si>
  <si>
    <t>x11</t>
  </si>
  <si>
    <r>
      <t xml:space="preserve">Report No
</t>
    </r>
    <r>
      <rPr>
        <sz val="8"/>
        <rFont val="Arial"/>
        <family val="2"/>
      </rPr>
      <t xml:space="preserve">Báo cáo số/Отчет No. </t>
    </r>
  </si>
  <si>
    <t>25.508-UTM-008</t>
  </si>
  <si>
    <t xml:space="preserve">Page/Trang  1  of/của  2
Cтраница         от </t>
  </si>
  <si>
    <t>REPAIR OF RISER NO.1 2025 AT RP2 (NVSX: 508-25)</t>
  </si>
  <si>
    <t>Sửa Riser RP2 - No.1</t>
  </si>
  <si>
    <t>MSEB4-4MHz-57462</t>
  </si>
  <si>
    <r>
      <rPr>
        <sz val="10"/>
        <rFont val="Arial"/>
        <family val="2"/>
      </rPr>
      <t>Probe/Đầu dò</t>
    </r>
    <r>
      <rPr>
        <sz val="9"/>
        <rFont val="Arial"/>
        <family val="2"/>
      </rPr>
      <t>/Искатель</t>
    </r>
  </si>
  <si>
    <t xml:space="preserve">Thickness Readings at  the Location as per attached sketch 
Giá  trị  chiều dày đo được tại các vị trí như hình vẽ đính kèm/Величина измеренной толщины на местах, указанных в прилагаемой схеме (mm)
</t>
  </si>
  <si>
    <r>
      <rPr>
        <sz val="10"/>
        <rFont val="Arial"/>
        <family val="2"/>
      </rPr>
      <t>Эталонный образец</t>
    </r>
    <r>
      <rPr>
        <sz val="8"/>
        <rFont val="Arial"/>
        <family val="2"/>
      </rPr>
      <t xml:space="preserve">           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V2</t>
    </r>
  </si>
  <si>
    <r>
      <rPr>
        <sz val="10"/>
        <rFont val="Arial"/>
        <family val="2"/>
      </rPr>
      <t xml:space="preserve">Couplant/Tiếp âm/Контакная жидкость: </t>
    </r>
    <r>
      <rPr>
        <sz val="11"/>
        <rFont val="Arial"/>
        <family val="2"/>
      </rPr>
      <t xml:space="preserve">   
           Cellulose paste            Petroleum grease                        </t>
    </r>
    <r>
      <rPr>
        <b/>
        <sz val="11"/>
        <rFont val="Arial"/>
        <family val="2"/>
      </rPr>
      <t xml:space="preserve">   </t>
    </r>
  </si>
  <si>
    <t>1.5 o/c</t>
  </si>
  <si>
    <t>3 o/c</t>
  </si>
  <si>
    <t>4.5 o/c</t>
  </si>
  <si>
    <t>7.5 o/c</t>
  </si>
  <si>
    <t>9 o/c</t>
  </si>
  <si>
    <t>10.5 o/c</t>
  </si>
  <si>
    <r>
      <t>Procedure</t>
    </r>
    <r>
      <rPr>
        <sz val="9"/>
        <rFont val="Arial"/>
        <family val="2"/>
      </rPr>
      <t>/</t>
    </r>
    <r>
      <rPr>
        <sz val="8"/>
        <rFont val="Arial"/>
        <family val="2"/>
      </rPr>
      <t xml:space="preserve">Quy trình/Процедура        </t>
    </r>
    <r>
      <rPr>
        <sz val="10"/>
        <rFont val="Arial"/>
        <family val="2"/>
      </rPr>
      <t xml:space="preserve">         </t>
    </r>
    <r>
      <rPr>
        <sz val="11"/>
        <rFont val="Arial"/>
        <family val="2"/>
      </rPr>
      <t xml:space="preserve">   </t>
    </r>
  </si>
  <si>
    <r>
      <t>Project</t>
    </r>
    <r>
      <rPr>
        <sz val="8"/>
        <rFont val="Arial"/>
        <family val="2"/>
      </rPr>
      <t xml:space="preserve">/Công trình/Объект        </t>
    </r>
    <r>
      <rPr>
        <sz val="11"/>
        <rFont val="Arial"/>
        <family val="2"/>
      </rPr>
      <t xml:space="preserve">  </t>
    </r>
  </si>
  <si>
    <r>
      <t>Item/</t>
    </r>
    <r>
      <rPr>
        <sz val="8"/>
        <rFont val="Arial"/>
        <family val="2"/>
      </rPr>
      <t xml:space="preserve">Hạng mục/Наименoвание  </t>
    </r>
  </si>
  <si>
    <r>
      <t>Equipment/</t>
    </r>
    <r>
      <rPr>
        <sz val="8"/>
        <rFont val="Arial"/>
        <family val="2"/>
      </rPr>
      <t>Thiết bị/Оборудование</t>
    </r>
  </si>
  <si>
    <r>
      <t>Calibration block</t>
    </r>
    <r>
      <rPr>
        <sz val="8"/>
        <rFont val="Arial"/>
        <family val="2"/>
      </rPr>
      <t>/Mẫu hiệu chỉnh</t>
    </r>
  </si>
  <si>
    <r>
      <t xml:space="preserve">Эталонный образец           </t>
    </r>
    <r>
      <rPr>
        <sz val="10"/>
        <rFont val="Arial"/>
        <family val="2"/>
      </rPr>
      <t xml:space="preserve">  </t>
    </r>
    <r>
      <rPr>
        <b/>
        <sz val="10"/>
        <rFont val="Arial"/>
        <family val="2"/>
      </rPr>
      <t>V2</t>
    </r>
  </si>
  <si>
    <r>
      <t>Serial No./</t>
    </r>
    <r>
      <rPr>
        <sz val="8"/>
        <rFont val="Arial"/>
        <family val="2"/>
      </rPr>
      <t xml:space="preserve">Số máy/Серия  No. </t>
    </r>
  </si>
  <si>
    <r>
      <t>Reference thickness/</t>
    </r>
    <r>
      <rPr>
        <sz val="8"/>
        <rFont val="Arial"/>
        <family val="2"/>
      </rPr>
      <t>Chiều dày chuẩn/Эталонная толщина</t>
    </r>
  </si>
  <si>
    <t>13573a</t>
  </si>
  <si>
    <r>
      <t>Probe</t>
    </r>
    <r>
      <rPr>
        <sz val="8"/>
        <rFont val="Arial"/>
        <family val="2"/>
      </rPr>
      <t xml:space="preserve">/Đầu dò/ Искатель </t>
    </r>
    <r>
      <rPr>
        <b/>
        <sz val="10"/>
        <rFont val="Arial"/>
        <family val="2"/>
      </rPr>
      <t>MSEB4-4MHz-57462</t>
    </r>
  </si>
  <si>
    <r>
      <t>Couplant</t>
    </r>
    <r>
      <rPr>
        <sz val="10"/>
        <rFont val="Arial"/>
        <family val="2"/>
      </rPr>
      <t>/</t>
    </r>
    <r>
      <rPr>
        <sz val="8"/>
        <rFont val="Arial"/>
        <family val="2"/>
      </rPr>
      <t xml:space="preserve">Tiếp âm/Контакная жидкость:    </t>
    </r>
    <r>
      <rPr>
        <sz val="10"/>
        <rFont val="Arial"/>
        <family val="2"/>
      </rPr>
      <t xml:space="preserve">
           C</t>
    </r>
    <r>
      <rPr>
        <sz val="8"/>
        <rFont val="Arial"/>
        <family val="2"/>
      </rPr>
      <t xml:space="preserve">ellulose paste            Petroleum grease     </t>
    </r>
    <r>
      <rPr>
        <sz val="10"/>
        <rFont val="Arial"/>
        <family val="2"/>
      </rPr>
      <t xml:space="preserve">                </t>
    </r>
    <r>
      <rPr>
        <sz val="9"/>
        <rFont val="Arial"/>
        <family val="2"/>
      </rPr>
      <t xml:space="preserve">   </t>
    </r>
    <r>
      <rPr>
        <b/>
        <sz val="9"/>
        <rFont val="Arial"/>
        <family val="2"/>
      </rPr>
      <t xml:space="preserve">  </t>
    </r>
    <r>
      <rPr>
        <b/>
        <sz val="10"/>
        <rFont val="Arial"/>
        <family val="2"/>
      </rPr>
      <t xml:space="preserve"> </t>
    </r>
  </si>
  <si>
    <t>RISER No 1</t>
  </si>
  <si>
    <t>CS 1</t>
  </si>
  <si>
    <t>EL +4.2 To +5.8</t>
  </si>
  <si>
    <t>at EL(+)5</t>
  </si>
  <si>
    <t>CS 2</t>
  </si>
  <si>
    <t>CS 3</t>
  </si>
  <si>
    <t>CS 4</t>
  </si>
  <si>
    <t>CS 5</t>
  </si>
  <si>
    <t>CS 6</t>
  </si>
  <si>
    <t>CS 7</t>
  </si>
  <si>
    <t>CS 8</t>
  </si>
  <si>
    <t>CS 9</t>
  </si>
  <si>
    <t>CS 10</t>
  </si>
  <si>
    <t>CS 11</t>
  </si>
  <si>
    <t>CS 12</t>
  </si>
  <si>
    <t>CS 13</t>
  </si>
  <si>
    <t>CS 14</t>
  </si>
  <si>
    <t>CS 15</t>
  </si>
  <si>
    <t>CS 16</t>
  </si>
  <si>
    <t>CS 17</t>
  </si>
  <si>
    <r>
      <t>Cable: Manufacturer/Type/Length</t>
    </r>
    <r>
      <rPr>
        <sz val="8"/>
        <rFont val="Arial"/>
        <family val="2"/>
      </rPr>
      <t xml:space="preserve">/Loại/Тип 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LEMO.FFA.1S</t>
    </r>
  </si>
  <si>
    <t>PROJECT: РЕМОНТ НАДВОДНОЙ ЧАСТИ ОБ БК-2
WORK BOOK FOR REPAIR OF BK-2 IN-AIR
JACKET STRUCTURES</t>
  </si>
  <si>
    <t>APPENDIX/ПРИЛОЖЕНИЕ
Places for Certificate copies/Места для копий сертификатов
Register of personel Qualification/ Certificates</t>
  </si>
  <si>
    <t>Official ID</t>
  </si>
  <si>
    <t>Position</t>
  </si>
  <si>
    <t>Expiry date</t>
  </si>
  <si>
    <t>Certificates number</t>
  </si>
  <si>
    <t>PHAM THANH NAM</t>
  </si>
  <si>
    <t xml:space="preserve">MT Level II </t>
  </si>
  <si>
    <t>31/03/2029</t>
  </si>
  <si>
    <t>OCD/NDT/010</t>
  </si>
  <si>
    <t>UT Level II-node</t>
  </si>
  <si>
    <t>31/05/2028</t>
  </si>
  <si>
    <t>NGUYEN QUANG VINH</t>
  </si>
  <si>
    <t>XL2066</t>
  </si>
  <si>
    <t>OCD/NDT/106</t>
  </si>
  <si>
    <t>UT Level II</t>
  </si>
  <si>
    <t>VU XUAN CHINH</t>
  </si>
  <si>
    <t>XL260</t>
  </si>
  <si>
    <t>OCD/NDT/022</t>
  </si>
  <si>
    <t>DAO DUC DONG</t>
  </si>
  <si>
    <t>OCD/NDT/015</t>
  </si>
  <si>
    <t>NGUYEN DANG THANH</t>
  </si>
  <si>
    <t>XL1802</t>
  </si>
  <si>
    <t>OCD/NDT/130</t>
  </si>
  <si>
    <t>LE VAN DUNG</t>
  </si>
  <si>
    <t>XL432</t>
  </si>
  <si>
    <t>OCD/NDT/028</t>
  </si>
  <si>
    <t>Prepare by</t>
  </si>
  <si>
    <t>Accepted by chief of CTP-2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</si>
</sst>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42" formatCode="_-* #,##0\ &quot;₫&quot;_-;\-* #,##0\ &quot;₫&quot;_-;_-* &quot;-&quot;\ &quot;₫&quot;_-;_-@_-"/>
    <numFmt numFmtId="41" formatCode="_-* #,##0_-;\-* #,##0_-;_-* &quot;-&quot;_-;_-@_-"/>
    <numFmt numFmtId="44" formatCode="_-* #,##0.00\ &quot;₫&quot;_-;\-* #,##0.00\ &quot;₫&quot;_-;_-* &quot;-&quot;??\ &quot;₫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* #,##0\ _₫_-;\-* #,##0\ _₫_-;_-* &quot;-&quot;\ _₫_-;_-@_-"/>
    <numFmt numFmtId="171" formatCode="_-* #,##0.00\ _₫_-;\-* #,##0.00\ _₫_-;_-* &quot;-&quot;??\ _₫_-;_-@_-"/>
    <numFmt numFmtId="172" formatCode="_-&quot;£&quot;* #,##0_-;\-&quot;£&quot;* #,##0_-;_-&quot;£&quot;* &quot;-&quot;_-;_-@_-"/>
    <numFmt numFmtId="173" formatCode="_-&quot;£&quot;* #,##0.00_-;\-&quot;£&quot;* #,##0.00_-;_-&quot;£&quot;* &quot;-&quot;??_-;_-@_-"/>
    <numFmt numFmtId="174" formatCode="_ * #,##0.00_ ;_ * \-#,##0.00_ ;_ * &quot;-&quot;??_ ;_ @_ "/>
    <numFmt numFmtId="175" formatCode="_ * #,##0_ ;_ * \-#,##0_ ;_ * &quot;-&quot;_ ;_ @_ "/>
    <numFmt numFmtId="176" formatCode="_-&quot;$&quot;* #,##0_-;\-&quot;$&quot;* #,##0_-;_-&quot;$&quot;* &quot;-&quot;_-;_-@_-"/>
    <numFmt numFmtId="177" formatCode="##.##%"/>
    <numFmt numFmtId="178" formatCode="#,##0.00\ &quot;F&quot;;\-#,##0.00\ &quot;F&quot;"/>
    <numFmt numFmtId="179" formatCode="0.000%"/>
    <numFmt numFmtId="180" formatCode="#,##0\ &quot;DM&quot;;\-#,##0\ &quot;DM&quot;"/>
    <numFmt numFmtId="181" formatCode="_(&quot;$&quot;* #,##0.0000_);_(&quot;$&quot;* \(#,##0.0000\);_(&quot;$&quot;* &quot;-&quot;??_);_(@_)"/>
    <numFmt numFmtId="182" formatCode="_-* #,##0_$_-;\-* #,##0_$_-;_-* &quot;-&quot;_$_-;_-@_-"/>
    <numFmt numFmtId="183" formatCode="&quot;$&quot;#,##0;[Red]\-&quot;$&quot;#,##0"/>
    <numFmt numFmtId="184" formatCode="_-* #,##0\ _F_-;\-* #,##0\ _F_-;_-* &quot;-&quot;\ _F_-;_-@_-"/>
    <numFmt numFmtId="185" formatCode="_-&quot;₫&quot;* #,##0_-;\-&quot;₫&quot;* #,##0_-;_-&quot;₫&quot;* &quot;-&quot;_-;_-@_-"/>
    <numFmt numFmtId="186" formatCode="_-* #,##0.00\ _F_-;\-* #,##0.00\ _F_-;_-* &quot;-&quot;??\ _F_-;_-@_-"/>
    <numFmt numFmtId="187" formatCode="_(&quot;$&quot;\ * #,##0_);_(&quot;$&quot;\ * \(#,##0\);_(&quot;$&quot;\ * &quot;-&quot;_);_(@_)"/>
    <numFmt numFmtId="188" formatCode="_(&quot;₫&quot;\ * #,##0_);_(&quot;₫&quot;\ * \(#,##0\);_(&quot;₫&quot;\ * &quot;-&quot;_);_(@_)"/>
    <numFmt numFmtId="189" formatCode="#,##0.000"/>
    <numFmt numFmtId="190" formatCode="_(&quot;£&quot;\ * #,##0_);_(&quot;£&quot;\ * \(#,##0\);_(&quot;£&quot;\ * &quot;-&quot;_);_(@_)"/>
    <numFmt numFmtId="191" formatCode="_-* #,##0\ &quot;F&quot;_-;\-* #,##0\ &quot;F&quot;_-;_-* &quot;-&quot;\ &quot;F&quot;_-;_-@_-"/>
    <numFmt numFmtId="192" formatCode="_ &quot;\&quot;* #,##0_ ;_ &quot;\&quot;* \-#,##0_ ;_ &quot;\&quot;* &quot;-&quot;_ ;_ @_ "/>
    <numFmt numFmtId="193" formatCode="_-* #,##0&quot;$&quot;_-;\-* #,##0&quot;$&quot;_-;_-* &quot;-&quot;&quot;$&quot;_-;_-@_-"/>
    <numFmt numFmtId="194" formatCode="_-* #,##0.00&quot;$&quot;_-;\-* #,##0.00&quot;$&quot;_-;_-* &quot;-&quot;??&quot;$&quot;_-;_-@_-"/>
    <numFmt numFmtId="195" formatCode="[$-1010000]d/m/yyyy;@"/>
    <numFmt numFmtId="196" formatCode="0.000000000"/>
    <numFmt numFmtId="197" formatCode="&quot;SFr.&quot;\ #,##0.00;&quot;SFr.&quot;\ \-#,##0.00"/>
    <numFmt numFmtId="198" formatCode="&quot;SFr.&quot;\ #,##0.00;[Red]&quot;SFr.&quot;\ \-#,##0.00"/>
    <numFmt numFmtId="199" formatCode="0.0%"/>
    <numFmt numFmtId="200" formatCode="0.0000%"/>
    <numFmt numFmtId="201" formatCode="_-* #,##0.00_$_-;\-* #,##0.00_$_-;_-* &quot;-&quot;??_$_-;_-@_-"/>
    <numFmt numFmtId="202" formatCode="0.000"/>
    <numFmt numFmtId="203" formatCode="##,###.##"/>
    <numFmt numFmtId="204" formatCode="_-* #,##0.00\ &quot;F&quot;_-;\-* #,##0.00\ &quot;F&quot;_-;_-* &quot;-&quot;??\ &quot;F&quot;_-;_-@_-"/>
    <numFmt numFmtId="205" formatCode="#0.##"/>
    <numFmt numFmtId="206" formatCode="_(* #,##0_);_(* \(#,##0\);_(* &quot;-&quot;??_);_(@_)"/>
    <numFmt numFmtId="207" formatCode="#,##0;\(#,##0\)"/>
    <numFmt numFmtId="208" formatCode="##,##0%"/>
    <numFmt numFmtId="209" formatCode="#,###%"/>
    <numFmt numFmtId="210" formatCode="##.##"/>
    <numFmt numFmtId="211" formatCode="###,###"/>
    <numFmt numFmtId="212" formatCode="###.###"/>
    <numFmt numFmtId="213" formatCode="##,###.####"/>
    <numFmt numFmtId="214" formatCode="&quot;$&quot;#,##0\ ;\(&quot;$&quot;#,##0\)"/>
    <numFmt numFmtId="215" formatCode="\t0.00%"/>
    <numFmt numFmtId="216" formatCode="##,##0.##"/>
    <numFmt numFmtId="217" formatCode="#,##0\ &quot;F&quot;;[Red]\-#,##0\ &quot;F&quot;"/>
    <numFmt numFmtId="218" formatCode="_(* #,##0.000_);_(* \(#,##0.000\);_(* &quot;-&quot;??_);_(@_)"/>
    <numFmt numFmtId="219" formatCode="_(* #,##0.0000_);_(* \(#,##0.0000\);_(* &quot;-&quot;??_);_(@_)"/>
    <numFmt numFmtId="220" formatCode="\t#\ ??/??"/>
    <numFmt numFmtId="221" formatCode="_(* #,##0.000000_);_(* \(#,##0.000000\);_(* &quot;-&quot;??_);_(@_)"/>
    <numFmt numFmtId="222" formatCode="0.0"/>
    <numFmt numFmtId="223" formatCode="0.0000000000"/>
    <numFmt numFmtId="224" formatCode="#,##0.00_ ;\-#,##0.00\ "/>
    <numFmt numFmtId="225" formatCode="m/d"/>
    <numFmt numFmtId="226" formatCode="&quot;ß&quot;#,##0;\-&quot;&quot;&quot;ß&quot;&quot;&quot;#,##0"/>
    <numFmt numFmtId="227" formatCode="0,000,000"/>
    <numFmt numFmtId="228" formatCode="[$-409]d\-mmm\-yyyy;@"/>
    <numFmt numFmtId="229" formatCode="[$-409]dd\-mmm\-yy;@"/>
    <numFmt numFmtId="230" formatCode="#,##0.00\ &quot;F&quot;;[Red]\-#,##0.00\ &quot;F&quot;"/>
    <numFmt numFmtId="231" formatCode="0.00000000"/>
    <numFmt numFmtId="232" formatCode="_-* #,##0.0\ _F_-;\-* #,##0.0\ _F_-;_-* &quot;-&quot;??\ _F_-;_-@_-"/>
    <numFmt numFmtId="233" formatCode="&quot;\&quot;#,##0;&quot;\&quot;\-#,##0"/>
    <numFmt numFmtId="234" formatCode="_-* ###,0&quot;.&quot;00\ _F_B_-;\-* ###,0&quot;.&quot;00\ _F_B_-;_-* &quot;-&quot;??\ _F_B_-;_-@_-"/>
    <numFmt numFmtId="235" formatCode="#.00\ ##0"/>
    <numFmt numFmtId="236" formatCode="#.\ ##0"/>
    <numFmt numFmtId="237" formatCode="_ &quot;\&quot;* #,##0.00_ ;_ &quot;\&quot;* \-#,##0.00_ ;_ &quot;\&quot;* &quot;-&quot;??_ ;_ @_ "/>
    <numFmt numFmtId="238" formatCode="_-&quot;$&quot;* #,##0.00_-;\-&quot;$&quot;* #,##0.00_-;_-&quot;$&quot;* &quot;-&quot;??_-;_-@_-"/>
    <numFmt numFmtId="239" formatCode="dd/mm/yyyy;@"/>
    <numFmt numFmtId="240" formatCode="[$-1010000]d/m/yy;@"/>
  </numFmts>
  <fonts count="216">
    <font>
      <sz val="10"/>
      <name val="Arial"/>
      <charset val="134"/>
    </font>
    <font>
      <sz val="8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5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rgb="FFC00000"/>
      <name val="Arial"/>
      <family val="2"/>
    </font>
    <font>
      <sz val="9"/>
      <color rgb="FFC0000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8"/>
      <color theme="1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  <font>
      <b/>
      <sz val="18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10"/>
      <name val="Times New Roman"/>
      <family val="1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2"/>
      <name val="VNI-Times"/>
    </font>
    <font>
      <sz val="12"/>
      <name val=".VnTime"/>
      <family val="2"/>
    </font>
    <font>
      <sz val="12"/>
      <name val="Times New Roman"/>
      <family val="1"/>
    </font>
    <font>
      <b/>
      <sz val="10"/>
      <name val="SVNtimes new roman"/>
      <family val="2"/>
    </font>
    <font>
      <sz val="11"/>
      <name val="??"/>
      <charset val="134"/>
    </font>
    <font>
      <sz val="10"/>
      <name val="?? ??"/>
      <charset val="136"/>
    </font>
    <font>
      <sz val="10"/>
      <name val="VNI-Times"/>
    </font>
    <font>
      <sz val="12"/>
      <name val="??"/>
      <charset val="134"/>
    </font>
    <font>
      <sz val="10"/>
      <name val=".VnArial"/>
      <family val="2"/>
    </font>
    <font>
      <sz val="12"/>
      <name val="????"/>
      <charset val="136"/>
    </font>
    <font>
      <sz val="12"/>
      <name val="Courier"/>
      <charset val="134"/>
    </font>
    <font>
      <sz val="12"/>
      <name val="???"/>
      <charset val="129"/>
    </font>
    <font>
      <sz val="12"/>
      <name val="|??¢¥¢¬¨Ï"/>
      <charset val="129"/>
    </font>
    <font>
      <sz val="12"/>
      <name val="???"/>
      <charset val="134"/>
    </font>
    <font>
      <sz val="11"/>
      <name val="–¾’©"/>
      <charset val="128"/>
    </font>
    <font>
      <b/>
      <u/>
      <sz val="14"/>
      <color indexed="8"/>
      <name val=".VnBook-AntiquaH"/>
      <family val="2"/>
    </font>
    <font>
      <b/>
      <sz val="10"/>
      <name val=".VnTimeH"/>
      <family val="2"/>
    </font>
    <font>
      <sz val="12"/>
      <name val="¹ÙÅÁÃ¼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1"/>
      <name val="µ¸¿ò"/>
      <charset val="129"/>
    </font>
    <font>
      <sz val="10"/>
      <name val="±¼¸²A¼"/>
      <charset val="129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0"/>
      <name val="Helv"/>
      <charset val="134"/>
    </font>
    <font>
      <b/>
      <sz val="8"/>
      <color indexed="12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0"/>
      <name val="VNI-Aptima"/>
    </font>
    <font>
      <sz val="11"/>
      <name val="VNI-Times"/>
    </font>
    <font>
      <sz val="11"/>
      <name val="VNcentury Gothic"/>
      <family val="2"/>
    </font>
    <font>
      <b/>
      <sz val="15"/>
      <name val="VNcentury Gothic"/>
      <family val="2"/>
    </font>
    <font>
      <sz val="12"/>
      <name val="SVNtimes new roman"/>
      <family val="2"/>
    </font>
    <font>
      <sz val="10"/>
      <name val="SVNtimes new roman"/>
      <family val="2"/>
    </font>
    <font>
      <sz val="10"/>
      <name val="Arial CE"/>
      <charset val="238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b/>
      <sz val="12"/>
      <name val="Helv"/>
      <charset val="134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0"/>
      <name val="MS Sans Serif"/>
      <charset val="134"/>
    </font>
    <font>
      <sz val="10"/>
      <name val="Helv"/>
      <charset val="134"/>
    </font>
    <font>
      <b/>
      <sz val="11"/>
      <name val="Helv"/>
      <charset val="134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sz val="13"/>
      <name val=".VnTime"/>
      <family val="2"/>
    </font>
    <font>
      <sz val="7"/>
      <name val="Small Fonts"/>
      <charset val="134"/>
    </font>
    <font>
      <b/>
      <sz val="12"/>
      <name val="VN-NTime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b/>
      <sz val="10"/>
      <name val="VNI-Aptima"/>
    </font>
    <font>
      <sz val="10"/>
      <name val="NTTimes/Cyrillic"/>
      <charset val="134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1"/>
      <color indexed="32"/>
      <name val="VNI-Times"/>
    </font>
    <font>
      <sz val="10"/>
      <name val="Symbol"/>
      <family val="1"/>
      <charset val="2"/>
    </font>
    <font>
      <sz val="14"/>
      <name val=".VnTime"/>
      <family val="2"/>
    </font>
    <font>
      <sz val="12"/>
      <name val="VNTime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sz val="8"/>
      <name val=".VnTime"/>
      <family val="2"/>
    </font>
    <font>
      <b/>
      <sz val="8"/>
      <name val="VN Helvetica"/>
      <charset val="134"/>
    </font>
    <font>
      <b/>
      <sz val="12"/>
      <name val=".VnTime"/>
      <family val="2"/>
    </font>
    <font>
      <b/>
      <sz val="10"/>
      <name val="VN AvantGBook"/>
      <charset val="134"/>
    </font>
    <font>
      <b/>
      <sz val="16"/>
      <name val=".VnTime"/>
      <family val="2"/>
    </font>
    <font>
      <sz val="9"/>
      <name val=".VnTime"/>
      <family val="2"/>
    </font>
    <font>
      <b/>
      <sz val="12"/>
      <name val="VNI-Times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.Vn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 "/>
      <charset val="136"/>
    </font>
    <font>
      <sz val="14"/>
      <name val="뼻뮝"/>
      <charset val="134"/>
    </font>
    <font>
      <sz val="12"/>
      <name val="바탕체"/>
      <charset val="129"/>
    </font>
    <font>
      <sz val="12"/>
      <name val="뼻뮝"/>
      <charset val="134"/>
    </font>
    <font>
      <sz val="12"/>
      <name val="宋体"/>
      <charset val="134"/>
    </font>
    <font>
      <sz val="14"/>
      <name val="Times New Roman"/>
      <family val="1"/>
    </font>
    <font>
      <sz val="14"/>
      <name val="VNI-Times"/>
    </font>
    <font>
      <sz val="10"/>
      <name val="Calibri"/>
      <family val="2"/>
    </font>
    <font>
      <sz val="7"/>
      <color indexed="8"/>
      <name val="Times New Roman"/>
      <family val="1"/>
    </font>
    <font>
      <b/>
      <sz val="10"/>
      <name val="Symbol"/>
      <family val="1"/>
      <charset val="2"/>
    </font>
    <font>
      <b/>
      <sz val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Segoe UI"/>
      <family val="2"/>
    </font>
    <font>
      <sz val="8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sz val="11"/>
      <color rgb="FFC00000"/>
      <name val="Arial"/>
      <family val="2"/>
    </font>
    <font>
      <sz val="7"/>
      <color rgb="FFC00000"/>
      <name val="Arial"/>
      <family val="2"/>
    </font>
    <font>
      <sz val="9"/>
      <color rgb="FFFF0000"/>
      <name val="Arial"/>
      <family val="2"/>
    </font>
    <font>
      <sz val="10"/>
      <color indexed="8"/>
      <name val="Calibri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sz val="7"/>
      <name val="Arial"/>
      <family val="2"/>
    </font>
    <font>
      <sz val="10"/>
      <name val="Arial"/>
      <family val="2"/>
      <charset val="204"/>
    </font>
    <font>
      <b/>
      <i/>
      <sz val="11"/>
      <name val="Arial"/>
      <family val="2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color rgb="FFFF0000"/>
      <name val="Arial"/>
      <family val="2"/>
    </font>
    <font>
      <sz val="11"/>
      <color rgb="FFFF0000"/>
      <name val="Arial"/>
      <family val="2"/>
    </font>
    <font>
      <sz val="11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color indexed="8"/>
      <name val="Arial"/>
      <family val="2"/>
      <charset val="163"/>
    </font>
    <font>
      <sz val="11"/>
      <color rgb="FF000000"/>
      <name val="Calibri"/>
      <family val="2"/>
    </font>
    <font>
      <sz val="7"/>
      <color indexed="8"/>
      <name val="Arial"/>
      <family val="2"/>
    </font>
    <font>
      <sz val="11"/>
      <color theme="1"/>
      <name val="Calibri"/>
      <family val="2"/>
      <charset val="204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4"/>
      <color rgb="FFFF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  <charset val="163"/>
    </font>
    <font>
      <sz val="10"/>
      <color theme="0"/>
      <name val="Arial"/>
      <family val="2"/>
    </font>
    <font>
      <b/>
      <sz val="10"/>
      <color rgb="FFFF0000"/>
      <name val="Arial"/>
      <family val="2"/>
      <charset val="163"/>
    </font>
    <font>
      <sz val="10.5"/>
      <name val="Arial"/>
      <family val="2"/>
    </font>
    <font>
      <sz val="10"/>
      <color indexed="9"/>
      <name val="Arial"/>
      <family val="2"/>
    </font>
    <font>
      <sz val="9"/>
      <color theme="1"/>
      <name val="Arial"/>
      <family val="2"/>
    </font>
    <font>
      <b/>
      <sz val="9.5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b/>
      <sz val="9.5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VNI-Times"/>
    </font>
    <font>
      <b/>
      <sz val="11"/>
      <name val="Segoe UI"/>
      <family val="2"/>
    </font>
    <font>
      <b/>
      <sz val="9"/>
      <name val="Segoe UI"/>
      <family val="2"/>
    </font>
    <font>
      <sz val="10"/>
      <color theme="1"/>
      <name val="Calibri"/>
      <family val="2"/>
      <scheme val="minor"/>
    </font>
    <font>
      <b/>
      <sz val="9.5"/>
      <name val="Arial"/>
      <family val="2"/>
    </font>
    <font>
      <b/>
      <sz val="12.5"/>
      <name val="Arial"/>
      <family val="2"/>
    </font>
    <font>
      <sz val="10"/>
      <name val="Arial"/>
      <family val="2"/>
      <charset val="163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 style="medium">
        <color indexed="0"/>
      </right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3623">
    <xf numFmtId="0" fontId="0" fillId="0" borderId="0"/>
    <xf numFmtId="172" fontId="4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2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47" fillId="0" borderId="55">
      <alignment horizontal="center"/>
      <protection hidden="1"/>
    </xf>
    <xf numFmtId="177" fontId="47" fillId="0" borderId="55">
      <alignment horizontal="center"/>
      <protection hidden="1"/>
    </xf>
    <xf numFmtId="178" fontId="44" fillId="0" borderId="55">
      <alignment horizontal="center"/>
      <protection hidden="1"/>
    </xf>
    <xf numFmtId="177" fontId="47" fillId="0" borderId="55">
      <alignment horizontal="center"/>
      <protection hidden="1"/>
    </xf>
    <xf numFmtId="177" fontId="47" fillId="0" borderId="55">
      <alignment horizontal="center"/>
      <protection hidden="1"/>
    </xf>
    <xf numFmtId="178" fontId="44" fillId="0" borderId="55">
      <alignment horizontal="center"/>
      <protection hidden="1"/>
    </xf>
    <xf numFmtId="178" fontId="44" fillId="0" borderId="55">
      <alignment horizontal="center"/>
      <protection hidden="1"/>
    </xf>
    <xf numFmtId="178" fontId="44" fillId="0" borderId="55">
      <alignment horizontal="center"/>
      <protection hidden="1"/>
    </xf>
    <xf numFmtId="177" fontId="47" fillId="0" borderId="55">
      <alignment horizontal="center"/>
      <protection hidden="1"/>
    </xf>
    <xf numFmtId="178" fontId="44" fillId="0" borderId="55">
      <alignment horizontal="center"/>
      <protection hidden="1"/>
    </xf>
    <xf numFmtId="177" fontId="47" fillId="0" borderId="55">
      <alignment horizontal="center"/>
      <protection hidden="1"/>
    </xf>
    <xf numFmtId="177" fontId="47" fillId="0" borderId="55">
      <alignment horizontal="center"/>
      <protection hidden="1"/>
    </xf>
    <xf numFmtId="177" fontId="47" fillId="0" borderId="55">
      <alignment horizontal="center"/>
      <protection hidden="1"/>
    </xf>
    <xf numFmtId="177" fontId="47" fillId="0" borderId="55">
      <alignment horizontal="center"/>
      <protection hidden="1"/>
    </xf>
    <xf numFmtId="177" fontId="47" fillId="0" borderId="55">
      <alignment horizontal="center"/>
      <protection hidden="1"/>
    </xf>
    <xf numFmtId="179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80" fontId="48" fillId="0" borderId="0" applyFont="0" applyFill="0" applyBorder="0" applyAlignment="0" applyProtection="0"/>
    <xf numFmtId="180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1" fontId="50" fillId="0" borderId="0" applyFont="0" applyFill="0" applyBorder="0" applyAlignment="0" applyProtection="0"/>
    <xf numFmtId="182" fontId="51" fillId="0" borderId="0" applyFont="0" applyFill="0" applyBorder="0" applyAlignment="0" applyProtection="0"/>
    <xf numFmtId="175" fontId="52" fillId="0" borderId="0" applyFont="0" applyFill="0" applyBorder="0" applyAlignment="0" applyProtection="0"/>
    <xf numFmtId="41" fontId="53" fillId="0" borderId="0" applyFont="0" applyFill="0" applyBorder="0" applyAlignment="0" applyProtection="0"/>
    <xf numFmtId="43" fontId="53" fillId="0" borderId="0" applyFont="0" applyFill="0" applyBorder="0" applyAlignment="0" applyProtection="0"/>
    <xf numFmtId="183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6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5" fillId="0" borderId="0" applyFont="0" applyFill="0" applyBorder="0" applyAlignment="0" applyProtection="0"/>
    <xf numFmtId="184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42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85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86" fontId="50" fillId="0" borderId="0" applyFont="0" applyFill="0" applyBorder="0" applyAlignment="0" applyProtection="0"/>
    <xf numFmtId="186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42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86" fontId="50" fillId="0" borderId="0" applyFont="0" applyFill="0" applyBorder="0" applyAlignment="0" applyProtection="0"/>
    <xf numFmtId="186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84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84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86" fontId="50" fillId="0" borderId="0" applyFont="0" applyFill="0" applyBorder="0" applyAlignment="0" applyProtection="0"/>
    <xf numFmtId="186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85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84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86" fontId="50" fillId="0" borderId="0" applyFont="0" applyFill="0" applyBorder="0" applyAlignment="0" applyProtection="0"/>
    <xf numFmtId="186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50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50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85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44" fillId="0" borderId="0" applyFont="0" applyFill="0" applyBorder="0" applyAlignment="0" applyProtection="0"/>
    <xf numFmtId="172" fontId="4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92" fontId="57" fillId="0" borderId="0" applyFont="0" applyFill="0" applyBorder="0" applyAlignment="0" applyProtection="0"/>
    <xf numFmtId="192" fontId="46" fillId="0" borderId="0" applyFont="0" applyFill="0" applyBorder="0" applyAlignment="0" applyProtection="0"/>
    <xf numFmtId="193" fontId="26" fillId="0" borderId="0" applyFont="0" applyFill="0" applyBorder="0" applyAlignment="0" applyProtection="0"/>
    <xf numFmtId="194" fontId="26" fillId="0" borderId="0" applyFont="0" applyFill="0" applyBorder="0" applyAlignment="0" applyProtection="0"/>
    <xf numFmtId="0" fontId="26" fillId="0" borderId="0"/>
    <xf numFmtId="0" fontId="58" fillId="0" borderId="0"/>
    <xf numFmtId="0" fontId="26" fillId="0" borderId="0"/>
    <xf numFmtId="192" fontId="57" fillId="0" borderId="0" applyFont="0" applyFill="0" applyBorder="0" applyAlignment="0" applyProtection="0"/>
    <xf numFmtId="192" fontId="46" fillId="0" borderId="0" applyFont="0" applyFill="0" applyBorder="0" applyAlignment="0" applyProtection="0"/>
    <xf numFmtId="0" fontId="59" fillId="5" borderId="0"/>
    <xf numFmtId="0" fontId="59" fillId="5" borderId="0"/>
    <xf numFmtId="0" fontId="60" fillId="0" borderId="14" applyFont="0" applyAlignment="0">
      <alignment horizontal="left"/>
    </xf>
    <xf numFmtId="0" fontId="46" fillId="0" borderId="14" applyFont="0" applyAlignment="0">
      <alignment horizontal="left"/>
    </xf>
    <xf numFmtId="9" fontId="61" fillId="0" borderId="0" applyFont="0" applyFill="0" applyBorder="0" applyAlignment="0" applyProtection="0"/>
    <xf numFmtId="0" fontId="62" fillId="5" borderId="0"/>
    <xf numFmtId="0" fontId="62" fillId="5" borderId="0"/>
    <xf numFmtId="0" fontId="63" fillId="6" borderId="0" applyNumberFormat="0" applyBorder="0" applyAlignment="0" applyProtection="0"/>
    <xf numFmtId="195" fontId="64" fillId="6" borderId="0" applyNumberFormat="0" applyBorder="0" applyAlignment="0" applyProtection="0"/>
    <xf numFmtId="0" fontId="63" fillId="6" borderId="0" applyNumberFormat="0" applyBorder="0" applyAlignment="0" applyProtection="0"/>
    <xf numFmtId="0" fontId="63" fillId="7" borderId="0" applyNumberFormat="0" applyBorder="0" applyAlignment="0" applyProtection="0"/>
    <xf numFmtId="195" fontId="64" fillId="7" borderId="0" applyNumberFormat="0" applyBorder="0" applyAlignment="0" applyProtection="0"/>
    <xf numFmtId="0" fontId="63" fillId="7" borderId="0" applyNumberFormat="0" applyBorder="0" applyAlignment="0" applyProtection="0"/>
    <xf numFmtId="0" fontId="63" fillId="8" borderId="0" applyNumberFormat="0" applyBorder="0" applyAlignment="0" applyProtection="0"/>
    <xf numFmtId="195" fontId="64" fillId="8" borderId="0" applyNumberFormat="0" applyBorder="0" applyAlignment="0" applyProtection="0"/>
    <xf numFmtId="0" fontId="63" fillId="8" borderId="0" applyNumberFormat="0" applyBorder="0" applyAlignment="0" applyProtection="0"/>
    <xf numFmtId="0" fontId="63" fillId="9" borderId="0" applyNumberFormat="0" applyBorder="0" applyAlignment="0" applyProtection="0"/>
    <xf numFmtId="195" fontId="64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195" fontId="64" fillId="10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195" fontId="64" fillId="11" borderId="0" applyNumberFormat="0" applyBorder="0" applyAlignment="0" applyProtection="0"/>
    <xf numFmtId="0" fontId="63" fillId="11" borderId="0" applyNumberFormat="0" applyBorder="0" applyAlignment="0" applyProtection="0"/>
    <xf numFmtId="0" fontId="63" fillId="6" borderId="0" applyNumberFormat="0" applyBorder="0" applyAlignment="0" applyProtection="0"/>
    <xf numFmtId="0" fontId="63" fillId="7" borderId="0" applyNumberFormat="0" applyBorder="0" applyAlignment="0" applyProtection="0"/>
    <xf numFmtId="0" fontId="63" fillId="8" borderId="0" applyNumberFormat="0" applyBorder="0" applyAlignment="0" applyProtection="0"/>
    <xf numFmtId="0" fontId="63" fillId="9" borderId="0" applyNumberFormat="0" applyBorder="0" applyAlignment="0" applyProtection="0"/>
    <xf numFmtId="0" fontId="63" fillId="10" borderId="0" applyNumberFormat="0" applyBorder="0" applyAlignment="0" applyProtection="0"/>
    <xf numFmtId="0" fontId="63" fillId="11" borderId="0" applyNumberFormat="0" applyBorder="0" applyAlignment="0" applyProtection="0"/>
    <xf numFmtId="0" fontId="65" fillId="5" borderId="0"/>
    <xf numFmtId="0" fontId="65" fillId="5" borderId="0"/>
    <xf numFmtId="0" fontId="46" fillId="0" borderId="0"/>
    <xf numFmtId="0" fontId="66" fillId="0" borderId="0">
      <alignment wrapText="1"/>
    </xf>
    <xf numFmtId="0" fontId="66" fillId="0" borderId="0">
      <alignment wrapText="1"/>
    </xf>
    <xf numFmtId="0" fontId="63" fillId="12" borderId="0" applyNumberFormat="0" applyBorder="0" applyAlignment="0" applyProtection="0"/>
    <xf numFmtId="195" fontId="64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195" fontId="64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195" fontId="64" fillId="14" borderId="0" applyNumberFormat="0" applyBorder="0" applyAlignment="0" applyProtection="0"/>
    <xf numFmtId="0" fontId="63" fillId="14" borderId="0" applyNumberFormat="0" applyBorder="0" applyAlignment="0" applyProtection="0"/>
    <xf numFmtId="0" fontId="63" fillId="9" borderId="0" applyNumberFormat="0" applyBorder="0" applyAlignment="0" applyProtection="0"/>
    <xf numFmtId="195" fontId="64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12" borderId="0" applyNumberFormat="0" applyBorder="0" applyAlignment="0" applyProtection="0"/>
    <xf numFmtId="195" fontId="64" fillId="12" borderId="0" applyNumberFormat="0" applyBorder="0" applyAlignment="0" applyProtection="0"/>
    <xf numFmtId="0" fontId="63" fillId="12" borderId="0" applyNumberFormat="0" applyBorder="0" applyAlignment="0" applyProtection="0"/>
    <xf numFmtId="0" fontId="63" fillId="15" borderId="0" applyNumberFormat="0" applyBorder="0" applyAlignment="0" applyProtection="0"/>
    <xf numFmtId="195" fontId="64" fillId="15" borderId="0" applyNumberFormat="0" applyBorder="0" applyAlignment="0" applyProtection="0"/>
    <xf numFmtId="0" fontId="63" fillId="15" borderId="0" applyNumberFormat="0" applyBorder="0" applyAlignment="0" applyProtection="0"/>
    <xf numFmtId="0" fontId="63" fillId="12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9" borderId="0" applyNumberFormat="0" applyBorder="0" applyAlignment="0" applyProtection="0"/>
    <xf numFmtId="0" fontId="63" fillId="12" borderId="0" applyNumberFormat="0" applyBorder="0" applyAlignment="0" applyProtection="0"/>
    <xf numFmtId="0" fontId="63" fillId="15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8" fillId="16" borderId="0" applyNumberFormat="0" applyBorder="0" applyAlignment="0" applyProtection="0"/>
    <xf numFmtId="195" fontId="69" fillId="16" borderId="0" applyNumberFormat="0" applyBorder="0" applyAlignment="0" applyProtection="0"/>
    <xf numFmtId="0" fontId="68" fillId="16" borderId="0" applyNumberFormat="0" applyBorder="0" applyAlignment="0" applyProtection="0"/>
    <xf numFmtId="0" fontId="68" fillId="13" borderId="0" applyNumberFormat="0" applyBorder="0" applyAlignment="0" applyProtection="0"/>
    <xf numFmtId="195" fontId="69" fillId="13" borderId="0" applyNumberFormat="0" applyBorder="0" applyAlignment="0" applyProtection="0"/>
    <xf numFmtId="0" fontId="68" fillId="13" borderId="0" applyNumberFormat="0" applyBorder="0" applyAlignment="0" applyProtection="0"/>
    <xf numFmtId="0" fontId="68" fillId="14" borderId="0" applyNumberFormat="0" applyBorder="0" applyAlignment="0" applyProtection="0"/>
    <xf numFmtId="195" fontId="69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7" borderId="0" applyNumberFormat="0" applyBorder="0" applyAlignment="0" applyProtection="0"/>
    <xf numFmtId="195" fontId="69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195" fontId="69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195" fontId="69" fillId="19" borderId="0" applyNumberFormat="0" applyBorder="0" applyAlignment="0" applyProtection="0"/>
    <xf numFmtId="0" fontId="68" fillId="19" borderId="0" applyNumberFormat="0" applyBorder="0" applyAlignment="0" applyProtection="0"/>
    <xf numFmtId="0" fontId="68" fillId="16" borderId="0" applyNumberFormat="0" applyBorder="0" applyAlignment="0" applyProtection="0"/>
    <xf numFmtId="0" fontId="68" fillId="13" borderId="0" applyNumberFormat="0" applyBorder="0" applyAlignment="0" applyProtection="0"/>
    <xf numFmtId="0" fontId="68" fillId="14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195" fontId="69" fillId="20" borderId="0" applyNumberFormat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195" fontId="69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2" borderId="0" applyNumberFormat="0" applyBorder="0" applyAlignment="0" applyProtection="0"/>
    <xf numFmtId="195" fontId="69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17" borderId="0" applyNumberFormat="0" applyBorder="0" applyAlignment="0" applyProtection="0"/>
    <xf numFmtId="195" fontId="69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195" fontId="69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23" borderId="0" applyNumberFormat="0" applyBorder="0" applyAlignment="0" applyProtection="0"/>
    <xf numFmtId="195" fontId="69" fillId="23" borderId="0" applyNumberFormat="0" applyBorder="0" applyAlignment="0" applyProtection="0"/>
    <xf numFmtId="0" fontId="68" fillId="23" borderId="0" applyNumberFormat="0" applyBorder="0" applyAlignment="0" applyProtection="0"/>
    <xf numFmtId="196" fontId="45" fillId="0" borderId="0" applyFont="0" applyFill="0" applyBorder="0" applyAlignment="0" applyProtection="0"/>
    <xf numFmtId="0" fontId="70" fillId="0" borderId="0" applyFont="0" applyFill="0" applyBorder="0" applyAlignment="0" applyProtection="0"/>
    <xf numFmtId="197" fontId="44" fillId="0" borderId="0" applyFont="0" applyFill="0" applyBorder="0" applyAlignment="0" applyProtection="0"/>
    <xf numFmtId="179" fontId="45" fillId="0" borderId="0" applyFont="0" applyFill="0" applyBorder="0" applyAlignment="0" applyProtection="0"/>
    <xf numFmtId="0" fontId="70" fillId="0" borderId="0" applyFont="0" applyFill="0" applyBorder="0" applyAlignment="0" applyProtection="0"/>
    <xf numFmtId="198" fontId="44" fillId="0" borderId="0" applyFont="0" applyFill="0" applyBorder="0" applyAlignment="0" applyProtection="0"/>
    <xf numFmtId="199" fontId="45" fillId="0" borderId="0" applyFont="0" applyFill="0" applyBorder="0" applyAlignment="0" applyProtection="0"/>
    <xf numFmtId="0" fontId="70" fillId="0" borderId="0" applyFont="0" applyFill="0" applyBorder="0" applyAlignment="0" applyProtection="0"/>
    <xf numFmtId="175" fontId="61" fillId="0" borderId="0" applyFont="0" applyFill="0" applyBorder="0" applyAlignment="0" applyProtection="0"/>
    <xf numFmtId="200" fontId="45" fillId="0" borderId="0" applyFont="0" applyFill="0" applyBorder="0" applyAlignment="0" applyProtection="0"/>
    <xf numFmtId="0" fontId="70" fillId="0" borderId="0" applyFont="0" applyFill="0" applyBorder="0" applyAlignment="0" applyProtection="0"/>
    <xf numFmtId="174" fontId="61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6" fillId="0" borderId="0" applyFont="0" applyFill="0" applyBorder="0" applyAlignment="0" applyProtection="0"/>
    <xf numFmtId="185" fontId="44" fillId="0" borderId="0" applyFont="0" applyFill="0" applyBorder="0" applyAlignment="0" applyProtection="0"/>
    <xf numFmtId="0" fontId="71" fillId="7" borderId="0" applyNumberFormat="0" applyBorder="0" applyAlignment="0" applyProtection="0"/>
    <xf numFmtId="195" fontId="72" fillId="7" borderId="0" applyNumberFormat="0" applyBorder="0" applyAlignment="0" applyProtection="0"/>
    <xf numFmtId="0" fontId="71" fillId="7" borderId="0" applyNumberFormat="0" applyBorder="0" applyAlignment="0" applyProtection="0"/>
    <xf numFmtId="0" fontId="70" fillId="0" borderId="0"/>
    <xf numFmtId="0" fontId="73" fillId="0" borderId="0"/>
    <xf numFmtId="0" fontId="70" fillId="0" borderId="0"/>
    <xf numFmtId="0" fontId="73" fillId="0" borderId="0"/>
    <xf numFmtId="0" fontId="74" fillId="0" borderId="0"/>
    <xf numFmtId="182" fontId="26" fillId="0" borderId="0" applyFont="0" applyFill="0" applyBorder="0" applyAlignment="0" applyProtection="0"/>
    <xf numFmtId="201" fontId="26" fillId="0" borderId="0" applyFont="0" applyFill="0" applyBorder="0" applyAlignment="0" applyProtection="0"/>
    <xf numFmtId="202" fontId="26" fillId="0" borderId="0" applyFill="0" applyBorder="0" applyAlignment="0"/>
    <xf numFmtId="202" fontId="26" fillId="0" borderId="0" applyFill="0" applyBorder="0" applyAlignment="0"/>
    <xf numFmtId="0" fontId="75" fillId="5" borderId="56" applyNumberFormat="0" applyAlignment="0" applyProtection="0"/>
    <xf numFmtId="195" fontId="76" fillId="5" borderId="56" applyNumberFormat="0" applyAlignment="0" applyProtection="0"/>
    <xf numFmtId="0" fontId="75" fillId="5" borderId="56" applyNumberFormat="0" applyAlignment="0" applyProtection="0"/>
    <xf numFmtId="0" fontId="77" fillId="0" borderId="0"/>
    <xf numFmtId="0" fontId="77" fillId="0" borderId="0"/>
    <xf numFmtId="195" fontId="77" fillId="0" borderId="0"/>
    <xf numFmtId="203" fontId="78" fillId="0" borderId="24" applyBorder="0"/>
    <xf numFmtId="203" fontId="78" fillId="0" borderId="24" applyBorder="0"/>
    <xf numFmtId="203" fontId="37" fillId="0" borderId="14">
      <protection locked="0"/>
    </xf>
    <xf numFmtId="203" fontId="37" fillId="0" borderId="14">
      <protection locked="0"/>
    </xf>
    <xf numFmtId="204" fontId="50" fillId="0" borderId="0" applyFont="0" applyFill="0" applyBorder="0" applyAlignment="0" applyProtection="0"/>
    <xf numFmtId="205" fontId="79" fillId="0" borderId="14"/>
    <xf numFmtId="205" fontId="79" fillId="0" borderId="14"/>
    <xf numFmtId="0" fontId="80" fillId="24" borderId="57" applyNumberFormat="0" applyAlignment="0" applyProtection="0"/>
    <xf numFmtId="195" fontId="81" fillId="24" borderId="57" applyNumberFormat="0" applyAlignment="0" applyProtection="0"/>
    <xf numFmtId="0" fontId="80" fillId="24" borderId="57" applyNumberFormat="0" applyAlignment="0" applyProtection="0"/>
    <xf numFmtId="206" fontId="52" fillId="0" borderId="0" applyFont="0" applyFill="0" applyBorder="0" applyAlignment="0" applyProtection="0"/>
    <xf numFmtId="0" fontId="26" fillId="0" borderId="0"/>
    <xf numFmtId="1" fontId="82" fillId="0" borderId="20" applyBorder="0"/>
    <xf numFmtId="0" fontId="26" fillId="0" borderId="0" applyNumberFormat="0" applyFill="0" applyBorder="0" applyAlignment="0" applyProtection="0"/>
    <xf numFmtId="169" fontId="83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207" fontId="41" fillId="0" borderId="0"/>
    <xf numFmtId="207" fontId="41" fillId="0" borderId="0"/>
    <xf numFmtId="3" fontId="26" fillId="0" borderId="0" applyFont="0" applyFill="0" applyBorder="0" applyAlignment="0" applyProtection="0"/>
    <xf numFmtId="3" fontId="46" fillId="0" borderId="0" applyFont="0" applyFill="0" applyBorder="0" applyAlignment="0" applyProtection="0"/>
    <xf numFmtId="208" fontId="84" fillId="0" borderId="0">
      <protection locked="0"/>
    </xf>
    <xf numFmtId="208" fontId="84" fillId="0" borderId="0">
      <protection locked="0"/>
    </xf>
    <xf numFmtId="209" fontId="84" fillId="0" borderId="0">
      <protection locked="0"/>
    </xf>
    <xf numFmtId="209" fontId="84" fillId="0" borderId="0">
      <protection locked="0"/>
    </xf>
    <xf numFmtId="210" fontId="85" fillId="0" borderId="4">
      <protection locked="0"/>
    </xf>
    <xf numFmtId="210" fontId="85" fillId="0" borderId="4">
      <protection locked="0"/>
    </xf>
    <xf numFmtId="211" fontId="84" fillId="0" borderId="0">
      <protection locked="0"/>
    </xf>
    <xf numFmtId="211" fontId="84" fillId="0" borderId="0">
      <protection locked="0"/>
    </xf>
    <xf numFmtId="212" fontId="84" fillId="0" borderId="0">
      <protection locked="0"/>
    </xf>
    <xf numFmtId="212" fontId="84" fillId="0" borderId="0">
      <protection locked="0"/>
    </xf>
    <xf numFmtId="211" fontId="84" fillId="0" borderId="0" applyNumberFormat="0">
      <protection locked="0"/>
    </xf>
    <xf numFmtId="0" fontId="84" fillId="0" borderId="0" applyNumberFormat="0">
      <protection locked="0"/>
    </xf>
    <xf numFmtId="211" fontId="84" fillId="0" borderId="0">
      <protection locked="0"/>
    </xf>
    <xf numFmtId="211" fontId="84" fillId="0" borderId="0">
      <protection locked="0"/>
    </xf>
    <xf numFmtId="203" fontId="86" fillId="0" borderId="55"/>
    <xf numFmtId="203" fontId="86" fillId="0" borderId="55"/>
    <xf numFmtId="213" fontId="86" fillId="0" borderId="55"/>
    <xf numFmtId="213" fontId="86" fillId="0" borderId="55"/>
    <xf numFmtId="168" fontId="4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214" fontId="26" fillId="0" borderId="0" applyFont="0" applyFill="0" applyBorder="0" applyAlignment="0" applyProtection="0"/>
    <xf numFmtId="214" fontId="46" fillId="0" borderId="0" applyFont="0" applyFill="0" applyBorder="0" applyAlignment="0" applyProtection="0"/>
    <xf numFmtId="215" fontId="26" fillId="0" borderId="0"/>
    <xf numFmtId="215" fontId="26" fillId="0" borderId="0"/>
    <xf numFmtId="203" fontId="47" fillId="0" borderId="55">
      <alignment horizontal="center"/>
      <protection hidden="1"/>
    </xf>
    <xf numFmtId="203" fontId="47" fillId="0" borderId="55">
      <alignment horizontal="center"/>
      <protection hidden="1"/>
    </xf>
    <xf numFmtId="216" fontId="87" fillId="0" borderId="55">
      <alignment horizontal="center"/>
      <protection hidden="1"/>
    </xf>
    <xf numFmtId="216" fontId="87" fillId="0" borderId="55">
      <alignment horizontal="center"/>
      <protection hidden="1"/>
    </xf>
    <xf numFmtId="217" fontId="44" fillId="0" borderId="55">
      <alignment horizontal="center"/>
      <protection hidden="1"/>
    </xf>
    <xf numFmtId="203" fontId="47" fillId="0" borderId="55">
      <alignment horizontal="center"/>
      <protection hidden="1"/>
    </xf>
    <xf numFmtId="203" fontId="47" fillId="0" borderId="55">
      <alignment horizontal="center"/>
      <protection hidden="1"/>
    </xf>
    <xf numFmtId="217" fontId="44" fillId="0" borderId="55">
      <alignment horizontal="center"/>
      <protection hidden="1"/>
    </xf>
    <xf numFmtId="217" fontId="44" fillId="0" borderId="55">
      <alignment horizontal="center"/>
      <protection hidden="1"/>
    </xf>
    <xf numFmtId="217" fontId="44" fillId="0" borderId="55">
      <alignment horizontal="center"/>
      <protection hidden="1"/>
    </xf>
    <xf numFmtId="203" fontId="47" fillId="0" borderId="55">
      <alignment horizontal="center"/>
      <protection hidden="1"/>
    </xf>
    <xf numFmtId="217" fontId="44" fillId="0" borderId="55">
      <alignment horizontal="center"/>
      <protection hidden="1"/>
    </xf>
    <xf numFmtId="203" fontId="47" fillId="0" borderId="55">
      <alignment horizontal="center"/>
      <protection hidden="1"/>
    </xf>
    <xf numFmtId="203" fontId="47" fillId="0" borderId="55">
      <alignment horizontal="center"/>
      <protection hidden="1"/>
    </xf>
    <xf numFmtId="203" fontId="47" fillId="0" borderId="55">
      <alignment horizontal="center"/>
      <protection hidden="1"/>
    </xf>
    <xf numFmtId="203" fontId="47" fillId="0" borderId="55">
      <alignment horizontal="center"/>
      <protection hidden="1"/>
    </xf>
    <xf numFmtId="203" fontId="47" fillId="0" borderId="55">
      <alignment horizontal="center"/>
      <protection hidden="1"/>
    </xf>
    <xf numFmtId="2" fontId="47" fillId="0" borderId="55">
      <alignment horizontal="center"/>
      <protection hidden="1"/>
    </xf>
    <xf numFmtId="2" fontId="47" fillId="0" borderId="55">
      <alignment horizontal="center"/>
      <protection hidden="1"/>
    </xf>
    <xf numFmtId="0" fontId="26" fillId="0" borderId="0" applyFont="0" applyFill="0" applyBorder="0" applyAlignment="0" applyProtection="0"/>
    <xf numFmtId="0" fontId="4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218" fontId="44" fillId="0" borderId="0" applyFont="0" applyFill="0" applyBorder="0" applyAlignment="0" applyProtection="0"/>
    <xf numFmtId="219" fontId="44" fillId="0" borderId="0" applyFont="0" applyFill="0" applyBorder="0" applyAlignment="0" applyProtection="0"/>
    <xf numFmtId="220" fontId="26" fillId="0" borderId="0"/>
    <xf numFmtId="220" fontId="26" fillId="0" borderId="0"/>
    <xf numFmtId="41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88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88" fillId="0" borderId="0" applyFont="0" applyFill="0" applyBorder="0" applyAlignment="0" applyProtection="0"/>
    <xf numFmtId="170" fontId="88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167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88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88" fillId="0" borderId="0" applyFont="0" applyFill="0" applyBorder="0" applyAlignment="0" applyProtection="0"/>
    <xf numFmtId="171" fontId="88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169" fontId="88" fillId="0" borderId="0" applyFont="0" applyFill="0" applyBorder="0" applyAlignment="0" applyProtection="0"/>
    <xf numFmtId="3" fontId="45" fillId="0" borderId="0" applyFont="0" applyBorder="0" applyAlignment="0"/>
    <xf numFmtId="3" fontId="45" fillId="0" borderId="0" applyFont="0" applyBorder="0" applyAlignment="0"/>
    <xf numFmtId="3" fontId="46" fillId="0" borderId="0" applyFont="0" applyBorder="0" applyAlignment="0"/>
    <xf numFmtId="0" fontId="89" fillId="0" borderId="0" applyNumberFormat="0" applyFill="0" applyBorder="0" applyAlignment="0" applyProtection="0"/>
    <xf numFmtId="195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3" fontId="45" fillId="0" borderId="0" applyFont="0" applyBorder="0" applyAlignment="0"/>
    <xf numFmtId="3" fontId="45" fillId="0" borderId="0" applyFont="0" applyBorder="0" applyAlignment="0"/>
    <xf numFmtId="3" fontId="46" fillId="0" borderId="0" applyFont="0" applyBorder="0" applyAlignment="0"/>
    <xf numFmtId="2" fontId="26" fillId="0" borderId="0" applyFont="0" applyFill="0" applyBorder="0" applyAlignment="0" applyProtection="0"/>
    <xf numFmtId="2" fontId="46" fillId="0" borderId="0" applyFont="0" applyFill="0" applyBorder="0" applyAlignment="0" applyProtection="0"/>
    <xf numFmtId="0" fontId="91" fillId="8" borderId="0" applyNumberFormat="0" applyBorder="0" applyAlignment="0" applyProtection="0"/>
    <xf numFmtId="195" fontId="92" fillId="8" borderId="0" applyNumberFormat="0" applyBorder="0" applyAlignment="0" applyProtection="0"/>
    <xf numFmtId="0" fontId="91" fillId="8" borderId="0" applyNumberFormat="0" applyBorder="0" applyAlignment="0" applyProtection="0"/>
    <xf numFmtId="38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93" fillId="0" borderId="0">
      <alignment horizontal="left"/>
    </xf>
    <xf numFmtId="0" fontId="93" fillId="0" borderId="0">
      <alignment horizontal="left"/>
    </xf>
    <xf numFmtId="195" fontId="93" fillId="0" borderId="0">
      <alignment horizontal="left"/>
    </xf>
    <xf numFmtId="0" fontId="23" fillId="0" borderId="25" applyNumberFormat="0" applyAlignment="0" applyProtection="0">
      <alignment horizontal="left" vertical="center"/>
    </xf>
    <xf numFmtId="0" fontId="23" fillId="0" borderId="25" applyNumberFormat="0" applyAlignment="0" applyProtection="0">
      <alignment horizontal="left" vertical="center"/>
    </xf>
    <xf numFmtId="195" fontId="23" fillId="0" borderId="25" applyNumberFormat="0" applyAlignment="0" applyProtection="0">
      <alignment horizontal="left" vertical="center"/>
    </xf>
    <xf numFmtId="0" fontId="23" fillId="0" borderId="11">
      <alignment horizontal="left" vertical="center"/>
    </xf>
    <xf numFmtId="0" fontId="23" fillId="0" borderId="11">
      <alignment horizontal="left" vertical="center"/>
    </xf>
    <xf numFmtId="195" fontId="23" fillId="0" borderId="11">
      <alignment horizontal="left" vertical="center"/>
    </xf>
    <xf numFmtId="0" fontId="38" fillId="0" borderId="0" applyNumberFormat="0" applyFill="0" applyBorder="0" applyAlignment="0" applyProtection="0"/>
    <xf numFmtId="195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9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4" fillId="0" borderId="58" applyNumberFormat="0" applyFill="0" applyAlignment="0" applyProtection="0"/>
    <xf numFmtId="195" fontId="95" fillId="0" borderId="58" applyNumberFormat="0" applyFill="0" applyAlignment="0" applyProtection="0"/>
    <xf numFmtId="0" fontId="94" fillId="0" borderId="58" applyNumberFormat="0" applyFill="0" applyAlignment="0" applyProtection="0"/>
    <xf numFmtId="0" fontId="94" fillId="0" borderId="0" applyNumberFormat="0" applyFill="0" applyBorder="0" applyAlignment="0" applyProtection="0"/>
    <xf numFmtId="195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1" fontId="44" fillId="0" borderId="0">
      <protection locked="0"/>
    </xf>
    <xf numFmtId="221" fontId="44" fillId="0" borderId="0">
      <protection locked="0"/>
    </xf>
    <xf numFmtId="164" fontId="96" fillId="26" borderId="9" applyNumberFormat="0" applyAlignment="0">
      <alignment horizontal="left" vertical="top"/>
    </xf>
    <xf numFmtId="0" fontId="96" fillId="26" borderId="9" applyNumberFormat="0" applyAlignment="0">
      <alignment horizontal="left" vertical="top"/>
    </xf>
    <xf numFmtId="49" fontId="97" fillId="0" borderId="9">
      <alignment vertical="center"/>
    </xf>
    <xf numFmtId="49" fontId="97" fillId="0" borderId="9">
      <alignment vertical="center"/>
    </xf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0" fontId="1" fillId="25" borderId="9" applyNumberFormat="0" applyBorder="0" applyAlignment="0" applyProtection="0"/>
    <xf numFmtId="0" fontId="1" fillId="25" borderId="9" applyNumberFormat="0" applyBorder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195" fontId="99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195" fontId="99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98" fillId="11" borderId="56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100" fillId="0" borderId="59" applyNumberFormat="0" applyFill="0" applyAlignment="0" applyProtection="0"/>
    <xf numFmtId="195" fontId="101" fillId="0" borderId="59" applyNumberFormat="0" applyFill="0" applyAlignment="0" applyProtection="0"/>
    <xf numFmtId="0" fontId="100" fillId="0" borderId="59" applyNumberFormat="0" applyFill="0" applyAlignment="0" applyProtection="0"/>
    <xf numFmtId="203" fontId="1" fillId="0" borderId="24" applyFont="0"/>
    <xf numFmtId="203" fontId="46" fillId="0" borderId="24" applyFont="0"/>
    <xf numFmtId="3" fontId="26" fillId="0" borderId="60"/>
    <xf numFmtId="3" fontId="26" fillId="0" borderId="60"/>
    <xf numFmtId="222" fontId="26" fillId="0" borderId="0" applyBorder="0">
      <alignment horizontal="left" vertical="center"/>
    </xf>
    <xf numFmtId="222" fontId="26" fillId="0" borderId="0" applyBorder="0">
      <alignment horizontal="left" vertical="center"/>
    </xf>
    <xf numFmtId="38" fontId="102" fillId="0" borderId="0" applyFont="0" applyFill="0" applyBorder="0" applyAlignment="0" applyProtection="0"/>
    <xf numFmtId="4" fontId="103" fillId="0" borderId="0" applyFont="0" applyFill="0" applyBorder="0" applyAlignment="0" applyProtection="0"/>
    <xf numFmtId="38" fontId="102" fillId="0" borderId="0" applyFont="0" applyFill="0" applyBorder="0" applyAlignment="0" applyProtection="0"/>
    <xf numFmtId="40" fontId="102" fillId="0" borderId="0" applyFont="0" applyFill="0" applyBorder="0" applyAlignment="0" applyProtection="0"/>
    <xf numFmtId="0" fontId="104" fillId="0" borderId="38"/>
    <xf numFmtId="0" fontId="104" fillId="0" borderId="38"/>
    <xf numFmtId="195" fontId="104" fillId="0" borderId="38"/>
    <xf numFmtId="172" fontId="26" fillId="0" borderId="21"/>
    <xf numFmtId="172" fontId="26" fillId="0" borderId="21"/>
    <xf numFmtId="223" fontId="44" fillId="0" borderId="0" applyFont="0" applyFill="0" applyBorder="0" applyAlignment="0" applyProtection="0"/>
    <xf numFmtId="224" fontId="44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6" fillId="0" borderId="0" applyFont="0" applyFill="0" applyBorder="0" applyAlignment="0" applyProtection="0"/>
    <xf numFmtId="0" fontId="5" fillId="0" borderId="0" applyNumberFormat="0" applyFont="0" applyFill="0" applyAlignment="0"/>
    <xf numFmtId="0" fontId="46" fillId="0" borderId="0" applyNumberFormat="0" applyFont="0" applyFill="0" applyAlignment="0"/>
    <xf numFmtId="195" fontId="5" fillId="0" borderId="0" applyNumberFormat="0" applyFont="0" applyFill="0" applyAlignment="0"/>
    <xf numFmtId="0" fontId="86" fillId="0" borderId="0">
      <alignment horizontal="justify" vertical="top"/>
    </xf>
    <xf numFmtId="0" fontId="86" fillId="0" borderId="0">
      <alignment horizontal="justify" vertical="top"/>
    </xf>
    <xf numFmtId="195" fontId="86" fillId="0" borderId="0">
      <alignment horizontal="justify" vertical="top"/>
    </xf>
    <xf numFmtId="0" fontId="105" fillId="27" borderId="0" applyNumberFormat="0" applyBorder="0" applyAlignment="0" applyProtection="0"/>
    <xf numFmtId="195" fontId="106" fillId="27" borderId="0" applyNumberFormat="0" applyBorder="0" applyAlignment="0" applyProtection="0"/>
    <xf numFmtId="0" fontId="105" fillId="27" borderId="0" applyNumberFormat="0" applyBorder="0" applyAlignment="0" applyProtection="0"/>
    <xf numFmtId="0" fontId="107" fillId="0" borderId="9"/>
    <xf numFmtId="0" fontId="107" fillId="0" borderId="9"/>
    <xf numFmtId="0" fontId="41" fillId="0" borderId="0"/>
    <xf numFmtId="0" fontId="41" fillId="0" borderId="0"/>
    <xf numFmtId="37" fontId="108" fillId="0" borderId="0"/>
    <xf numFmtId="37" fontId="108" fillId="0" borderId="0"/>
    <xf numFmtId="0" fontId="109" fillId="0" borderId="9" applyNumberFormat="0" applyFont="0" applyFill="0" applyBorder="0" applyAlignment="0">
      <alignment horizontal="center"/>
    </xf>
    <xf numFmtId="0" fontId="46" fillId="0" borderId="9" applyNumberFormat="0" applyFont="0" applyFill="0" applyBorder="0" applyAlignment="0">
      <alignment horizontal="center"/>
    </xf>
    <xf numFmtId="195" fontId="109" fillId="0" borderId="9" applyNumberFormat="0" applyFont="0" applyFill="0" applyBorder="0" applyAlignment="0">
      <alignment horizontal="center"/>
    </xf>
    <xf numFmtId="227" fontId="41" fillId="0" borderId="0"/>
    <xf numFmtId="227" fontId="41" fillId="0" borderId="0"/>
    <xf numFmtId="0" fontId="46" fillId="0" borderId="0"/>
    <xf numFmtId="0" fontId="46" fillId="0" borderId="0"/>
    <xf numFmtId="0" fontId="46" fillId="0" borderId="0"/>
    <xf numFmtId="0" fontId="26" fillId="0" borderId="0"/>
    <xf numFmtId="0" fontId="2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10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3" fillId="0" borderId="0"/>
    <xf numFmtId="0" fontId="11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6" fillId="0" borderId="0"/>
    <xf numFmtId="0" fontId="83" fillId="0" borderId="0"/>
    <xf numFmtId="0" fontId="43" fillId="0" borderId="0"/>
    <xf numFmtId="0" fontId="4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6" fillId="0" borderId="0"/>
    <xf numFmtId="0" fontId="46" fillId="0" borderId="0"/>
    <xf numFmtId="0" fontId="46" fillId="0" borderId="0"/>
    <xf numFmtId="0" fontId="83" fillId="0" borderId="0"/>
    <xf numFmtId="0" fontId="26" fillId="0" borderId="0"/>
    <xf numFmtId="0" fontId="43" fillId="0" borderId="0"/>
    <xf numFmtId="0" fontId="112" fillId="0" borderId="0"/>
    <xf numFmtId="0" fontId="2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228" fontId="8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6" fillId="0" borderId="0"/>
    <xf numFmtId="0" fontId="26" fillId="0" borderId="0"/>
    <xf numFmtId="0" fontId="26" fillId="0" borderId="0"/>
    <xf numFmtId="0" fontId="2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46" fillId="0" borderId="0"/>
    <xf numFmtId="0" fontId="20" fillId="0" borderId="0"/>
    <xf numFmtId="0" fontId="20" fillId="0" borderId="0"/>
    <xf numFmtId="0" fontId="2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229" fontId="113" fillId="0" borderId="0">
      <alignment vertical="center"/>
    </xf>
    <xf numFmtId="0" fontId="50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95" fontId="26" fillId="0" borderId="0"/>
    <xf numFmtId="0" fontId="43" fillId="0" borderId="0"/>
    <xf numFmtId="0" fontId="43" fillId="0" borderId="0"/>
    <xf numFmtId="0" fontId="46" fillId="0" borderId="0"/>
    <xf numFmtId="0" fontId="6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95" fontId="26" fillId="0" borderId="0"/>
    <xf numFmtId="0" fontId="2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4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3" fillId="25" borderId="0"/>
    <xf numFmtId="0" fontId="88" fillId="0" borderId="0"/>
    <xf numFmtId="0" fontId="26" fillId="28" borderId="61" applyNumberFormat="0" applyFont="0" applyAlignment="0" applyProtection="0"/>
    <xf numFmtId="195" fontId="26" fillId="28" borderId="61" applyNumberFormat="0" applyFont="0" applyAlignment="0" applyProtection="0"/>
    <xf numFmtId="0" fontId="46" fillId="28" borderId="61" applyNumberFormat="0" applyFont="0" applyAlignment="0" applyProtection="0"/>
    <xf numFmtId="43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0" fontId="41" fillId="0" borderId="0"/>
    <xf numFmtId="0" fontId="115" fillId="5" borderId="62" applyNumberFormat="0" applyAlignment="0" applyProtection="0"/>
    <xf numFmtId="195" fontId="116" fillId="5" borderId="62" applyNumberFormat="0" applyAlignment="0" applyProtection="0"/>
    <xf numFmtId="0" fontId="115" fillId="5" borderId="62" applyNumberFormat="0" applyAlignment="0" applyProtection="0"/>
    <xf numFmtId="10" fontId="26" fillId="0" borderId="0" applyFont="0" applyFill="0" applyBorder="0" applyAlignment="0" applyProtection="0"/>
    <xf numFmtId="10" fontId="46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" fontId="119" fillId="27" borderId="63" applyNumberFormat="0" applyProtection="0">
      <alignment vertical="center"/>
    </xf>
    <xf numFmtId="0" fontId="119" fillId="27" borderId="63" applyNumberFormat="0" applyProtection="0">
      <alignment vertical="center"/>
    </xf>
    <xf numFmtId="4" fontId="120" fillId="27" borderId="63" applyNumberFormat="0" applyProtection="0">
      <alignment vertical="center"/>
    </xf>
    <xf numFmtId="0" fontId="120" fillId="27" borderId="63" applyNumberFormat="0" applyProtection="0">
      <alignment vertical="center"/>
    </xf>
    <xf numFmtId="4" fontId="30" fillId="27" borderId="63" applyNumberFormat="0" applyProtection="0">
      <alignment horizontal="left" vertical="center" indent="1"/>
    </xf>
    <xf numFmtId="0" fontId="30" fillId="27" borderId="63" applyNumberFormat="0" applyProtection="0">
      <alignment horizontal="left" vertical="center" indent="1"/>
    </xf>
    <xf numFmtId="4" fontId="30" fillId="29" borderId="0" applyNumberFormat="0" applyProtection="0">
      <alignment horizontal="left" vertical="center" indent="1"/>
    </xf>
    <xf numFmtId="0" fontId="30" fillId="29" borderId="0" applyNumberFormat="0" applyProtection="0">
      <alignment horizontal="left" vertical="center" indent="1"/>
    </xf>
    <xf numFmtId="4" fontId="30" fillId="21" borderId="63" applyNumberFormat="0" applyProtection="0">
      <alignment horizontal="right" vertical="center"/>
    </xf>
    <xf numFmtId="0" fontId="30" fillId="21" borderId="63" applyNumberFormat="0" applyProtection="0">
      <alignment horizontal="right" vertical="center"/>
    </xf>
    <xf numFmtId="4" fontId="30" fillId="7" borderId="63" applyNumberFormat="0" applyProtection="0">
      <alignment horizontal="right" vertical="center"/>
    </xf>
    <xf numFmtId="0" fontId="30" fillId="7" borderId="63" applyNumberFormat="0" applyProtection="0">
      <alignment horizontal="right" vertical="center"/>
    </xf>
    <xf numFmtId="4" fontId="30" fillId="13" borderId="63" applyNumberFormat="0" applyProtection="0">
      <alignment horizontal="right" vertical="center"/>
    </xf>
    <xf numFmtId="0" fontId="30" fillId="13" borderId="63" applyNumberFormat="0" applyProtection="0">
      <alignment horizontal="right" vertical="center"/>
    </xf>
    <xf numFmtId="4" fontId="30" fillId="8" borderId="63" applyNumberFormat="0" applyProtection="0">
      <alignment horizontal="right" vertical="center"/>
    </xf>
    <xf numFmtId="0" fontId="30" fillId="8" borderId="63" applyNumberFormat="0" applyProtection="0">
      <alignment horizontal="right" vertical="center"/>
    </xf>
    <xf numFmtId="4" fontId="30" fillId="15" borderId="63" applyNumberFormat="0" applyProtection="0">
      <alignment horizontal="right" vertical="center"/>
    </xf>
    <xf numFmtId="0" fontId="30" fillId="15" borderId="63" applyNumberFormat="0" applyProtection="0">
      <alignment horizontal="right" vertical="center"/>
    </xf>
    <xf numFmtId="4" fontId="30" fillId="11" borderId="63" applyNumberFormat="0" applyProtection="0">
      <alignment horizontal="right" vertical="center"/>
    </xf>
    <xf numFmtId="0" fontId="30" fillId="11" borderId="63" applyNumberFormat="0" applyProtection="0">
      <alignment horizontal="right" vertical="center"/>
    </xf>
    <xf numFmtId="4" fontId="30" fillId="30" borderId="63" applyNumberFormat="0" applyProtection="0">
      <alignment horizontal="right" vertical="center"/>
    </xf>
    <xf numFmtId="0" fontId="30" fillId="30" borderId="63" applyNumberFormat="0" applyProtection="0">
      <alignment horizontal="right" vertical="center"/>
    </xf>
    <xf numFmtId="4" fontId="30" fillId="22" borderId="63" applyNumberFormat="0" applyProtection="0">
      <alignment horizontal="right" vertical="center"/>
    </xf>
    <xf numFmtId="0" fontId="30" fillId="22" borderId="63" applyNumberFormat="0" applyProtection="0">
      <alignment horizontal="right" vertical="center"/>
    </xf>
    <xf numFmtId="4" fontId="30" fillId="31" borderId="63" applyNumberFormat="0" applyProtection="0">
      <alignment horizontal="right" vertical="center"/>
    </xf>
    <xf numFmtId="0" fontId="30" fillId="31" borderId="63" applyNumberFormat="0" applyProtection="0">
      <alignment horizontal="right" vertical="center"/>
    </xf>
    <xf numFmtId="4" fontId="119" fillId="32" borderId="64" applyNumberFormat="0" applyProtection="0">
      <alignment horizontal="left" vertical="center" indent="1"/>
    </xf>
    <xf numFmtId="0" fontId="119" fillId="32" borderId="64" applyNumberFormat="0" applyProtection="0">
      <alignment horizontal="left" vertical="center" indent="1"/>
    </xf>
    <xf numFmtId="4" fontId="119" fillId="12" borderId="0" applyNumberFormat="0" applyProtection="0">
      <alignment horizontal="left" vertical="center" indent="1"/>
    </xf>
    <xf numFmtId="0" fontId="119" fillId="12" borderId="0" applyNumberFormat="0" applyProtection="0">
      <alignment horizontal="left" vertical="center" indent="1"/>
    </xf>
    <xf numFmtId="4" fontId="119" fillId="29" borderId="0" applyNumberFormat="0" applyProtection="0">
      <alignment horizontal="left" vertical="center" indent="1"/>
    </xf>
    <xf numFmtId="0" fontId="119" fillId="29" borderId="0" applyNumberFormat="0" applyProtection="0">
      <alignment horizontal="left" vertical="center" indent="1"/>
    </xf>
    <xf numFmtId="4" fontId="30" fillId="12" borderId="63" applyNumberFormat="0" applyProtection="0">
      <alignment horizontal="right" vertical="center"/>
    </xf>
    <xf numFmtId="0" fontId="30" fillId="12" borderId="63" applyNumberFormat="0" applyProtection="0">
      <alignment horizontal="right" vertical="center"/>
    </xf>
    <xf numFmtId="4" fontId="34" fillId="12" borderId="0" applyNumberFormat="0" applyProtection="0">
      <alignment horizontal="left" vertical="center" indent="1"/>
    </xf>
    <xf numFmtId="0" fontId="34" fillId="12" borderId="0" applyNumberFormat="0" applyProtection="0">
      <alignment horizontal="left" vertical="center" indent="1"/>
    </xf>
    <xf numFmtId="4" fontId="34" fillId="29" borderId="0" applyNumberFormat="0" applyProtection="0">
      <alignment horizontal="left" vertical="center" indent="1"/>
    </xf>
    <xf numFmtId="0" fontId="34" fillId="29" borderId="0" applyNumberFormat="0" applyProtection="0">
      <alignment horizontal="left" vertical="center" indent="1"/>
    </xf>
    <xf numFmtId="4" fontId="30" fillId="33" borderId="63" applyNumberFormat="0" applyProtection="0">
      <alignment vertical="center"/>
    </xf>
    <xf numFmtId="0" fontId="30" fillId="33" borderId="63" applyNumberFormat="0" applyProtection="0">
      <alignment vertical="center"/>
    </xf>
    <xf numFmtId="4" fontId="121" fillId="33" borderId="63" applyNumberFormat="0" applyProtection="0">
      <alignment vertical="center"/>
    </xf>
    <xf numFmtId="0" fontId="121" fillId="33" borderId="63" applyNumberFormat="0" applyProtection="0">
      <alignment vertical="center"/>
    </xf>
    <xf numFmtId="4" fontId="119" fillId="12" borderId="65" applyNumberFormat="0" applyProtection="0">
      <alignment horizontal="left" vertical="center" indent="1"/>
    </xf>
    <xf numFmtId="0" fontId="119" fillId="12" borderId="65" applyNumberFormat="0" applyProtection="0">
      <alignment horizontal="left" vertical="center" indent="1"/>
    </xf>
    <xf numFmtId="4" fontId="30" fillId="33" borderId="63" applyNumberFormat="0" applyProtection="0">
      <alignment horizontal="right" vertical="center"/>
    </xf>
    <xf numFmtId="0" fontId="30" fillId="33" borderId="63" applyNumberFormat="0" applyProtection="0">
      <alignment horizontal="right" vertical="center"/>
    </xf>
    <xf numFmtId="4" fontId="121" fillId="33" borderId="63" applyNumberFormat="0" applyProtection="0">
      <alignment horizontal="right" vertical="center"/>
    </xf>
    <xf numFmtId="0" fontId="121" fillId="33" borderId="63" applyNumberFormat="0" applyProtection="0">
      <alignment horizontal="right" vertical="center"/>
    </xf>
    <xf numFmtId="4" fontId="119" fillId="12" borderId="63" applyNumberFormat="0" applyProtection="0">
      <alignment horizontal="left" vertical="center" indent="1"/>
    </xf>
    <xf numFmtId="0" fontId="119" fillId="12" borderId="63" applyNumberFormat="0" applyProtection="0">
      <alignment horizontal="left" vertical="center" indent="1"/>
    </xf>
    <xf numFmtId="4" fontId="122" fillId="26" borderId="65" applyNumberFormat="0" applyProtection="0">
      <alignment horizontal="left" vertical="center" indent="1"/>
    </xf>
    <xf numFmtId="0" fontId="122" fillId="26" borderId="65" applyNumberFormat="0" applyProtection="0">
      <alignment horizontal="left" vertical="center" indent="1"/>
    </xf>
    <xf numFmtId="4" fontId="123" fillId="33" borderId="63" applyNumberFormat="0" applyProtection="0">
      <alignment horizontal="right" vertical="center"/>
    </xf>
    <xf numFmtId="0" fontId="123" fillId="33" borderId="63" applyNumberFormat="0" applyProtection="0">
      <alignment horizontal="right" vertical="center"/>
    </xf>
    <xf numFmtId="0" fontId="26" fillId="0" borderId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84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206" fontId="52" fillId="0" borderId="0" applyFont="0" applyFill="0" applyBorder="0" applyAlignment="0" applyProtection="0"/>
    <xf numFmtId="206" fontId="52" fillId="0" borderId="0" applyFont="0" applyFill="0" applyBorder="0" applyAlignment="0" applyProtection="0"/>
    <xf numFmtId="206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91" fontId="46" fillId="0" borderId="0" applyFont="0" applyFill="0" applyBorder="0" applyAlignment="0" applyProtection="0"/>
    <xf numFmtId="190" fontId="50" fillId="0" borderId="0" applyFont="0" applyFill="0" applyBorder="0" applyAlignment="0" applyProtection="0"/>
    <xf numFmtId="190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72" fontId="50" fillId="0" borderId="0" applyFont="0" applyFill="0" applyBorder="0" applyAlignment="0" applyProtection="0"/>
    <xf numFmtId="172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6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91" fontId="50" fillId="0" borderId="0" applyFont="0" applyFill="0" applyBorder="0" applyAlignment="0" applyProtection="0"/>
    <xf numFmtId="19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84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84" fontId="50" fillId="0" borderId="0" applyFont="0" applyFill="0" applyBorder="0" applyAlignment="0" applyProtection="0"/>
    <xf numFmtId="184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91" fontId="44" fillId="0" borderId="0" applyFont="0" applyFill="0" applyBorder="0" applyAlignment="0" applyProtection="0"/>
    <xf numFmtId="19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89" fontId="44" fillId="0" borderId="0" applyFont="0" applyFill="0" applyBorder="0" applyAlignment="0" applyProtection="0"/>
    <xf numFmtId="189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87" fontId="50" fillId="0" borderId="0" applyFont="0" applyFill="0" applyBorder="0" applyAlignment="0" applyProtection="0"/>
    <xf numFmtId="18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91" fontId="50" fillId="0" borderId="0" applyFont="0" applyFill="0" applyBorder="0" applyAlignment="0" applyProtection="0"/>
    <xf numFmtId="19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84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88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50" fillId="0" borderId="0" applyFont="0" applyFill="0" applyBorder="0" applyAlignment="0" applyProtection="0"/>
    <xf numFmtId="41" fontId="46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66" fontId="50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46" fillId="0" borderId="0" applyFont="0" applyFill="0" applyBorder="0" applyAlignment="0" applyProtection="0"/>
    <xf numFmtId="187" fontId="50" fillId="0" borderId="0" applyFont="0" applyFill="0" applyBorder="0" applyAlignment="0" applyProtection="0"/>
    <xf numFmtId="0" fontId="124" fillId="0" borderId="0"/>
    <xf numFmtId="0" fontId="104" fillId="0" borderId="0"/>
    <xf numFmtId="0" fontId="104" fillId="0" borderId="0"/>
    <xf numFmtId="195" fontId="104" fillId="0" borderId="0"/>
    <xf numFmtId="0" fontId="125" fillId="0" borderId="0"/>
    <xf numFmtId="0" fontId="125" fillId="0" borderId="0"/>
    <xf numFmtId="195" fontId="125" fillId="0" borderId="0"/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232" fontId="45" fillId="0" borderId="10">
      <alignment horizontal="right" vertical="center"/>
    </xf>
    <xf numFmtId="232" fontId="45" fillId="0" borderId="10">
      <alignment horizontal="right" vertical="center"/>
    </xf>
    <xf numFmtId="232" fontId="45" fillId="0" borderId="10">
      <alignment horizontal="right" vertical="center"/>
    </xf>
    <xf numFmtId="232" fontId="45" fillId="0" borderId="10">
      <alignment horizontal="right" vertical="center"/>
    </xf>
    <xf numFmtId="232" fontId="45" fillId="0" borderId="10">
      <alignment horizontal="right" vertical="center"/>
    </xf>
    <xf numFmtId="232" fontId="45" fillId="0" borderId="10">
      <alignment horizontal="right" vertical="center"/>
    </xf>
    <xf numFmtId="233" fontId="45" fillId="0" borderId="10">
      <alignment horizontal="right" vertical="center"/>
    </xf>
    <xf numFmtId="233" fontId="45" fillId="0" borderId="10">
      <alignment horizontal="right" vertical="center"/>
    </xf>
    <xf numFmtId="233" fontId="45" fillId="0" borderId="10">
      <alignment horizontal="right" vertical="center"/>
    </xf>
    <xf numFmtId="233" fontId="45" fillId="0" borderId="10">
      <alignment horizontal="right" vertical="center"/>
    </xf>
    <xf numFmtId="233" fontId="45" fillId="0" borderId="10">
      <alignment horizontal="right" vertical="center"/>
    </xf>
    <xf numFmtId="233" fontId="45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1" fontId="45" fillId="0" borderId="10">
      <alignment horizontal="right" vertical="center"/>
    </xf>
    <xf numFmtId="230" fontId="107" fillId="0" borderId="10">
      <alignment horizontal="right" vertical="center"/>
    </xf>
    <xf numFmtId="234" fontId="126" fillId="0" borderId="10">
      <alignment horizontal="right" vertical="center"/>
    </xf>
    <xf numFmtId="234" fontId="126" fillId="0" borderId="10">
      <alignment horizontal="right" vertical="center"/>
    </xf>
    <xf numFmtId="234" fontId="126" fillId="0" borderId="10">
      <alignment horizontal="right" vertical="center"/>
    </xf>
    <xf numFmtId="234" fontId="126" fillId="0" borderId="10">
      <alignment horizontal="right" vertical="center"/>
    </xf>
    <xf numFmtId="234" fontId="126" fillId="0" borderId="10">
      <alignment horizontal="right" vertical="center"/>
    </xf>
    <xf numFmtId="234" fontId="126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173" fontId="6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30" fontId="107" fillId="0" borderId="10">
      <alignment horizontal="right" vertical="center"/>
    </xf>
    <xf numFmtId="203" fontId="86" fillId="0" borderId="55">
      <protection hidden="1"/>
    </xf>
    <xf numFmtId="203" fontId="86" fillId="0" borderId="55">
      <protection hidden="1"/>
    </xf>
    <xf numFmtId="191" fontId="107" fillId="0" borderId="10">
      <alignment horizontal="center"/>
    </xf>
    <xf numFmtId="191" fontId="107" fillId="0" borderId="10">
      <alignment horizontal="center"/>
    </xf>
    <xf numFmtId="191" fontId="107" fillId="0" borderId="10">
      <alignment horizontal="center"/>
    </xf>
    <xf numFmtId="191" fontId="107" fillId="0" borderId="10">
      <alignment horizontal="center"/>
    </xf>
    <xf numFmtId="0" fontId="127" fillId="0" borderId="66"/>
    <xf numFmtId="0" fontId="127" fillId="0" borderId="67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195" fontId="129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26" fillId="0" borderId="68" applyNumberFormat="0" applyFont="0" applyFill="0" applyAlignment="0" applyProtection="0"/>
    <xf numFmtId="195" fontId="26" fillId="0" borderId="68" applyNumberFormat="0" applyFont="0" applyFill="0" applyAlignment="0" applyProtection="0"/>
    <xf numFmtId="0" fontId="46" fillId="0" borderId="68" applyNumberFormat="0" applyFont="0" applyFill="0" applyAlignment="0" applyProtection="0"/>
    <xf numFmtId="235" fontId="45" fillId="0" borderId="0" applyFont="0" applyFill="0" applyBorder="0" applyAlignment="0" applyProtection="0"/>
    <xf numFmtId="236" fontId="45" fillId="0" borderId="0" applyFont="0" applyFill="0" applyBorder="0" applyAlignment="0" applyProtection="0"/>
    <xf numFmtId="217" fontId="107" fillId="0" borderId="0"/>
    <xf numFmtId="217" fontId="107" fillId="0" borderId="0"/>
    <xf numFmtId="217" fontId="107" fillId="0" borderId="0"/>
    <xf numFmtId="217" fontId="107" fillId="0" borderId="0"/>
    <xf numFmtId="178" fontId="107" fillId="0" borderId="9"/>
    <xf numFmtId="178" fontId="107" fillId="0" borderId="9"/>
    <xf numFmtId="178" fontId="107" fillId="0" borderId="9"/>
    <xf numFmtId="178" fontId="107" fillId="0" borderId="9"/>
    <xf numFmtId="0" fontId="130" fillId="0" borderId="34" applyFill="0" applyBorder="0" applyAlignment="0">
      <alignment horizontal="center"/>
    </xf>
    <xf numFmtId="164" fontId="131" fillId="34" borderId="17">
      <alignment vertical="top"/>
    </xf>
    <xf numFmtId="0" fontId="132" fillId="35" borderId="9">
      <alignment horizontal="left" vertical="center"/>
    </xf>
    <xf numFmtId="0" fontId="132" fillId="35" borderId="9">
      <alignment horizontal="left" vertical="center"/>
    </xf>
    <xf numFmtId="165" fontId="133" fillId="36" borderId="17"/>
    <xf numFmtId="165" fontId="133" fillId="28" borderId="17"/>
    <xf numFmtId="164" fontId="96" fillId="0" borderId="17">
      <alignment horizontal="left" vertical="top"/>
    </xf>
    <xf numFmtId="164" fontId="96" fillId="0" borderId="17">
      <alignment horizontal="left" vertical="top"/>
    </xf>
    <xf numFmtId="0" fontId="134" fillId="37" borderId="0">
      <alignment horizontal="left" vertical="center"/>
    </xf>
    <xf numFmtId="0" fontId="134" fillId="25" borderId="0">
      <alignment horizontal="left" vertical="center"/>
    </xf>
    <xf numFmtId="164" fontId="67" fillId="0" borderId="18">
      <alignment horizontal="left" vertical="top"/>
    </xf>
    <xf numFmtId="164" fontId="67" fillId="0" borderId="18">
      <alignment horizontal="left" vertical="top"/>
    </xf>
    <xf numFmtId="164" fontId="67" fillId="0" borderId="18">
      <alignment horizontal="left" vertical="top"/>
    </xf>
    <xf numFmtId="164" fontId="67" fillId="0" borderId="18">
      <alignment horizontal="left" vertical="top"/>
    </xf>
    <xf numFmtId="0" fontId="135" fillId="0" borderId="18">
      <alignment horizontal="left" vertical="center"/>
    </xf>
    <xf numFmtId="0" fontId="135" fillId="0" borderId="18">
      <alignment horizontal="left" vertical="center"/>
    </xf>
    <xf numFmtId="0" fontId="136" fillId="0" borderId="0" applyFont="0" applyBorder="0" applyAlignment="0">
      <alignment horizontal="center"/>
    </xf>
    <xf numFmtId="0" fontId="46" fillId="0" borderId="0" applyFont="0" applyBorder="0" applyAlignment="0">
      <alignment horizontal="center"/>
    </xf>
    <xf numFmtId="195" fontId="136" fillId="0" borderId="0" applyFont="0" applyBorder="0" applyAlignment="0">
      <alignment horizontal="center"/>
    </xf>
    <xf numFmtId="202" fontId="44" fillId="0" borderId="0" applyFont="0" applyFill="0" applyBorder="0" applyAlignment="0" applyProtection="0"/>
    <xf numFmtId="206" fontId="44" fillId="0" borderId="0" applyFont="0" applyFill="0" applyBorder="0" applyAlignment="0" applyProtection="0"/>
    <xf numFmtId="166" fontId="88" fillId="0" borderId="0" applyFont="0" applyFill="0" applyBorder="0" applyAlignment="0" applyProtection="0"/>
    <xf numFmtId="168" fontId="88" fillId="0" borderId="0" applyFont="0" applyFill="0" applyBorder="0" applyAlignment="0" applyProtection="0"/>
    <xf numFmtId="0" fontId="137" fillId="0" borderId="0" applyNumberFormat="0" applyFill="0" applyBorder="0" applyAlignment="0" applyProtection="0"/>
    <xf numFmtId="195" fontId="138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22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23" borderId="0" applyNumberFormat="0" applyBorder="0" applyAlignment="0" applyProtection="0"/>
    <xf numFmtId="0" fontId="98" fillId="11" borderId="56" applyNumberFormat="0" applyAlignment="0" applyProtection="0"/>
    <xf numFmtId="0" fontId="115" fillId="5" borderId="62" applyNumberFormat="0" applyAlignment="0" applyProtection="0"/>
    <xf numFmtId="0" fontId="75" fillId="5" borderId="56" applyNumberFormat="0" applyAlignment="0" applyProtection="0"/>
    <xf numFmtId="0" fontId="140" fillId="0" borderId="69" applyNumberFormat="0" applyFill="0" applyAlignment="0" applyProtection="0"/>
    <xf numFmtId="0" fontId="141" fillId="0" borderId="70" applyNumberFormat="0" applyFill="0" applyAlignment="0" applyProtection="0"/>
    <xf numFmtId="0" fontId="94" fillId="0" borderId="58" applyNumberFormat="0" applyFill="0" applyAlignment="0" applyProtection="0"/>
    <xf numFmtId="0" fontId="94" fillId="0" borderId="0" applyNumberFormat="0" applyFill="0" applyBorder="0" applyAlignment="0" applyProtection="0"/>
    <xf numFmtId="0" fontId="142" fillId="0" borderId="71" applyNumberFormat="0" applyFill="0" applyAlignment="0" applyProtection="0"/>
    <xf numFmtId="0" fontId="80" fillId="24" borderId="57" applyNumberFormat="0" applyAlignment="0" applyProtection="0"/>
    <xf numFmtId="0" fontId="128" fillId="0" borderId="0" applyNumberFormat="0" applyFill="0" applyBorder="0" applyAlignment="0" applyProtection="0"/>
    <xf numFmtId="0" fontId="105" fillId="27" borderId="0" applyNumberFormat="0" applyBorder="0" applyAlignment="0" applyProtection="0"/>
    <xf numFmtId="0" fontId="71" fillId="7" borderId="0" applyNumberFormat="0" applyBorder="0" applyAlignment="0" applyProtection="0"/>
    <xf numFmtId="0" fontId="89" fillId="0" borderId="0" applyNumberFormat="0" applyFill="0" applyBorder="0" applyAlignment="0" applyProtection="0"/>
    <xf numFmtId="0" fontId="63" fillId="28" borderId="61" applyNumberFormat="0" applyFont="0" applyAlignment="0" applyProtection="0"/>
    <xf numFmtId="0" fontId="100" fillId="0" borderId="59" applyNumberFormat="0" applyFill="0" applyAlignment="0" applyProtection="0"/>
    <xf numFmtId="0" fontId="137" fillId="0" borderId="0" applyNumberFormat="0" applyFill="0" applyBorder="0" applyAlignment="0" applyProtection="0"/>
    <xf numFmtId="0" fontId="91" fillId="8" borderId="0" applyNumberFormat="0" applyBorder="0" applyAlignment="0" applyProtection="0"/>
    <xf numFmtId="0" fontId="143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46" fillId="0" borderId="0">
      <alignment vertical="center"/>
    </xf>
    <xf numFmtId="40" fontId="144" fillId="0" borderId="0" applyFont="0" applyFill="0" applyBorder="0" applyAlignment="0" applyProtection="0"/>
    <xf numFmtId="38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9" fontId="145" fillId="0" borderId="0" applyFont="0" applyFill="0" applyBorder="0" applyAlignment="0" applyProtection="0"/>
    <xf numFmtId="0" fontId="146" fillId="0" borderId="0"/>
    <xf numFmtId="0" fontId="145" fillId="0" borderId="0" applyFont="0" applyFill="0" applyBorder="0" applyAlignment="0" applyProtection="0"/>
    <xf numFmtId="0" fontId="145" fillId="0" borderId="0" applyFont="0" applyFill="0" applyBorder="0" applyAlignment="0" applyProtection="0"/>
    <xf numFmtId="192" fontId="145" fillId="0" borderId="0" applyFont="0" applyFill="0" applyBorder="0" applyAlignment="0" applyProtection="0"/>
    <xf numFmtId="237" fontId="145" fillId="0" borderId="0" applyFont="0" applyFill="0" applyBorder="0" applyAlignment="0" applyProtection="0"/>
    <xf numFmtId="0" fontId="145" fillId="0" borderId="0"/>
    <xf numFmtId="0" fontId="5" fillId="0" borderId="0"/>
    <xf numFmtId="201" fontId="147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6" fillId="0" borderId="0"/>
    <xf numFmtId="0" fontId="148" fillId="0" borderId="0"/>
    <xf numFmtId="0" fontId="148" fillId="0" borderId="0"/>
    <xf numFmtId="0" fontId="149" fillId="0" borderId="0"/>
    <xf numFmtId="169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176" fontId="3" fillId="0" borderId="0" applyFont="0" applyFill="0" applyBorder="0" applyAlignment="0" applyProtection="0"/>
    <xf numFmtId="165" fontId="54" fillId="0" borderId="0" applyFont="0" applyFill="0" applyBorder="0" applyAlignment="0" applyProtection="0"/>
    <xf numFmtId="238" fontId="3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229" fontId="155" fillId="0" borderId="0"/>
    <xf numFmtId="229" fontId="155" fillId="0" borderId="0"/>
    <xf numFmtId="0" fontId="155" fillId="0" borderId="0"/>
    <xf numFmtId="0" fontId="13" fillId="0" borderId="0"/>
    <xf numFmtId="229" fontId="13" fillId="0" borderId="0"/>
    <xf numFmtId="22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 applyBorder="0"/>
    <xf numFmtId="0" fontId="13" fillId="0" borderId="0"/>
    <xf numFmtId="0" fontId="13" fillId="0" borderId="0"/>
    <xf numFmtId="0" fontId="13" fillId="0" borderId="0"/>
    <xf numFmtId="0" fontId="13" fillId="0" borderId="0"/>
    <xf numFmtId="229" fontId="13" fillId="0" borderId="0"/>
    <xf numFmtId="229" fontId="43" fillId="0" borderId="0"/>
    <xf numFmtId="229" fontId="46" fillId="0" borderId="0"/>
    <xf numFmtId="0" fontId="43" fillId="0" borderId="0"/>
    <xf numFmtId="0" fontId="43" fillId="0" borderId="0"/>
    <xf numFmtId="0" fontId="181" fillId="0" borderId="0"/>
    <xf numFmtId="0" fontId="184" fillId="0" borderId="0">
      <protection locked="0"/>
    </xf>
    <xf numFmtId="0" fontId="13" fillId="0" borderId="0"/>
    <xf numFmtId="0" fontId="46" fillId="0" borderId="0"/>
    <xf numFmtId="0" fontId="186" fillId="0" borderId="0"/>
    <xf numFmtId="195" fontId="46" fillId="0" borderId="0"/>
    <xf numFmtId="0" fontId="43" fillId="0" borderId="0"/>
    <xf numFmtId="0" fontId="43" fillId="0" borderId="0"/>
    <xf numFmtId="0" fontId="13" fillId="0" borderId="0"/>
    <xf numFmtId="0" fontId="43" fillId="0" borderId="0"/>
    <xf numFmtId="0" fontId="213" fillId="0" borderId="0"/>
  </cellStyleXfs>
  <cellXfs count="2336">
    <xf numFmtId="0" fontId="0" fillId="0" borderId="0" xfId="0"/>
    <xf numFmtId="0" fontId="26" fillId="0" borderId="0" xfId="2362"/>
    <xf numFmtId="0" fontId="1" fillId="0" borderId="0" xfId="2433" applyFont="1"/>
    <xf numFmtId="0" fontId="3" fillId="0" borderId="0" xfId="2433" applyFont="1"/>
    <xf numFmtId="0" fontId="26" fillId="0" borderId="0" xfId="2433"/>
    <xf numFmtId="49" fontId="26" fillId="0" borderId="14" xfId="2433" applyNumberFormat="1" applyBorder="1" applyAlignment="1">
      <alignment horizontal="center" vertical="center" wrapText="1"/>
    </xf>
    <xf numFmtId="0" fontId="26" fillId="0" borderId="0" xfId="2433" applyAlignment="1">
      <alignment horizontal="left" vertical="center"/>
    </xf>
    <xf numFmtId="0" fontId="26" fillId="0" borderId="0" xfId="2433" applyAlignment="1">
      <alignment vertical="top"/>
    </xf>
    <xf numFmtId="0" fontId="1" fillId="0" borderId="0" xfId="2433" applyFont="1" applyAlignment="1">
      <alignment vertical="top"/>
    </xf>
    <xf numFmtId="0" fontId="7" fillId="0" borderId="0" xfId="2433" applyFont="1" applyAlignment="1">
      <alignment horizontal="left" vertical="top"/>
    </xf>
    <xf numFmtId="0" fontId="30" fillId="0" borderId="17" xfId="2362" applyFont="1" applyBorder="1" applyAlignment="1">
      <alignment horizontal="center" vertical="center" wrapText="1"/>
    </xf>
    <xf numFmtId="0" fontId="34" fillId="0" borderId="9" xfId="2362" applyFont="1" applyBorder="1" applyAlignment="1">
      <alignment horizontal="center" vertical="center" wrapText="1"/>
    </xf>
    <xf numFmtId="0" fontId="35" fillId="0" borderId="18" xfId="2362" applyFont="1" applyBorder="1" applyAlignment="1">
      <alignment horizontal="center" vertical="center" wrapText="1"/>
    </xf>
    <xf numFmtId="0" fontId="35" fillId="0" borderId="20" xfId="2362" applyFont="1" applyBorder="1" applyAlignment="1">
      <alignment horizontal="center" vertical="center" wrapText="1"/>
    </xf>
    <xf numFmtId="0" fontId="36" fillId="0" borderId="9" xfId="2362" applyFont="1" applyBorder="1" applyAlignment="1">
      <alignment horizontal="center" vertical="center" wrapText="1"/>
    </xf>
    <xf numFmtId="0" fontId="34" fillId="0" borderId="20" xfId="2362" applyFont="1" applyBorder="1" applyAlignment="1">
      <alignment horizontal="center" vertical="center" wrapText="1"/>
    </xf>
    <xf numFmtId="0" fontId="31" fillId="0" borderId="9" xfId="2362" applyFont="1" applyBorder="1" applyAlignment="1">
      <alignment horizontal="center" vertical="center" wrapText="1"/>
    </xf>
    <xf numFmtId="49" fontId="13" fillId="0" borderId="14" xfId="2433" quotePrefix="1" applyNumberFormat="1" applyFont="1" applyBorder="1" applyAlignment="1">
      <alignment horizontal="center" vertical="center" wrapText="1"/>
    </xf>
    <xf numFmtId="49" fontId="13" fillId="0" borderId="19" xfId="2433" applyNumberFormat="1" applyFont="1" applyBorder="1" applyAlignment="1">
      <alignment horizontal="center" vertical="center" wrapText="1"/>
    </xf>
    <xf numFmtId="0" fontId="13" fillId="0" borderId="80" xfId="3594" applyBorder="1" applyAlignment="1">
      <alignment horizontal="center" vertical="center" wrapText="1"/>
    </xf>
    <xf numFmtId="229" fontId="3" fillId="0" borderId="80" xfId="3595" applyFont="1" applyBorder="1" applyAlignment="1">
      <alignment horizontal="center" vertical="center"/>
    </xf>
    <xf numFmtId="229" fontId="3" fillId="0" borderId="80" xfId="3595" applyFont="1" applyBorder="1" applyAlignment="1">
      <alignment vertical="center"/>
    </xf>
    <xf numFmtId="0" fontId="12" fillId="0" borderId="80" xfId="3595" applyNumberFormat="1" applyFont="1" applyBorder="1" applyAlignment="1">
      <alignment horizontal="center" vertical="center"/>
    </xf>
    <xf numFmtId="0" fontId="10" fillId="0" borderId="80" xfId="3595" applyNumberFormat="1" applyFont="1" applyBorder="1" applyAlignment="1">
      <alignment horizontal="center" vertical="center"/>
    </xf>
    <xf numFmtId="0" fontId="12" fillId="0" borderId="91" xfId="3595" applyNumberFormat="1" applyFont="1" applyBorder="1" applyAlignment="1">
      <alignment horizontal="center" vertical="center"/>
    </xf>
    <xf numFmtId="229" fontId="3" fillId="0" borderId="83" xfId="3595" applyFont="1" applyBorder="1" applyAlignment="1">
      <alignment horizontal="center" vertical="center"/>
    </xf>
    <xf numFmtId="0" fontId="3" fillId="0" borderId="83" xfId="3595" applyNumberFormat="1" applyFont="1" applyBorder="1" applyAlignment="1">
      <alignment horizontal="center" vertical="center"/>
    </xf>
    <xf numFmtId="0" fontId="12" fillId="0" borderId="83" xfId="3595" applyNumberFormat="1" applyFont="1" applyBorder="1" applyAlignment="1">
      <alignment horizontal="center" vertical="center"/>
    </xf>
    <xf numFmtId="0" fontId="12" fillId="0" borderId="86" xfId="3595" applyNumberFormat="1" applyFont="1" applyBorder="1" applyAlignment="1">
      <alignment horizontal="center" vertical="center"/>
    </xf>
    <xf numFmtId="229" fontId="3" fillId="0" borderId="20" xfId="3595" applyFont="1" applyBorder="1" applyAlignment="1">
      <alignment horizontal="center" vertical="center"/>
    </xf>
    <xf numFmtId="229" fontId="3" fillId="2" borderId="88" xfId="3595" applyFont="1" applyFill="1" applyBorder="1" applyAlignment="1">
      <alignment vertical="center"/>
    </xf>
    <xf numFmtId="229" fontId="12" fillId="2" borderId="2" xfId="3595" applyFont="1" applyFill="1" applyBorder="1" applyAlignment="1">
      <alignment vertical="center" wrapText="1"/>
    </xf>
    <xf numFmtId="49" fontId="12" fillId="2" borderId="37" xfId="3595" applyNumberFormat="1" applyFont="1" applyFill="1" applyBorder="1" applyAlignment="1">
      <alignment vertical="center" wrapText="1"/>
    </xf>
    <xf numFmtId="0" fontId="5" fillId="0" borderId="0" xfId="3597" applyFont="1" applyAlignment="1">
      <alignment horizontal="center"/>
    </xf>
    <xf numFmtId="0" fontId="5" fillId="0" borderId="0" xfId="3597" applyFont="1"/>
    <xf numFmtId="0" fontId="23" fillId="0" borderId="0" xfId="3597" applyFont="1" applyAlignment="1">
      <alignment horizontal="left" vertical="center"/>
    </xf>
    <xf numFmtId="0" fontId="39" fillId="0" borderId="0" xfId="3597" applyFont="1"/>
    <xf numFmtId="0" fontId="15" fillId="0" borderId="0" xfId="3597" applyFont="1" applyAlignment="1">
      <alignment horizontal="left"/>
    </xf>
    <xf numFmtId="0" fontId="40" fillId="0" borderId="0" xfId="3597" applyFont="1" applyAlignment="1">
      <alignment horizontal="left"/>
    </xf>
    <xf numFmtId="0" fontId="12" fillId="0" borderId="80" xfId="3594" applyFont="1" applyBorder="1" applyAlignment="1">
      <alignment vertical="center" wrapText="1"/>
    </xf>
    <xf numFmtId="0" fontId="12" fillId="0" borderId="80" xfId="3594" applyFont="1" applyBorder="1" applyAlignment="1">
      <alignment horizontal="center" vertical="center" wrapText="1"/>
    </xf>
    <xf numFmtId="228" fontId="12" fillId="0" borderId="80" xfId="3594" quotePrefix="1" applyNumberFormat="1" applyFont="1" applyBorder="1" applyAlignment="1">
      <alignment horizontal="center" vertical="center" wrapText="1"/>
    </xf>
    <xf numFmtId="0" fontId="13" fillId="0" borderId="0" xfId="3597" applyAlignment="1">
      <alignment horizontal="center" vertical="center"/>
    </xf>
    <xf numFmtId="228" fontId="18" fillId="0" borderId="80" xfId="3594" quotePrefix="1" applyNumberFormat="1" applyFont="1" applyBorder="1" applyAlignment="1">
      <alignment horizontal="center" vertical="center" wrapText="1"/>
    </xf>
    <xf numFmtId="228" fontId="18" fillId="0" borderId="80" xfId="3594" applyNumberFormat="1" applyFont="1" applyBorder="1" applyAlignment="1">
      <alignment horizontal="center" vertical="center" wrapText="1"/>
    </xf>
    <xf numFmtId="49" fontId="18" fillId="0" borderId="80" xfId="3594" quotePrefix="1" applyNumberFormat="1" applyFont="1" applyBorder="1" applyAlignment="1">
      <alignment horizontal="center" vertical="center" wrapText="1"/>
    </xf>
    <xf numFmtId="0" fontId="1" fillId="0" borderId="0" xfId="3594" applyFont="1" applyAlignment="1">
      <alignment horizontal="center" vertical="center" wrapText="1"/>
    </xf>
    <xf numFmtId="0" fontId="1" fillId="0" borderId="0" xfId="3597" applyFont="1" applyAlignment="1">
      <alignment horizontal="center" vertical="center" wrapText="1"/>
    </xf>
    <xf numFmtId="228" fontId="19" fillId="0" borderId="0" xfId="3594" quotePrefix="1" applyNumberFormat="1" applyFont="1" applyAlignment="1">
      <alignment horizontal="center" vertical="center" wrapText="1"/>
    </xf>
    <xf numFmtId="0" fontId="1" fillId="0" borderId="0" xfId="3594" applyFont="1" applyAlignment="1">
      <alignment vertical="center" wrapText="1"/>
    </xf>
    <xf numFmtId="0" fontId="1" fillId="0" borderId="0" xfId="3597" applyFont="1" applyAlignment="1">
      <alignment horizontal="center" wrapText="1"/>
    </xf>
    <xf numFmtId="228" fontId="1" fillId="0" borderId="0" xfId="3597" applyNumberFormat="1" applyFont="1" applyAlignment="1">
      <alignment horizontal="center" wrapText="1"/>
    </xf>
    <xf numFmtId="0" fontId="1" fillId="0" borderId="7" xfId="3594" applyFont="1" applyBorder="1" applyAlignment="1">
      <alignment vertical="center" wrapText="1"/>
    </xf>
    <xf numFmtId="0" fontId="1" fillId="0" borderId="7" xfId="3597" applyFont="1" applyBorder="1" applyAlignment="1">
      <alignment horizontal="center" wrapText="1"/>
    </xf>
    <xf numFmtId="228" fontId="1" fillId="0" borderId="7" xfId="3597" applyNumberFormat="1" applyFont="1" applyBorder="1" applyAlignment="1">
      <alignment horizontal="center" wrapText="1"/>
    </xf>
    <xf numFmtId="0" fontId="13" fillId="0" borderId="0" xfId="3597"/>
    <xf numFmtId="0" fontId="5" fillId="0" borderId="8" xfId="3597" applyFont="1" applyBorder="1"/>
    <xf numFmtId="1" fontId="12" fillId="0" borderId="83" xfId="3595" applyNumberFormat="1" applyFont="1" applyBorder="1" applyAlignment="1">
      <alignment horizontal="center" vertical="center"/>
    </xf>
    <xf numFmtId="0" fontId="13" fillId="2" borderId="2" xfId="3598" applyFill="1" applyBorder="1" applyAlignment="1">
      <alignment horizontal="center" vertical="top"/>
    </xf>
    <xf numFmtId="0" fontId="3" fillId="2" borderId="5" xfId="3598" applyFont="1" applyFill="1" applyBorder="1" applyAlignment="1">
      <alignment horizontal="center" vertical="top"/>
    </xf>
    <xf numFmtId="0" fontId="13" fillId="2" borderId="80" xfId="3599" applyFill="1" applyBorder="1" applyAlignment="1">
      <alignment horizontal="center" vertical="top" wrapText="1"/>
    </xf>
    <xf numFmtId="0" fontId="1" fillId="2" borderId="0" xfId="3599" applyFont="1" applyFill="1" applyAlignment="1">
      <alignment horizontal="center" vertical="top"/>
    </xf>
    <xf numFmtId="0" fontId="13" fillId="2" borderId="14" xfId="3600" applyFill="1" applyBorder="1" applyAlignment="1">
      <alignment horizontal="center" vertical="center" wrapText="1"/>
    </xf>
    <xf numFmtId="0" fontId="13" fillId="0" borderId="14" xfId="3601" applyBorder="1" applyAlignment="1">
      <alignment horizontal="center" vertical="center" wrapText="1"/>
    </xf>
    <xf numFmtId="0" fontId="13" fillId="0" borderId="98" xfId="3601" applyBorder="1" applyAlignment="1">
      <alignment horizontal="center" vertical="center" wrapText="1"/>
    </xf>
    <xf numFmtId="0" fontId="1" fillId="2" borderId="3" xfId="3599" applyFont="1" applyFill="1" applyBorder="1" applyAlignment="1">
      <alignment vertical="top" wrapText="1"/>
    </xf>
    <xf numFmtId="0" fontId="1" fillId="2" borderId="0" xfId="3599" applyFont="1" applyFill="1" applyAlignment="1">
      <alignment vertical="top" wrapText="1"/>
    </xf>
    <xf numFmtId="0" fontId="10" fillId="2" borderId="6" xfId="3599" applyFont="1" applyFill="1" applyBorder="1" applyAlignment="1">
      <alignment vertical="top"/>
    </xf>
    <xf numFmtId="0" fontId="10" fillId="2" borderId="7" xfId="3599" applyFont="1" applyFill="1" applyBorder="1" applyAlignment="1">
      <alignment vertical="top"/>
    </xf>
    <xf numFmtId="0" fontId="1" fillId="2" borderId="7" xfId="3599" applyFont="1" applyFill="1" applyBorder="1" applyAlignment="1">
      <alignment horizontal="left" vertical="top" wrapText="1"/>
    </xf>
    <xf numFmtId="0" fontId="1" fillId="2" borderId="0" xfId="3599" applyFont="1" applyFill="1" applyAlignment="1">
      <alignment horizontal="left" vertical="top" wrapText="1"/>
    </xf>
    <xf numFmtId="0" fontId="1" fillId="0" borderId="0" xfId="3599" applyFont="1" applyAlignment="1">
      <alignment vertical="top"/>
    </xf>
    <xf numFmtId="0" fontId="3" fillId="0" borderId="0" xfId="3599" applyFont="1" applyAlignment="1">
      <alignment vertical="top"/>
    </xf>
    <xf numFmtId="0" fontId="23" fillId="0" borderId="0" xfId="3597" quotePrefix="1" applyFont="1" applyAlignment="1">
      <alignment horizontal="left" vertical="center" wrapText="1"/>
    </xf>
    <xf numFmtId="0" fontId="13" fillId="4" borderId="80" xfId="3594" applyFill="1" applyBorder="1" applyAlignment="1">
      <alignment horizontal="center" vertical="center" wrapText="1"/>
    </xf>
    <xf numFmtId="228" fontId="18" fillId="4" borderId="80" xfId="3594" quotePrefix="1" applyNumberFormat="1" applyFont="1" applyFill="1" applyBorder="1" applyAlignment="1">
      <alignment horizontal="center" vertical="center" wrapText="1"/>
    </xf>
    <xf numFmtId="0" fontId="5" fillId="0" borderId="0" xfId="3597" applyFont="1" applyAlignment="1">
      <alignment horizontal="left" vertical="center"/>
    </xf>
    <xf numFmtId="0" fontId="13" fillId="0" borderId="0" xfId="3603"/>
    <xf numFmtId="0" fontId="1" fillId="0" borderId="0" xfId="3603" applyFont="1"/>
    <xf numFmtId="0" fontId="13" fillId="2" borderId="19" xfId="3603" applyFill="1" applyBorder="1" applyAlignment="1">
      <alignment horizontal="center" vertical="center" wrapText="1"/>
    </xf>
    <xf numFmtId="0" fontId="2" fillId="0" borderId="0" xfId="3603" applyFont="1"/>
    <xf numFmtId="0" fontId="1" fillId="0" borderId="3" xfId="3603" applyFont="1" applyBorder="1" applyAlignment="1">
      <alignment vertical="top"/>
    </xf>
    <xf numFmtId="0" fontId="1" fillId="0" borderId="2" xfId="3603" applyFont="1" applyBorder="1" applyAlignment="1">
      <alignment vertical="top"/>
    </xf>
    <xf numFmtId="0" fontId="3" fillId="0" borderId="0" xfId="3603" applyFont="1"/>
    <xf numFmtId="0" fontId="3" fillId="0" borderId="0" xfId="3603" applyFont="1" applyAlignment="1">
      <alignment vertical="center"/>
    </xf>
    <xf numFmtId="0" fontId="7" fillId="0" borderId="0" xfId="3603" applyFont="1" applyAlignment="1">
      <alignment vertical="top"/>
    </xf>
    <xf numFmtId="0" fontId="12" fillId="0" borderId="0" xfId="3603" applyFont="1" applyAlignment="1">
      <alignment horizontal="left" vertical="top"/>
    </xf>
    <xf numFmtId="0" fontId="3" fillId="0" borderId="0" xfId="3603" applyFont="1" applyAlignment="1">
      <alignment vertical="top"/>
    </xf>
    <xf numFmtId="0" fontId="11" fillId="0" borderId="0" xfId="3603" applyFont="1" applyAlignment="1">
      <alignment horizontal="left" vertical="top"/>
    </xf>
    <xf numFmtId="0" fontId="7" fillId="0" borderId="0" xfId="3603" applyFont="1"/>
    <xf numFmtId="49" fontId="13" fillId="0" borderId="15" xfId="3603" applyNumberFormat="1" applyBorder="1" applyAlignment="1">
      <alignment horizontal="center" vertical="center" wrapText="1"/>
    </xf>
    <xf numFmtId="0" fontId="13" fillId="2" borderId="14" xfId="3603" applyFill="1" applyBorder="1" applyAlignment="1">
      <alignment horizontal="center" vertical="center" wrapText="1"/>
    </xf>
    <xf numFmtId="0" fontId="0" fillId="2" borderId="14" xfId="2720" applyFont="1" applyFill="1" applyBorder="1" applyAlignment="1">
      <alignment horizontal="center" vertical="center" wrapText="1"/>
    </xf>
    <xf numFmtId="0" fontId="3" fillId="0" borderId="0" xfId="3603" applyFont="1" applyAlignment="1">
      <alignment horizontal="left" vertical="top"/>
    </xf>
    <xf numFmtId="0" fontId="26" fillId="0" borderId="14" xfId="2433" applyBorder="1" applyAlignment="1">
      <alignment horizontal="center" vertical="center" wrapText="1"/>
    </xf>
    <xf numFmtId="0" fontId="13" fillId="0" borderId="19" xfId="2433" applyFont="1" applyBorder="1" applyAlignment="1">
      <alignment horizontal="center" vertical="center" wrapText="1"/>
    </xf>
    <xf numFmtId="49" fontId="13" fillId="0" borderId="19" xfId="2433" quotePrefix="1" applyNumberFormat="1" applyFont="1" applyBorder="1" applyAlignment="1">
      <alignment horizontal="center" vertical="center" wrapText="1"/>
    </xf>
    <xf numFmtId="0" fontId="1" fillId="0" borderId="0" xfId="2433" applyFont="1" applyAlignment="1">
      <alignment horizontal="left" vertical="top" wrapText="1"/>
    </xf>
    <xf numFmtId="0" fontId="6" fillId="0" borderId="4" xfId="2433" applyFont="1" applyBorder="1" applyAlignment="1">
      <alignment horizontal="center" vertical="top" wrapText="1"/>
    </xf>
    <xf numFmtId="0" fontId="3" fillId="0" borderId="0" xfId="2433" applyFont="1" applyAlignment="1">
      <alignment horizontal="left" vertical="top"/>
    </xf>
    <xf numFmtId="0" fontId="165" fillId="0" borderId="0" xfId="3597" applyFont="1" applyAlignment="1">
      <alignment horizontal="left" vertical="center"/>
    </xf>
    <xf numFmtId="0" fontId="165" fillId="0" borderId="0" xfId="3597" applyFont="1" applyAlignment="1">
      <alignment horizontal="left" vertical="center" wrapText="1"/>
    </xf>
    <xf numFmtId="0" fontId="3" fillId="0" borderId="7" xfId="2433" applyFont="1" applyBorder="1" applyAlignment="1">
      <alignment vertical="top"/>
    </xf>
    <xf numFmtId="229" fontId="0" fillId="0" borderId="0" xfId="3607" applyFont="1"/>
    <xf numFmtId="229" fontId="0" fillId="0" borderId="4" xfId="3607" applyFont="1" applyBorder="1" applyAlignment="1">
      <alignment horizontal="center"/>
    </xf>
    <xf numFmtId="229" fontId="0" fillId="0" borderId="0" xfId="3607" applyFont="1" applyAlignment="1">
      <alignment horizontal="center"/>
    </xf>
    <xf numFmtId="229" fontId="0" fillId="0" borderId="5" xfId="3607" applyFont="1" applyBorder="1" applyAlignment="1">
      <alignment horizontal="center"/>
    </xf>
    <xf numFmtId="49" fontId="0" fillId="0" borderId="10" xfId="3608" applyNumberFormat="1" applyFont="1" applyBorder="1" applyAlignment="1">
      <alignment horizontal="center" vertical="center" wrapText="1"/>
    </xf>
    <xf numFmtId="229" fontId="0" fillId="0" borderId="0" xfId="3607" applyFont="1" applyAlignment="1">
      <alignment vertical="center"/>
    </xf>
    <xf numFmtId="49" fontId="13" fillId="0" borderId="10" xfId="3608" applyNumberFormat="1" applyFont="1" applyBorder="1" applyAlignment="1">
      <alignment horizontal="center" vertical="center" wrapText="1"/>
    </xf>
    <xf numFmtId="49" fontId="0" fillId="0" borderId="10" xfId="3608" applyNumberFormat="1" applyFont="1" applyBorder="1" applyAlignment="1">
      <alignment horizontal="center" vertical="center"/>
    </xf>
    <xf numFmtId="49" fontId="13" fillId="0" borderId="10" xfId="3608" applyNumberFormat="1" applyFont="1" applyBorder="1" applyAlignment="1">
      <alignment horizontal="center" vertical="center"/>
    </xf>
    <xf numFmtId="49" fontId="0" fillId="0" borderId="80" xfId="3607" applyNumberFormat="1" applyFont="1" applyBorder="1" applyAlignment="1">
      <alignment horizontal="center" vertical="top" wrapText="1"/>
    </xf>
    <xf numFmtId="49" fontId="3" fillId="0" borderId="80" xfId="3607" applyNumberFormat="1" applyFont="1" applyBorder="1" applyAlignment="1">
      <alignment horizontal="center" vertical="top" wrapText="1"/>
    </xf>
    <xf numFmtId="229" fontId="1" fillId="0" borderId="0" xfId="3607" applyFont="1" applyAlignment="1">
      <alignment horizontal="center" vertical="top"/>
    </xf>
    <xf numFmtId="49" fontId="18" fillId="0" borderId="99" xfId="3608" applyNumberFormat="1" applyFont="1" applyBorder="1" applyAlignment="1">
      <alignment horizontal="center" vertical="center" wrapText="1"/>
    </xf>
    <xf numFmtId="49" fontId="18" fillId="0" borderId="99" xfId="3609" applyNumberFormat="1" applyFont="1" applyBorder="1" applyAlignment="1">
      <alignment horizontal="center" vertical="center" wrapText="1"/>
    </xf>
    <xf numFmtId="49" fontId="18" fillId="0" borderId="14" xfId="3608" applyNumberFormat="1" applyFont="1" applyBorder="1" applyAlignment="1">
      <alignment horizontal="center" vertical="center" wrapText="1"/>
    </xf>
    <xf numFmtId="49" fontId="18" fillId="0" borderId="14" xfId="3609" applyNumberFormat="1" applyFont="1" applyBorder="1" applyAlignment="1">
      <alignment horizontal="center" vertical="center" wrapText="1"/>
    </xf>
    <xf numFmtId="229" fontId="1" fillId="0" borderId="0" xfId="3607" applyFont="1"/>
    <xf numFmtId="229" fontId="7" fillId="0" borderId="10" xfId="3607" applyFont="1" applyBorder="1" applyAlignment="1">
      <alignment vertical="top"/>
    </xf>
    <xf numFmtId="229" fontId="7" fillId="0" borderId="11" xfId="3607" applyFont="1" applyBorder="1" applyAlignment="1">
      <alignment vertical="top"/>
    </xf>
    <xf numFmtId="229" fontId="7" fillId="0" borderId="12" xfId="3607" applyFont="1" applyBorder="1" applyAlignment="1">
      <alignment vertical="top"/>
    </xf>
    <xf numFmtId="229" fontId="7" fillId="0" borderId="0" xfId="3607" applyFont="1" applyAlignment="1">
      <alignment vertical="center" wrapText="1"/>
    </xf>
    <xf numFmtId="229" fontId="3" fillId="0" borderId="0" xfId="3607" applyFont="1" applyAlignment="1">
      <alignment vertical="top" wrapText="1"/>
    </xf>
    <xf numFmtId="229" fontId="3" fillId="0" borderId="0" xfId="3607" applyFont="1"/>
    <xf numFmtId="229" fontId="3" fillId="0" borderId="4" xfId="3607" applyFont="1" applyBorder="1" applyAlignment="1">
      <alignment horizontal="left" vertical="top"/>
    </xf>
    <xf numFmtId="229" fontId="3" fillId="0" borderId="0" xfId="3607" applyFont="1" applyAlignment="1">
      <alignment horizontal="left" vertical="top"/>
    </xf>
    <xf numFmtId="229" fontId="3" fillId="0" borderId="5" xfId="3607" applyFont="1" applyBorder="1" applyAlignment="1">
      <alignment horizontal="left" vertical="top"/>
    </xf>
    <xf numFmtId="229" fontId="3" fillId="0" borderId="6" xfId="3607" applyFont="1" applyBorder="1" applyAlignment="1">
      <alignment horizontal="left" vertical="center"/>
    </xf>
    <xf numFmtId="229" fontId="3" fillId="0" borderId="7" xfId="3607" applyFont="1" applyBorder="1" applyAlignment="1">
      <alignment horizontal="left" vertical="center"/>
    </xf>
    <xf numFmtId="229" fontId="3" fillId="0" borderId="7" xfId="3607" applyFont="1" applyBorder="1" applyAlignment="1">
      <alignment horizontal="left" vertical="top"/>
    </xf>
    <xf numFmtId="229" fontId="3" fillId="0" borderId="0" xfId="3607" applyFont="1" applyAlignment="1">
      <alignment vertical="center" wrapText="1"/>
    </xf>
    <xf numFmtId="229" fontId="0" fillId="0" borderId="0" xfId="3607" applyFont="1" applyAlignment="1">
      <alignment wrapText="1"/>
    </xf>
    <xf numFmtId="229" fontId="3" fillId="0" borderId="0" xfId="3607" applyFont="1" applyAlignment="1">
      <alignment horizontal="left" vertical="top" wrapText="1" indent="1"/>
    </xf>
    <xf numFmtId="0" fontId="170" fillId="0" borderId="0" xfId="3601" applyFont="1" applyAlignment="1">
      <alignment horizontal="center" vertical="center"/>
    </xf>
    <xf numFmtId="0" fontId="13" fillId="0" borderId="80" xfId="3601" applyBorder="1" applyAlignment="1">
      <alignment horizontal="center" vertical="center" wrapText="1"/>
    </xf>
    <xf numFmtId="0" fontId="7" fillId="0" borderId="102" xfId="3601" applyFont="1" applyBorder="1" applyAlignment="1">
      <alignment horizontal="center" vertical="center" wrapText="1"/>
    </xf>
    <xf numFmtId="0" fontId="7" fillId="0" borderId="80" xfId="3601" applyFont="1" applyBorder="1" applyAlignment="1">
      <alignment horizontal="center" vertical="center"/>
    </xf>
    <xf numFmtId="0" fontId="12" fillId="0" borderId="80" xfId="3601" applyFont="1" applyBorder="1" applyAlignment="1">
      <alignment horizontal="center" vertical="center" wrapText="1"/>
    </xf>
    <xf numFmtId="0" fontId="172" fillId="0" borderId="102" xfId="3601" applyFont="1" applyBorder="1" applyAlignment="1">
      <alignment horizontal="center" vertical="center" wrapText="1"/>
    </xf>
    <xf numFmtId="0" fontId="170" fillId="0" borderId="80" xfId="3601" applyFont="1" applyBorder="1" applyAlignment="1">
      <alignment horizontal="center" vertical="center" wrapText="1"/>
    </xf>
    <xf numFmtId="0" fontId="3" fillId="0" borderId="80" xfId="3601" applyFont="1" applyBorder="1" applyAlignment="1">
      <alignment horizontal="center" vertical="center" wrapText="1"/>
    </xf>
    <xf numFmtId="0" fontId="3" fillId="0" borderId="80" xfId="3601" quotePrefix="1" applyFont="1" applyBorder="1" applyAlignment="1">
      <alignment horizontal="center" vertical="center" wrapText="1"/>
    </xf>
    <xf numFmtId="0" fontId="172" fillId="0" borderId="102" xfId="3601" applyFont="1" applyBorder="1" applyAlignment="1">
      <alignment horizontal="center" vertical="center"/>
    </xf>
    <xf numFmtId="0" fontId="13" fillId="0" borderId="80" xfId="3601" applyBorder="1" applyAlignment="1">
      <alignment horizontal="center" vertical="center"/>
    </xf>
    <xf numFmtId="0" fontId="7" fillId="0" borderId="102" xfId="3601" applyFont="1" applyBorder="1" applyAlignment="1">
      <alignment horizontal="center" vertical="center"/>
    </xf>
    <xf numFmtId="0" fontId="176" fillId="0" borderId="102" xfId="3601" applyFont="1" applyBorder="1" applyAlignment="1">
      <alignment horizontal="center" vertical="center" wrapText="1"/>
    </xf>
    <xf numFmtId="49" fontId="13" fillId="0" borderId="102" xfId="3601" applyNumberFormat="1" applyBorder="1" applyAlignment="1">
      <alignment horizontal="center" vertical="center" wrapText="1"/>
    </xf>
    <xf numFmtId="0" fontId="13" fillId="0" borderId="0" xfId="3601" applyAlignment="1">
      <alignment horizontal="center" vertical="center"/>
    </xf>
    <xf numFmtId="49" fontId="13" fillId="0" borderId="102" xfId="3601" applyNumberFormat="1" applyBorder="1" applyAlignment="1">
      <alignment vertical="center" wrapText="1"/>
    </xf>
    <xf numFmtId="49" fontId="3" fillId="0" borderId="80" xfId="3601" applyNumberFormat="1" applyFont="1" applyBorder="1" applyAlignment="1">
      <alignment horizontal="center" vertical="center" wrapText="1"/>
    </xf>
    <xf numFmtId="49" fontId="170" fillId="0" borderId="80" xfId="3601" applyNumberFormat="1" applyFont="1" applyBorder="1" applyAlignment="1">
      <alignment vertical="center" wrapText="1"/>
    </xf>
    <xf numFmtId="0" fontId="176" fillId="0" borderId="0" xfId="3601" applyFont="1" applyAlignment="1">
      <alignment horizontal="center" vertical="center"/>
    </xf>
    <xf numFmtId="0" fontId="3" fillId="0" borderId="0" xfId="3601" applyFont="1" applyAlignment="1">
      <alignment horizontal="center" vertical="center"/>
    </xf>
    <xf numFmtId="49" fontId="178" fillId="0" borderId="83" xfId="3601" applyNumberFormat="1" applyFont="1" applyBorder="1" applyAlignment="1">
      <alignment vertical="top"/>
    </xf>
    <xf numFmtId="0" fontId="3" fillId="0" borderId="85" xfId="3601" applyFont="1" applyBorder="1" applyAlignment="1">
      <alignment vertical="top"/>
    </xf>
    <xf numFmtId="0" fontId="3" fillId="0" borderId="77" xfId="3601" applyFont="1" applyBorder="1" applyAlignment="1">
      <alignment vertical="top"/>
    </xf>
    <xf numFmtId="0" fontId="7" fillId="0" borderId="0" xfId="3601" applyFont="1" applyAlignment="1">
      <alignment horizontal="center" vertical="center"/>
    </xf>
    <xf numFmtId="0" fontId="12" fillId="0" borderId="0" xfId="3601" applyFont="1" applyAlignment="1">
      <alignment horizontal="center" vertical="center"/>
    </xf>
    <xf numFmtId="0" fontId="6" fillId="0" borderId="0" xfId="3601" applyFont="1" applyAlignment="1">
      <alignment horizontal="center" vertical="center"/>
    </xf>
    <xf numFmtId="0" fontId="180" fillId="0" borderId="80" xfId="3601" quotePrefix="1" applyFont="1" applyBorder="1" applyAlignment="1">
      <alignment horizontal="center" vertical="center" wrapText="1"/>
    </xf>
    <xf numFmtId="16" fontId="6" fillId="0" borderId="80" xfId="3603" quotePrefix="1" applyNumberFormat="1" applyFont="1" applyBorder="1" applyAlignment="1">
      <alignment horizontal="center"/>
    </xf>
    <xf numFmtId="0" fontId="6" fillId="0" borderId="80" xfId="3603" applyFont="1" applyBorder="1" applyAlignment="1">
      <alignment horizontal="center"/>
    </xf>
    <xf numFmtId="1" fontId="13" fillId="2" borderId="80" xfId="3601" applyNumberFormat="1" applyFill="1" applyBorder="1" applyAlignment="1">
      <alignment horizontal="center" vertical="center"/>
    </xf>
    <xf numFmtId="0" fontId="13" fillId="0" borderId="80" xfId="3601" quotePrefix="1" applyBorder="1" applyAlignment="1">
      <alignment horizontal="center"/>
    </xf>
    <xf numFmtId="0" fontId="13" fillId="0" borderId="80" xfId="3601" applyBorder="1"/>
    <xf numFmtId="0" fontId="13" fillId="0" borderId="80" xfId="0" applyFont="1" applyBorder="1"/>
    <xf numFmtId="0" fontId="13" fillId="0" borderId="80" xfId="3601" applyBorder="1" applyAlignment="1">
      <alignment horizontal="center"/>
    </xf>
    <xf numFmtId="0" fontId="7" fillId="4" borderId="80" xfId="3601" quotePrefix="1" applyFont="1" applyFill="1" applyBorder="1" applyAlignment="1">
      <alignment horizontal="left"/>
    </xf>
    <xf numFmtId="0" fontId="13" fillId="2" borderId="80" xfId="3601" applyFill="1" applyBorder="1"/>
    <xf numFmtId="49" fontId="7" fillId="0" borderId="80" xfId="3606" applyNumberFormat="1" applyFont="1" applyBorder="1" applyAlignment="1">
      <alignment vertical="center" wrapText="1"/>
    </xf>
    <xf numFmtId="49" fontId="13" fillId="0" borderId="80" xfId="3606" applyNumberFormat="1" applyBorder="1" applyAlignment="1">
      <alignment vertical="center" wrapText="1"/>
    </xf>
    <xf numFmtId="49" fontId="168" fillId="0" borderId="5" xfId="3606" applyNumberFormat="1" applyFont="1" applyBorder="1" applyAlignment="1">
      <alignment vertical="center" wrapText="1"/>
    </xf>
    <xf numFmtId="49" fontId="13" fillId="0" borderId="5" xfId="3606" applyNumberFormat="1" applyBorder="1" applyAlignment="1">
      <alignment vertical="center" wrapText="1"/>
    </xf>
    <xf numFmtId="0" fontId="168" fillId="0" borderId="0" xfId="3603" applyFont="1"/>
    <xf numFmtId="0" fontId="7" fillId="0" borderId="80" xfId="3601" quotePrefix="1" applyFont="1" applyBorder="1" applyAlignment="1">
      <alignment horizontal="left"/>
    </xf>
    <xf numFmtId="0" fontId="13" fillId="0" borderId="80" xfId="0" applyFont="1" applyBorder="1" applyAlignment="1">
      <alignment horizontal="center"/>
    </xf>
    <xf numFmtId="0" fontId="7" fillId="0" borderId="80" xfId="0" applyFont="1" applyBorder="1"/>
    <xf numFmtId="0" fontId="170" fillId="0" borderId="80" xfId="0" applyFont="1" applyBorder="1"/>
    <xf numFmtId="49" fontId="168" fillId="0" borderId="80" xfId="3606" applyNumberFormat="1" applyFont="1" applyBorder="1" applyAlignment="1">
      <alignment vertical="center" wrapText="1"/>
    </xf>
    <xf numFmtId="0" fontId="1" fillId="0" borderId="80" xfId="3603" applyFont="1" applyBorder="1"/>
    <xf numFmtId="0" fontId="168" fillId="0" borderId="80" xfId="3603" applyFont="1" applyBorder="1"/>
    <xf numFmtId="0" fontId="36" fillId="0" borderId="92" xfId="3610" applyFont="1" applyBorder="1" applyAlignment="1">
      <alignment vertical="top"/>
    </xf>
    <xf numFmtId="0" fontId="36" fillId="0" borderId="3" xfId="3610" applyFont="1" applyBorder="1" applyAlignment="1">
      <alignment vertical="top"/>
    </xf>
    <xf numFmtId="0" fontId="36" fillId="0" borderId="2" xfId="3610" applyFont="1" applyBorder="1"/>
    <xf numFmtId="0" fontId="36" fillId="0" borderId="0" xfId="3610" applyFont="1"/>
    <xf numFmtId="0" fontId="36" fillId="0" borderId="4" xfId="3610" applyFont="1" applyBorder="1" applyAlignment="1">
      <alignment horizontal="center" vertical="top"/>
    </xf>
    <xf numFmtId="0" fontId="36" fillId="0" borderId="0" xfId="3610" applyFont="1" applyAlignment="1">
      <alignment horizontal="center" vertical="top"/>
    </xf>
    <xf numFmtId="0" fontId="36" fillId="0" borderId="5" xfId="3610" applyFont="1" applyBorder="1" applyAlignment="1">
      <alignment horizontal="center" vertical="top"/>
    </xf>
    <xf numFmtId="0" fontId="34" fillId="0" borderId="7" xfId="2567" applyFont="1" applyBorder="1" applyAlignment="1">
      <alignment vertical="top" wrapText="1"/>
    </xf>
    <xf numFmtId="0" fontId="33" fillId="0" borderId="8" xfId="2567" applyFont="1" applyBorder="1" applyAlignment="1">
      <alignment horizontal="center" vertical="top" wrapText="1"/>
    </xf>
    <xf numFmtId="0" fontId="34" fillId="0" borderId="80" xfId="3613" applyFont="1" applyBorder="1" applyAlignment="1" applyProtection="1">
      <alignment horizontal="center" vertical="center"/>
    </xf>
    <xf numFmtId="0" fontId="34" fillId="0" borderId="90" xfId="3613" applyFont="1" applyBorder="1" applyAlignment="1" applyProtection="1">
      <alignment horizontal="center" vertical="center"/>
    </xf>
    <xf numFmtId="222" fontId="34" fillId="0" borderId="80" xfId="3613" applyNumberFormat="1" applyFont="1" applyBorder="1" applyAlignment="1" applyProtection="1">
      <alignment horizontal="center" vertical="center"/>
    </xf>
    <xf numFmtId="222" fontId="34" fillId="0" borderId="90" xfId="3613" applyNumberFormat="1" applyFont="1" applyBorder="1" applyAlignment="1" applyProtection="1">
      <alignment horizontal="center" vertical="center"/>
    </xf>
    <xf numFmtId="0" fontId="34" fillId="0" borderId="80" xfId="3613" quotePrefix="1" applyFont="1" applyBorder="1" applyAlignment="1" applyProtection="1">
      <alignment horizontal="center" vertical="center"/>
    </xf>
    <xf numFmtId="0" fontId="13" fillId="0" borderId="80" xfId="3613" applyFont="1" applyBorder="1" applyAlignment="1" applyProtection="1">
      <alignment horizontal="center" vertical="center"/>
    </xf>
    <xf numFmtId="0" fontId="13" fillId="0" borderId="90" xfId="3613" applyFont="1" applyBorder="1" applyAlignment="1" applyProtection="1">
      <alignment horizontal="center" vertical="center"/>
    </xf>
    <xf numFmtId="0" fontId="34" fillId="0" borderId="80" xfId="3610" applyFont="1" applyBorder="1" applyAlignment="1">
      <alignment horizontal="center" vertical="top" textRotation="180" wrapText="1"/>
    </xf>
    <xf numFmtId="0" fontId="34" fillId="0" borderId="80" xfId="3610" applyFont="1" applyBorder="1" applyAlignment="1">
      <alignment horizontal="center" vertical="top"/>
    </xf>
    <xf numFmtId="0" fontId="34" fillId="0" borderId="13" xfId="3610" applyFont="1" applyBorder="1" applyAlignment="1">
      <alignment horizontal="center" vertical="center"/>
    </xf>
    <xf numFmtId="0" fontId="34" fillId="0" borderId="13" xfId="3611" applyFont="1" applyBorder="1" applyAlignment="1">
      <alignment horizontal="center" vertical="center"/>
    </xf>
    <xf numFmtId="0" fontId="34" fillId="0" borderId="0" xfId="3610" applyFont="1"/>
    <xf numFmtId="0" fontId="7" fillId="4" borderId="80" xfId="3601" applyFont="1" applyFill="1" applyBorder="1"/>
    <xf numFmtId="0" fontId="170" fillId="0" borderId="80" xfId="3601" applyFont="1" applyBorder="1"/>
    <xf numFmtId="0" fontId="13" fillId="0" borderId="3" xfId="3601" applyBorder="1"/>
    <xf numFmtId="0" fontId="13" fillId="0" borderId="89" xfId="3601" applyBorder="1"/>
    <xf numFmtId="0" fontId="13" fillId="0" borderId="0" xfId="3601" applyAlignment="1">
      <alignment wrapText="1"/>
    </xf>
    <xf numFmtId="0" fontId="7" fillId="0" borderId="0" xfId="3601" applyFont="1" applyAlignment="1">
      <alignment wrapText="1"/>
    </xf>
    <xf numFmtId="0" fontId="13" fillId="0" borderId="0" xfId="3601"/>
    <xf numFmtId="0" fontId="13" fillId="0" borderId="0" xfId="3601" applyAlignment="1">
      <alignment horizontal="center"/>
    </xf>
    <xf numFmtId="0" fontId="7" fillId="0" borderId="0" xfId="3601" applyFont="1"/>
    <xf numFmtId="0" fontId="170" fillId="0" borderId="0" xfId="3601" applyFont="1"/>
    <xf numFmtId="0" fontId="13" fillId="0" borderId="0" xfId="3614" applyAlignment="1">
      <alignment vertical="top"/>
    </xf>
    <xf numFmtId="0" fontId="7" fillId="0" borderId="0" xfId="3615" applyFont="1" applyAlignment="1">
      <alignment vertical="center" wrapText="1"/>
    </xf>
    <xf numFmtId="49" fontId="7" fillId="0" borderId="0" xfId="3606" applyNumberFormat="1" applyFont="1" applyAlignment="1">
      <alignment vertical="center" wrapText="1"/>
    </xf>
    <xf numFmtId="49" fontId="13" fillId="0" borderId="0" xfId="3606" quotePrefix="1" applyNumberFormat="1" applyAlignment="1">
      <alignment vertical="center" wrapText="1"/>
    </xf>
    <xf numFmtId="49" fontId="13" fillId="0" borderId="0" xfId="3606" applyNumberFormat="1" applyAlignment="1">
      <alignment vertical="center" wrapText="1"/>
    </xf>
    <xf numFmtId="49" fontId="168" fillId="0" borderId="0" xfId="3606" applyNumberFormat="1" applyFont="1" applyAlignment="1">
      <alignment vertical="center" wrapText="1"/>
    </xf>
    <xf numFmtId="0" fontId="33" fillId="0" borderId="0" xfId="3610" quotePrefix="1" applyFont="1" applyAlignment="1">
      <alignment vertical="center"/>
    </xf>
    <xf numFmtId="49" fontId="7" fillId="0" borderId="0" xfId="3614" applyNumberFormat="1" applyFont="1" applyAlignment="1">
      <alignment vertical="center" wrapText="1"/>
    </xf>
    <xf numFmtId="0" fontId="7" fillId="0" borderId="0" xfId="3614" applyFont="1" applyAlignment="1">
      <alignment vertical="center" wrapText="1"/>
    </xf>
    <xf numFmtId="0" fontId="180" fillId="0" borderId="0" xfId="3610" applyFont="1"/>
    <xf numFmtId="0" fontId="188" fillId="0" borderId="0" xfId="3616" applyFont="1"/>
    <xf numFmtId="0" fontId="190" fillId="0" borderId="119" xfId="3616" applyFont="1" applyBorder="1" applyAlignment="1">
      <alignment horizontal="center" vertical="center"/>
    </xf>
    <xf numFmtId="0" fontId="190" fillId="0" borderId="120" xfId="3616" applyFont="1" applyBorder="1" applyAlignment="1">
      <alignment horizontal="center" vertical="center"/>
    </xf>
    <xf numFmtId="0" fontId="191" fillId="0" borderId="120" xfId="3616" applyFont="1" applyBorder="1" applyAlignment="1">
      <alignment horizontal="center" vertical="center"/>
    </xf>
    <xf numFmtId="0" fontId="190" fillId="0" borderId="121" xfId="3616" applyFont="1" applyBorder="1" applyAlignment="1">
      <alignment horizontal="center" vertical="center"/>
    </xf>
    <xf numFmtId="0" fontId="188" fillId="0" borderId="122" xfId="3616" applyFont="1" applyBorder="1" applyAlignment="1">
      <alignment horizontal="center" vertical="center"/>
    </xf>
    <xf numFmtId="0" fontId="190" fillId="0" borderId="13" xfId="3616" applyFont="1" applyBorder="1" applyAlignment="1">
      <alignment horizontal="center" vertical="center"/>
    </xf>
    <xf numFmtId="0" fontId="188" fillId="0" borderId="13" xfId="3616" applyFont="1" applyBorder="1" applyAlignment="1">
      <alignment horizontal="center" vertical="center"/>
    </xf>
    <xf numFmtId="195" fontId="188" fillId="0" borderId="13" xfId="3616" applyNumberFormat="1" applyFont="1" applyBorder="1" applyAlignment="1">
      <alignment horizontal="center" vertical="center"/>
    </xf>
    <xf numFmtId="0" fontId="188" fillId="0" borderId="123" xfId="3616" applyFont="1" applyBorder="1" applyAlignment="1">
      <alignment horizontal="center" vertical="center"/>
    </xf>
    <xf numFmtId="14" fontId="188" fillId="0" borderId="124" xfId="3616" applyNumberFormat="1" applyFont="1" applyBorder="1" applyAlignment="1">
      <alignment horizontal="center" vertical="center"/>
    </xf>
    <xf numFmtId="0" fontId="188" fillId="0" borderId="14" xfId="3616" applyFont="1" applyBorder="1" applyAlignment="1">
      <alignment horizontal="center" vertical="center"/>
    </xf>
    <xf numFmtId="0" fontId="190" fillId="0" borderId="14" xfId="3616" applyFont="1" applyBorder="1" applyAlignment="1">
      <alignment horizontal="center" vertical="center"/>
    </xf>
    <xf numFmtId="0" fontId="188" fillId="0" borderId="125" xfId="3616" applyFont="1" applyBorder="1" applyAlignment="1">
      <alignment horizontal="center" vertical="center"/>
    </xf>
    <xf numFmtId="195" fontId="188" fillId="0" borderId="14" xfId="3616" applyNumberFormat="1" applyFont="1" applyBorder="1" applyAlignment="1">
      <alignment horizontal="center" vertical="center"/>
    </xf>
    <xf numFmtId="0" fontId="188" fillId="2" borderId="14" xfId="3616" applyFont="1" applyFill="1" applyBorder="1" applyAlignment="1">
      <alignment horizontal="center" vertical="center"/>
    </xf>
    <xf numFmtId="0" fontId="188" fillId="2" borderId="125" xfId="3616" applyFont="1" applyFill="1" applyBorder="1" applyAlignment="1">
      <alignment horizontal="center" vertical="center"/>
    </xf>
    <xf numFmtId="0" fontId="190" fillId="2" borderId="14" xfId="3616" applyFont="1" applyFill="1" applyBorder="1" applyAlignment="1">
      <alignment horizontal="center" vertical="center"/>
    </xf>
    <xf numFmtId="195" fontId="188" fillId="2" borderId="14" xfId="3616" applyNumberFormat="1" applyFont="1" applyFill="1" applyBorder="1" applyAlignment="1">
      <alignment horizontal="center" vertical="center"/>
    </xf>
    <xf numFmtId="0" fontId="188" fillId="0" borderId="126" xfId="3616" applyFont="1" applyBorder="1" applyAlignment="1">
      <alignment horizontal="center" vertical="center"/>
    </xf>
    <xf numFmtId="0" fontId="190" fillId="0" borderId="127" xfId="3616" applyFont="1" applyBorder="1" applyAlignment="1">
      <alignment horizontal="center" vertical="center"/>
    </xf>
    <xf numFmtId="0" fontId="188" fillId="0" borderId="127" xfId="3616" applyFont="1" applyBorder="1" applyAlignment="1">
      <alignment horizontal="center" vertical="center"/>
    </xf>
    <xf numFmtId="195" fontId="188" fillId="0" borderId="127" xfId="3616" applyNumberFormat="1" applyFont="1" applyBorder="1" applyAlignment="1">
      <alignment horizontal="center" vertical="center"/>
    </xf>
    <xf numFmtId="0" fontId="188" fillId="0" borderId="128" xfId="3616" applyFont="1" applyBorder="1" applyAlignment="1">
      <alignment horizontal="center" vertical="center"/>
    </xf>
    <xf numFmtId="0" fontId="188" fillId="0" borderId="0" xfId="3616" applyFont="1" applyAlignment="1">
      <alignment horizontal="center" vertical="center"/>
    </xf>
    <xf numFmtId="0" fontId="190" fillId="0" borderId="0" xfId="3616" applyFont="1" applyAlignment="1">
      <alignment horizontal="center" vertical="center"/>
    </xf>
    <xf numFmtId="195" fontId="188" fillId="0" borderId="0" xfId="3616" applyNumberFormat="1" applyFont="1" applyAlignment="1">
      <alignment horizontal="center" vertical="center"/>
    </xf>
    <xf numFmtId="0" fontId="190" fillId="2" borderId="119" xfId="3616" applyFont="1" applyFill="1" applyBorder="1" applyAlignment="1">
      <alignment horizontal="center" vertical="center"/>
    </xf>
    <xf numFmtId="0" fontId="190" fillId="2" borderId="120" xfId="3616" applyFont="1" applyFill="1" applyBorder="1" applyAlignment="1">
      <alignment horizontal="center" vertical="center"/>
    </xf>
    <xf numFmtId="0" fontId="191" fillId="2" borderId="120" xfId="3616" applyFont="1" applyFill="1" applyBorder="1" applyAlignment="1">
      <alignment horizontal="center" vertical="center"/>
    </xf>
    <xf numFmtId="0" fontId="190" fillId="2" borderId="121" xfId="3616" applyFont="1" applyFill="1" applyBorder="1" applyAlignment="1">
      <alignment horizontal="center" vertical="center"/>
    </xf>
    <xf numFmtId="0" fontId="188" fillId="2" borderId="122" xfId="3616" applyFont="1" applyFill="1" applyBorder="1" applyAlignment="1">
      <alignment horizontal="center" vertical="center"/>
    </xf>
    <xf numFmtId="0" fontId="190" fillId="2" borderId="13" xfId="3616" applyFont="1" applyFill="1" applyBorder="1" applyAlignment="1">
      <alignment horizontal="center" vertical="center"/>
    </xf>
    <xf numFmtId="0" fontId="188" fillId="2" borderId="13" xfId="3616" applyFont="1" applyFill="1" applyBorder="1" applyAlignment="1">
      <alignment horizontal="center" vertical="center"/>
    </xf>
    <xf numFmtId="0" fontId="192" fillId="2" borderId="123" xfId="3616" applyFont="1" applyFill="1" applyBorder="1" applyAlignment="1">
      <alignment horizontal="center" vertical="center"/>
    </xf>
    <xf numFmtId="14" fontId="192" fillId="2" borderId="124" xfId="3616" quotePrefix="1" applyNumberFormat="1" applyFont="1" applyFill="1" applyBorder="1" applyAlignment="1">
      <alignment horizontal="center" vertical="center"/>
    </xf>
    <xf numFmtId="0" fontId="192" fillId="2" borderId="14" xfId="3616" applyFont="1" applyFill="1" applyBorder="1" applyAlignment="1">
      <alignment horizontal="center" vertical="center"/>
    </xf>
    <xf numFmtId="0" fontId="188" fillId="2" borderId="126" xfId="3616" applyFont="1" applyFill="1" applyBorder="1" applyAlignment="1">
      <alignment horizontal="center" vertical="center"/>
    </xf>
    <xf numFmtId="0" fontId="190" fillId="2" borderId="127" xfId="3616" applyFont="1" applyFill="1" applyBorder="1" applyAlignment="1">
      <alignment horizontal="center" vertical="center"/>
    </xf>
    <xf numFmtId="0" fontId="188" fillId="2" borderId="127" xfId="3616" applyFont="1" applyFill="1" applyBorder="1" applyAlignment="1">
      <alignment horizontal="center" vertical="center"/>
    </xf>
    <xf numFmtId="195" fontId="188" fillId="2" borderId="127" xfId="3616" applyNumberFormat="1" applyFont="1" applyFill="1" applyBorder="1" applyAlignment="1">
      <alignment horizontal="center" vertical="center"/>
    </xf>
    <xf numFmtId="0" fontId="193" fillId="0" borderId="122" xfId="3616" applyFont="1" applyBorder="1" applyAlignment="1">
      <alignment horizontal="center" vertical="center"/>
    </xf>
    <xf numFmtId="0" fontId="193" fillId="0" borderId="13" xfId="3616" applyFont="1" applyBorder="1" applyAlignment="1">
      <alignment horizontal="center" vertical="center"/>
    </xf>
    <xf numFmtId="0" fontId="192" fillId="0" borderId="14" xfId="3616" applyFont="1" applyBorder="1" applyAlignment="1">
      <alignment horizontal="center" vertical="center"/>
    </xf>
    <xf numFmtId="14" fontId="192" fillId="0" borderId="124" xfId="3616" quotePrefix="1" applyNumberFormat="1" applyFont="1" applyBorder="1" applyAlignment="1">
      <alignment horizontal="center" vertical="center"/>
    </xf>
    <xf numFmtId="0" fontId="193" fillId="0" borderId="126" xfId="3616" applyFont="1" applyBorder="1" applyAlignment="1">
      <alignment horizontal="center" vertical="center"/>
    </xf>
    <xf numFmtId="0" fontId="194" fillId="0" borderId="127" xfId="3616" applyFont="1" applyBorder="1" applyAlignment="1">
      <alignment horizontal="center" vertical="center"/>
    </xf>
    <xf numFmtId="0" fontId="193" fillId="0" borderId="127" xfId="3616" applyFont="1" applyBorder="1" applyAlignment="1">
      <alignment horizontal="center" vertical="center"/>
    </xf>
    <xf numFmtId="0" fontId="188" fillId="0" borderId="129" xfId="3616" quotePrefix="1" applyFont="1" applyBorder="1" applyAlignment="1">
      <alignment horizontal="center" vertical="center"/>
    </xf>
    <xf numFmtId="0" fontId="188" fillId="2" borderId="0" xfId="3616" applyFont="1" applyFill="1"/>
    <xf numFmtId="0" fontId="190" fillId="2" borderId="127" xfId="3616" applyFont="1" applyFill="1" applyBorder="1" applyAlignment="1">
      <alignment horizontal="center" vertical="center" wrapText="1"/>
    </xf>
    <xf numFmtId="0" fontId="188" fillId="2" borderId="122" xfId="3616" applyFont="1" applyFill="1" applyBorder="1" applyAlignment="1">
      <alignment horizontal="center" vertical="center" wrapText="1"/>
    </xf>
    <xf numFmtId="0" fontId="190" fillId="2" borderId="13" xfId="3616" applyFont="1" applyFill="1" applyBorder="1" applyAlignment="1">
      <alignment horizontal="left" vertical="center" wrapText="1"/>
    </xf>
    <xf numFmtId="0" fontId="192" fillId="2" borderId="13" xfId="3616" applyFont="1" applyFill="1" applyBorder="1" applyAlignment="1">
      <alignment horizontal="center" vertical="center" wrapText="1"/>
    </xf>
    <xf numFmtId="0" fontId="188" fillId="2" borderId="13" xfId="3616" applyFont="1" applyFill="1" applyBorder="1" applyAlignment="1">
      <alignment horizontal="center" vertical="center" wrapText="1"/>
    </xf>
    <xf numFmtId="0" fontId="188" fillId="2" borderId="132" xfId="3616" applyFont="1" applyFill="1" applyBorder="1" applyAlignment="1">
      <alignment horizontal="center" vertical="center" wrapText="1"/>
    </xf>
    <xf numFmtId="0" fontId="188" fillId="2" borderId="125" xfId="3616" applyFont="1" applyFill="1" applyBorder="1" applyAlignment="1">
      <alignment horizontal="center" vertical="center" wrapText="1"/>
    </xf>
    <xf numFmtId="0" fontId="190" fillId="2" borderId="14" xfId="3616" applyFont="1" applyFill="1" applyBorder="1" applyAlignment="1">
      <alignment horizontal="left" vertical="center" wrapText="1"/>
    </xf>
    <xf numFmtId="0" fontId="188" fillId="2" borderId="14" xfId="3616" applyFont="1" applyFill="1" applyBorder="1" applyAlignment="1">
      <alignment horizontal="center" vertical="center" wrapText="1"/>
    </xf>
    <xf numFmtId="0" fontId="188" fillId="2" borderId="14" xfId="3616" quotePrefix="1" applyFont="1" applyFill="1" applyBorder="1" applyAlignment="1">
      <alignment horizontal="left" vertical="center" wrapText="1"/>
    </xf>
    <xf numFmtId="0" fontId="188" fillId="2" borderId="133" xfId="3616" applyFont="1" applyFill="1" applyBorder="1" applyAlignment="1">
      <alignment horizontal="center" vertical="center" wrapText="1"/>
    </xf>
    <xf numFmtId="0" fontId="192" fillId="2" borderId="14" xfId="3616" applyFont="1" applyFill="1" applyBorder="1" applyAlignment="1">
      <alignment horizontal="center" vertical="center" wrapText="1"/>
    </xf>
    <xf numFmtId="0" fontId="188" fillId="0" borderId="125" xfId="3616" applyFont="1" applyBorder="1" applyAlignment="1">
      <alignment horizontal="center" vertical="center" wrapText="1"/>
    </xf>
    <xf numFmtId="0" fontId="190" fillId="0" borderId="14" xfId="3616" applyFont="1" applyBorder="1" applyAlignment="1">
      <alignment horizontal="left" vertical="center" wrapText="1"/>
    </xf>
    <xf numFmtId="0" fontId="188" fillId="0" borderId="14" xfId="3616" applyFont="1" applyBorder="1" applyAlignment="1">
      <alignment horizontal="center" vertical="center" wrapText="1"/>
    </xf>
    <xf numFmtId="0" fontId="188" fillId="0" borderId="133" xfId="3616" applyFont="1" applyBorder="1" applyAlignment="1">
      <alignment horizontal="center" vertical="center" wrapText="1"/>
    </xf>
    <xf numFmtId="0" fontId="3" fillId="0" borderId="92" xfId="3597" applyFont="1" applyBorder="1" applyAlignment="1">
      <alignment vertical="top"/>
    </xf>
    <xf numFmtId="0" fontId="3" fillId="0" borderId="0" xfId="3597" applyFont="1" applyAlignment="1">
      <alignment vertical="top"/>
    </xf>
    <xf numFmtId="0" fontId="3" fillId="0" borderId="4" xfId="3597" applyFont="1" applyBorder="1" applyAlignment="1">
      <alignment vertical="top"/>
    </xf>
    <xf numFmtId="0" fontId="13" fillId="0" borderId="8" xfId="3597" applyBorder="1" applyAlignment="1">
      <alignment horizontal="center" vertical="top" wrapText="1"/>
    </xf>
    <xf numFmtId="0" fontId="13" fillId="0" borderId="88" xfId="3597" applyBorder="1" applyAlignment="1">
      <alignment horizontal="center" vertical="top" wrapText="1"/>
    </xf>
    <xf numFmtId="0" fontId="13" fillId="0" borderId="8" xfId="3597" quotePrefix="1" applyBorder="1" applyAlignment="1">
      <alignment horizontal="center" vertical="center" wrapText="1"/>
    </xf>
    <xf numFmtId="0" fontId="0" fillId="0" borderId="94" xfId="3597" applyFont="1" applyBorder="1" applyAlignment="1">
      <alignment horizontal="center" vertical="center"/>
    </xf>
    <xf numFmtId="0" fontId="13" fillId="0" borderId="92" xfId="3597" applyBorder="1" applyAlignment="1">
      <alignment horizontal="center" vertical="center"/>
    </xf>
    <xf numFmtId="0" fontId="13" fillId="0" borderId="94" xfId="3597" applyBorder="1" applyAlignment="1">
      <alignment horizontal="center" vertical="center"/>
    </xf>
    <xf numFmtId="0" fontId="3" fillId="0" borderId="80" xfId="3597" applyFont="1" applyBorder="1" applyAlignment="1">
      <alignment horizontal="center" vertical="center" wrapText="1"/>
    </xf>
    <xf numFmtId="0" fontId="13" fillId="0" borderId="88" xfId="3597" applyBorder="1" applyAlignment="1">
      <alignment horizontal="center" vertical="center"/>
    </xf>
    <xf numFmtId="49" fontId="13" fillId="0" borderId="80" xfId="3597" applyNumberFormat="1" applyBorder="1" applyAlignment="1">
      <alignment horizontal="center" vertical="center"/>
    </xf>
    <xf numFmtId="0" fontId="13" fillId="0" borderId="80" xfId="3597" applyBorder="1" applyAlignment="1">
      <alignment horizontal="center" vertical="top" wrapText="1"/>
    </xf>
    <xf numFmtId="0" fontId="3" fillId="0" borderId="80" xfId="3597" applyFont="1" applyBorder="1" applyAlignment="1">
      <alignment horizontal="center" vertical="top" wrapText="1"/>
    </xf>
    <xf numFmtId="0" fontId="1" fillId="0" borderId="0" xfId="3597" applyFont="1" applyAlignment="1">
      <alignment horizontal="center" vertical="top"/>
    </xf>
    <xf numFmtId="0" fontId="18" fillId="0" borderId="14" xfId="3597" applyFont="1" applyBorder="1" applyAlignment="1">
      <alignment horizontal="center" vertical="center" wrapText="1"/>
    </xf>
    <xf numFmtId="1" fontId="18" fillId="0" borderId="14" xfId="3597" applyNumberFormat="1" applyFont="1" applyBorder="1" applyAlignment="1">
      <alignment horizontal="center" vertical="center" wrapText="1"/>
    </xf>
    <xf numFmtId="0" fontId="18" fillId="0" borderId="14" xfId="3615" applyFont="1" applyBorder="1" applyAlignment="1">
      <alignment horizontal="center" vertical="center" wrapText="1"/>
    </xf>
    <xf numFmtId="0" fontId="196" fillId="0" borderId="0" xfId="3597" applyFont="1"/>
    <xf numFmtId="0" fontId="18" fillId="0" borderId="134" xfId="3597" applyFont="1" applyBorder="1" applyAlignment="1">
      <alignment horizontal="center" vertical="center" wrapText="1"/>
    </xf>
    <xf numFmtId="1" fontId="18" fillId="0" borderId="134" xfId="3597" applyNumberFormat="1" applyFont="1" applyBorder="1" applyAlignment="1">
      <alignment horizontal="center" vertical="center" wrapText="1"/>
    </xf>
    <xf numFmtId="0" fontId="18" fillId="0" borderId="134" xfId="3615" applyFont="1" applyBorder="1" applyAlignment="1">
      <alignment horizontal="center" vertical="center" wrapText="1"/>
    </xf>
    <xf numFmtId="0" fontId="1" fillId="0" borderId="0" xfId="3597" applyFont="1"/>
    <xf numFmtId="0" fontId="7" fillId="0" borderId="3" xfId="3597" applyFont="1" applyBorder="1" applyAlignment="1">
      <alignment vertical="top"/>
    </xf>
    <xf numFmtId="0" fontId="3" fillId="0" borderId="0" xfId="3597" applyFont="1" applyAlignment="1">
      <alignment horizontal="left" vertical="top"/>
    </xf>
    <xf numFmtId="0" fontId="3" fillId="0" borderId="0" xfId="3597" applyFont="1"/>
    <xf numFmtId="0" fontId="3" fillId="0" borderId="7" xfId="3597" applyFont="1" applyBorder="1" applyAlignment="1">
      <alignment horizontal="left" vertical="center"/>
    </xf>
    <xf numFmtId="0" fontId="3" fillId="0" borderId="7" xfId="3597" applyFont="1" applyBorder="1" applyAlignment="1">
      <alignment vertical="top"/>
    </xf>
    <xf numFmtId="0" fontId="3" fillId="0" borderId="8" xfId="3597" applyFont="1" applyBorder="1" applyAlignment="1">
      <alignment vertical="top"/>
    </xf>
    <xf numFmtId="0" fontId="13" fillId="0" borderId="0" xfId="3597" applyAlignment="1">
      <alignment wrapText="1"/>
    </xf>
    <xf numFmtId="0" fontId="3" fillId="0" borderId="0" xfId="3597" applyFont="1" applyAlignment="1">
      <alignment horizontal="left" vertical="top" wrapText="1" indent="1"/>
    </xf>
    <xf numFmtId="0" fontId="5" fillId="0" borderId="0" xfId="3597" applyFont="1" applyAlignment="1">
      <alignment vertical="top" wrapText="1"/>
    </xf>
    <xf numFmtId="0" fontId="13" fillId="0" borderId="0" xfId="3597" applyAlignment="1">
      <alignment horizontal="left" vertical="top" wrapText="1"/>
    </xf>
    <xf numFmtId="0" fontId="1" fillId="0" borderId="0" xfId="3597" applyFont="1" applyAlignment="1">
      <alignment vertical="top" wrapText="1"/>
    </xf>
    <xf numFmtId="49" fontId="3" fillId="0" borderId="99" xfId="3597" applyNumberFormat="1" applyFont="1" applyBorder="1" applyAlignment="1">
      <alignment horizontal="center" vertical="center" wrapText="1"/>
    </xf>
    <xf numFmtId="49" fontId="13" fillId="0" borderId="99" xfId="3597" applyNumberFormat="1" applyBorder="1" applyAlignment="1">
      <alignment horizontal="center" wrapText="1"/>
    </xf>
    <xf numFmtId="49" fontId="3" fillId="0" borderId="14" xfId="3597" applyNumberFormat="1" applyFont="1" applyBorder="1" applyAlignment="1">
      <alignment horizontal="center" vertical="center" wrapText="1"/>
    </xf>
    <xf numFmtId="0" fontId="3" fillId="0" borderId="109" xfId="3597" applyFont="1" applyBorder="1" applyAlignment="1">
      <alignment vertical="center" wrapText="1"/>
    </xf>
    <xf numFmtId="0" fontId="3" fillId="0" borderId="110" xfId="3597" applyFont="1" applyBorder="1" applyAlignment="1">
      <alignment vertical="center" wrapText="1"/>
    </xf>
    <xf numFmtId="49" fontId="13" fillId="0" borderId="14" xfId="3597" applyNumberFormat="1" applyBorder="1" applyAlignment="1">
      <alignment horizontal="center" vertical="center" wrapText="1"/>
    </xf>
    <xf numFmtId="0" fontId="1" fillId="0" borderId="14" xfId="3597" applyFont="1" applyBorder="1" applyAlignment="1">
      <alignment horizontal="center" vertical="center" wrapText="1"/>
    </xf>
    <xf numFmtId="0" fontId="3" fillId="0" borderId="22" xfId="3597" applyFont="1" applyBorder="1" applyAlignment="1">
      <alignment vertical="center" wrapText="1"/>
    </xf>
    <xf numFmtId="0" fontId="3" fillId="0" borderId="23" xfId="3597" applyFont="1" applyBorder="1" applyAlignment="1">
      <alignment vertical="center" wrapText="1"/>
    </xf>
    <xf numFmtId="0" fontId="7" fillId="0" borderId="80" xfId="3597" applyFont="1" applyBorder="1" applyAlignment="1">
      <alignment vertical="top"/>
    </xf>
    <xf numFmtId="0" fontId="7" fillId="0" borderId="0" xfId="3597" applyFont="1" applyAlignment="1">
      <alignment vertical="center" wrapText="1"/>
    </xf>
    <xf numFmtId="0" fontId="3" fillId="0" borderId="80" xfId="3597" applyFont="1" applyBorder="1" applyAlignment="1">
      <alignment vertical="top"/>
    </xf>
    <xf numFmtId="0" fontId="3" fillId="0" borderId="0" xfId="3597" applyFont="1" applyAlignment="1">
      <alignment vertical="top" wrapText="1"/>
    </xf>
    <xf numFmtId="0" fontId="3" fillId="0" borderId="0" xfId="3597" applyFont="1" applyAlignment="1">
      <alignment vertical="center" wrapText="1"/>
    </xf>
    <xf numFmtId="0" fontId="6" fillId="0" borderId="3" xfId="3597" applyFont="1" applyBorder="1" applyAlignment="1">
      <alignment vertical="top" wrapText="1"/>
    </xf>
    <xf numFmtId="0" fontId="6" fillId="0" borderId="92" xfId="3597" applyFont="1" applyBorder="1" applyAlignment="1">
      <alignment vertical="top"/>
    </xf>
    <xf numFmtId="0" fontId="6" fillId="0" borderId="3" xfId="3597" applyFont="1" applyBorder="1" applyAlignment="1">
      <alignment vertical="top"/>
    </xf>
    <xf numFmtId="0" fontId="6" fillId="0" borderId="2" xfId="3597" applyFont="1" applyBorder="1" applyAlignment="1">
      <alignment vertical="top"/>
    </xf>
    <xf numFmtId="0" fontId="1" fillId="0" borderId="0" xfId="3597" applyFont="1" applyAlignment="1">
      <alignment horizontal="left" vertical="top" wrapText="1"/>
    </xf>
    <xf numFmtId="0" fontId="13" fillId="0" borderId="0" xfId="3597" applyAlignment="1">
      <alignment horizontal="center" vertical="top" wrapText="1"/>
    </xf>
    <xf numFmtId="0" fontId="13" fillId="0" borderId="7" xfId="3597" applyBorder="1" applyAlignment="1">
      <alignment vertical="center" wrapText="1"/>
    </xf>
    <xf numFmtId="0" fontId="13" fillId="0" borderId="3" xfId="3597" applyBorder="1" applyAlignment="1">
      <alignment vertical="top" wrapText="1"/>
    </xf>
    <xf numFmtId="0" fontId="1" fillId="0" borderId="7" xfId="3597" applyFont="1" applyBorder="1" applyAlignment="1">
      <alignment vertical="top" wrapText="1"/>
    </xf>
    <xf numFmtId="49" fontId="34" fillId="0" borderId="14" xfId="3597" applyNumberFormat="1" applyFont="1" applyBorder="1" applyAlignment="1">
      <alignment horizontal="center" vertical="center" wrapText="1"/>
    </xf>
    <xf numFmtId="0" fontId="34" fillId="0" borderId="14" xfId="2720" applyFont="1" applyBorder="1" applyAlignment="1">
      <alignment horizontal="center" vertical="center" wrapText="1"/>
    </xf>
    <xf numFmtId="0" fontId="199" fillId="0" borderId="0" xfId="3597" applyFont="1"/>
    <xf numFmtId="0" fontId="199" fillId="0" borderId="14" xfId="2720" applyFont="1" applyBorder="1" applyAlignment="1">
      <alignment horizontal="center" vertical="center" wrapText="1"/>
    </xf>
    <xf numFmtId="49" fontId="199" fillId="0" borderId="14" xfId="3597" applyNumberFormat="1" applyFont="1" applyBorder="1" applyAlignment="1">
      <alignment horizontal="center" vertical="center" wrapText="1"/>
    </xf>
    <xf numFmtId="0" fontId="3" fillId="0" borderId="6" xfId="3597" applyFont="1" applyBorder="1" applyAlignment="1">
      <alignment vertical="center"/>
    </xf>
    <xf numFmtId="0" fontId="13" fillId="0" borderId="7" xfId="3597" applyBorder="1"/>
    <xf numFmtId="0" fontId="6" fillId="0" borderId="6" xfId="3597" applyFont="1" applyBorder="1" applyAlignment="1">
      <alignment horizontal="left" vertical="top" wrapText="1"/>
    </xf>
    <xf numFmtId="0" fontId="6" fillId="0" borderId="7" xfId="3597" applyFont="1" applyBorder="1" applyAlignment="1">
      <alignment horizontal="left" vertical="top" wrapText="1"/>
    </xf>
    <xf numFmtId="0" fontId="6" fillId="0" borderId="8" xfId="3597" applyFont="1" applyBorder="1" applyAlignment="1">
      <alignment horizontal="left" vertical="top" wrapText="1"/>
    </xf>
    <xf numFmtId="0" fontId="43" fillId="0" borderId="0" xfId="3618"/>
    <xf numFmtId="0" fontId="20" fillId="0" borderId="89" xfId="3618" applyFont="1" applyBorder="1" applyAlignment="1">
      <alignment horizontal="justify" wrapText="1"/>
    </xf>
    <xf numFmtId="0" fontId="20" fillId="0" borderId="90" xfId="3618" applyFont="1" applyBorder="1" applyAlignment="1">
      <alignment horizontal="justify" wrapText="1"/>
    </xf>
    <xf numFmtId="0" fontId="20" fillId="0" borderId="80" xfId="3618" applyFont="1" applyBorder="1" applyAlignment="1">
      <alignment horizontal="center" wrapText="1"/>
    </xf>
    <xf numFmtId="0" fontId="20" fillId="0" borderId="80" xfId="3618" applyFont="1" applyBorder="1" applyAlignment="1">
      <alignment horizontal="center"/>
    </xf>
    <xf numFmtId="16" fontId="20" fillId="0" borderId="80" xfId="3618" quotePrefix="1" applyNumberFormat="1" applyFont="1" applyBorder="1" applyAlignment="1">
      <alignment horizontal="center" wrapText="1"/>
    </xf>
    <xf numFmtId="0" fontId="20" fillId="0" borderId="4" xfId="3618" applyFont="1" applyBorder="1" applyAlignment="1">
      <alignment horizontal="justify" wrapText="1"/>
    </xf>
    <xf numFmtId="0" fontId="20" fillId="0" borderId="0" xfId="3618" applyFont="1" applyAlignment="1">
      <alignment horizontal="justify" wrapText="1"/>
    </xf>
    <xf numFmtId="0" fontId="20" fillId="0" borderId="0" xfId="3618" applyFont="1" applyAlignment="1">
      <alignment horizontal="justify"/>
    </xf>
    <xf numFmtId="0" fontId="20" fillId="0" borderId="5" xfId="3618" applyFont="1" applyBorder="1" applyAlignment="1">
      <alignment horizontal="justify"/>
    </xf>
    <xf numFmtId="0" fontId="20" fillId="0" borderId="6" xfId="3618" applyFont="1" applyBorder="1" applyAlignment="1">
      <alignment horizontal="justify" wrapText="1"/>
    </xf>
    <xf numFmtId="0" fontId="43" fillId="0" borderId="0" xfId="3618" applyAlignment="1">
      <alignment wrapText="1"/>
    </xf>
    <xf numFmtId="0" fontId="207" fillId="0" borderId="0" xfId="3618" applyFont="1" applyAlignment="1">
      <alignment horizontal="justify"/>
    </xf>
    <xf numFmtId="0" fontId="180" fillId="0" borderId="89" xfId="3618" applyFont="1" applyBorder="1" applyAlignment="1">
      <alignment horizontal="justify" vertical="center" wrapText="1"/>
    </xf>
    <xf numFmtId="0" fontId="20" fillId="0" borderId="88" xfId="3619" applyFont="1" applyBorder="1" applyAlignment="1">
      <alignment horizontal="left" vertical="center" wrapText="1"/>
    </xf>
    <xf numFmtId="0" fontId="20" fillId="0" borderId="88" xfId="3618" applyFont="1" applyBorder="1" applyAlignment="1">
      <alignment horizontal="left" vertical="center" wrapText="1"/>
    </xf>
    <xf numFmtId="0" fontId="180" fillId="0" borderId="89" xfId="3618" applyFont="1" applyBorder="1" applyAlignment="1">
      <alignment vertical="center" wrapText="1"/>
    </xf>
    <xf numFmtId="0" fontId="156" fillId="0" borderId="0" xfId="3601" applyFont="1" applyAlignment="1">
      <alignment vertical="center"/>
    </xf>
    <xf numFmtId="0" fontId="7" fillId="0" borderId="29" xfId="3601" applyFont="1" applyBorder="1" applyAlignment="1">
      <alignment horizontal="center" vertical="center"/>
    </xf>
    <xf numFmtId="0" fontId="13" fillId="0" borderId="29" xfId="3601" applyBorder="1" applyAlignment="1">
      <alignment vertical="center"/>
    </xf>
    <xf numFmtId="0" fontId="13" fillId="0" borderId="6" xfId="3601" applyBorder="1" applyAlignment="1">
      <alignment vertical="center"/>
    </xf>
    <xf numFmtId="0" fontId="13" fillId="0" borderId="7" xfId="3601" applyBorder="1" applyAlignment="1">
      <alignment vertical="center"/>
    </xf>
    <xf numFmtId="0" fontId="156" fillId="0" borderId="0" xfId="3601" applyFont="1" applyAlignment="1">
      <alignment horizontal="center" vertical="center"/>
    </xf>
    <xf numFmtId="0" fontId="3" fillId="0" borderId="78" xfId="3601" applyFont="1" applyBorder="1" applyAlignment="1">
      <alignment vertical="center"/>
    </xf>
    <xf numFmtId="0" fontId="3" fillId="0" borderId="79" xfId="3601" applyFont="1" applyBorder="1" applyAlignment="1">
      <alignment horizontal="center" vertical="center"/>
    </xf>
    <xf numFmtId="0" fontId="3" fillId="0" borderId="80" xfId="3601" applyFont="1" applyBorder="1" applyAlignment="1">
      <alignment horizontal="center" vertical="center"/>
    </xf>
    <xf numFmtId="0" fontId="3" fillId="0" borderId="83" xfId="3601" applyFont="1" applyBorder="1" applyAlignment="1">
      <alignment horizontal="center" vertical="center"/>
    </xf>
    <xf numFmtId="0" fontId="3" fillId="0" borderId="39" xfId="3601" applyFont="1" applyBorder="1" applyAlignment="1">
      <alignment horizontal="center" vertical="center"/>
    </xf>
    <xf numFmtId="0" fontId="12" fillId="0" borderId="3" xfId="3601" applyFont="1" applyBorder="1" applyAlignment="1">
      <alignment vertical="center"/>
    </xf>
    <xf numFmtId="0" fontId="12" fillId="0" borderId="38" xfId="3601" applyFont="1" applyBorder="1" applyAlignment="1">
      <alignment vertical="center"/>
    </xf>
    <xf numFmtId="0" fontId="3" fillId="0" borderId="94" xfId="3601" applyFont="1" applyBorder="1" applyAlignment="1">
      <alignment horizontal="center" vertical="center"/>
    </xf>
    <xf numFmtId="0" fontId="3" fillId="0" borderId="33" xfId="3601" applyFont="1" applyBorder="1" applyAlignment="1">
      <alignment horizontal="center" vertical="center"/>
    </xf>
    <xf numFmtId="0" fontId="13" fillId="0" borderId="28" xfId="3601" applyBorder="1" applyAlignment="1">
      <alignment vertical="center"/>
    </xf>
    <xf numFmtId="0" fontId="13" fillId="0" borderId="41" xfId="3601" applyBorder="1" applyAlignment="1">
      <alignment vertical="center"/>
    </xf>
    <xf numFmtId="0" fontId="13" fillId="0" borderId="50" xfId="3601" applyBorder="1" applyAlignment="1">
      <alignment vertical="center"/>
    </xf>
    <xf numFmtId="0" fontId="12" fillId="0" borderId="80" xfId="3601" applyFont="1" applyBorder="1" applyAlignment="1">
      <alignment horizontal="left" vertical="center"/>
    </xf>
    <xf numFmtId="0" fontId="3" fillId="2" borderId="80" xfId="3601" applyFont="1" applyFill="1" applyBorder="1" applyAlignment="1">
      <alignment horizontal="center" vertical="center"/>
    </xf>
    <xf numFmtId="3" fontId="3" fillId="2" borderId="80" xfId="3601" applyNumberFormat="1" applyFont="1" applyFill="1" applyBorder="1" applyAlignment="1">
      <alignment horizontal="center" vertical="center"/>
    </xf>
    <xf numFmtId="14" fontId="3" fillId="2" borderId="80" xfId="3601" quotePrefix="1" applyNumberFormat="1" applyFont="1" applyFill="1" applyBorder="1" applyAlignment="1">
      <alignment horizontal="center" vertical="center"/>
    </xf>
    <xf numFmtId="0" fontId="162" fillId="2" borderId="80" xfId="3601" applyFont="1" applyFill="1" applyBorder="1" applyAlignment="1">
      <alignment horizontal="center" vertical="center"/>
    </xf>
    <xf numFmtId="9" fontId="3" fillId="2" borderId="80" xfId="3601" applyNumberFormat="1" applyFont="1" applyFill="1" applyBorder="1" applyAlignment="1">
      <alignment horizontal="center" vertical="center"/>
    </xf>
    <xf numFmtId="0" fontId="1" fillId="0" borderId="0" xfId="3601" applyFont="1" applyAlignment="1">
      <alignment horizontal="center" vertical="center"/>
    </xf>
    <xf numFmtId="1" fontId="27" fillId="0" borderId="80" xfId="3601" applyNumberFormat="1" applyFont="1" applyBorder="1" applyAlignment="1">
      <alignment horizontal="center" vertical="center" wrapText="1"/>
    </xf>
    <xf numFmtId="0" fontId="1" fillId="2" borderId="0" xfId="3601" applyFont="1" applyFill="1" applyAlignment="1">
      <alignment horizontal="center" vertical="center"/>
    </xf>
    <xf numFmtId="0" fontId="3" fillId="2" borderId="0" xfId="3601" applyFont="1" applyFill="1" applyAlignment="1">
      <alignment horizontal="center" vertical="center"/>
    </xf>
    <xf numFmtId="0" fontId="3" fillId="0" borderId="80" xfId="3601" applyFont="1" applyBorder="1" applyAlignment="1">
      <alignment horizontal="left" vertical="center"/>
    </xf>
    <xf numFmtId="0" fontId="13" fillId="0" borderId="0" xfId="3601" applyAlignment="1">
      <alignment horizontal="left" vertical="center"/>
    </xf>
    <xf numFmtId="1" fontId="13" fillId="0" borderId="0" xfId="3601" applyNumberFormat="1" applyAlignment="1">
      <alignment horizontal="center" vertical="center"/>
    </xf>
    <xf numFmtId="0" fontId="2" fillId="0" borderId="0" xfId="3601" applyFont="1" applyAlignment="1">
      <alignment horizontal="center" vertical="center"/>
    </xf>
    <xf numFmtId="0" fontId="26" fillId="0" borderId="0" xfId="2362" applyProtection="1">
      <protection locked="0"/>
    </xf>
    <xf numFmtId="49" fontId="7" fillId="0" borderId="80" xfId="2362" applyNumberFormat="1" applyFont="1" applyBorder="1" applyAlignment="1" applyProtection="1">
      <alignment horizontal="center" vertical="center" wrapText="1"/>
      <protection locked="0"/>
    </xf>
    <xf numFmtId="0" fontId="7" fillId="0" borderId="80" xfId="2362" applyFont="1" applyBorder="1" applyAlignment="1" applyProtection="1">
      <alignment horizontal="center" vertical="center" wrapText="1"/>
      <protection locked="0"/>
    </xf>
    <xf numFmtId="49" fontId="13" fillId="0" borderId="13" xfId="2362" applyNumberFormat="1" applyFont="1" applyBorder="1" applyAlignment="1" applyProtection="1">
      <alignment horizontal="left" vertical="center" wrapText="1"/>
      <protection locked="0"/>
    </xf>
    <xf numFmtId="3" fontId="13" fillId="0" borderId="13" xfId="2362" applyNumberFormat="1" applyFont="1" applyBorder="1" applyAlignment="1" applyProtection="1">
      <alignment horizontal="center" vertical="center" wrapText="1"/>
      <protection locked="0"/>
    </xf>
    <xf numFmtId="3" fontId="13" fillId="0" borderId="14" xfId="2362" applyNumberFormat="1" applyFont="1" applyBorder="1" applyAlignment="1" applyProtection="1">
      <alignment horizontal="center" vertical="center" wrapText="1"/>
      <protection locked="0"/>
    </xf>
    <xf numFmtId="49" fontId="26" fillId="0" borderId="14" xfId="2362" applyNumberFormat="1" applyBorder="1" applyAlignment="1" applyProtection="1">
      <alignment horizontal="left" vertical="center" wrapText="1"/>
      <protection locked="0"/>
    </xf>
    <xf numFmtId="49" fontId="1" fillId="0" borderId="14" xfId="2362" applyNumberFormat="1" applyFont="1" applyBorder="1" applyAlignment="1" applyProtection="1">
      <alignment horizontal="left" vertical="center" wrapText="1"/>
      <protection locked="0"/>
    </xf>
    <xf numFmtId="3" fontId="26" fillId="0" borderId="14" xfId="2362" applyNumberFormat="1" applyBorder="1" applyAlignment="1" applyProtection="1">
      <alignment horizontal="center" vertical="center" wrapText="1"/>
      <protection locked="0"/>
    </xf>
    <xf numFmtId="0" fontId="17" fillId="2" borderId="2" xfId="2719" applyFont="1" applyFill="1" applyBorder="1" applyAlignment="1" applyProtection="1">
      <alignment horizontal="left" vertical="center" wrapText="1"/>
      <protection locked="0"/>
    </xf>
    <xf numFmtId="0" fontId="17" fillId="2" borderId="5" xfId="2719" applyFont="1" applyFill="1" applyBorder="1" applyAlignment="1" applyProtection="1">
      <alignment horizontal="left" vertical="center" wrapText="1"/>
      <protection locked="0"/>
    </xf>
    <xf numFmtId="0" fontId="26" fillId="0" borderId="0" xfId="2362" applyAlignment="1" applyProtection="1">
      <alignment horizontal="center"/>
      <protection locked="0"/>
    </xf>
    <xf numFmtId="0" fontId="36" fillId="0" borderId="6" xfId="3610" applyFont="1" applyBorder="1"/>
    <xf numFmtId="14" fontId="36" fillId="0" borderId="7" xfId="3610" applyNumberFormat="1" applyFont="1" applyBorder="1"/>
    <xf numFmtId="0" fontId="3" fillId="0" borderId="80" xfId="3597" applyFont="1" applyBorder="1" applyAlignment="1">
      <alignment vertical="center"/>
    </xf>
    <xf numFmtId="0" fontId="188" fillId="2" borderId="126" xfId="3616" applyFont="1" applyFill="1" applyBorder="1" applyAlignment="1">
      <alignment horizontal="center" vertical="center" wrapText="1"/>
    </xf>
    <xf numFmtId="0" fontId="190" fillId="2" borderId="127" xfId="3616" applyFont="1" applyFill="1" applyBorder="1" applyAlignment="1">
      <alignment horizontal="left" vertical="center" wrapText="1"/>
    </xf>
    <xf numFmtId="0" fontId="188" fillId="2" borderId="127" xfId="3616" applyFont="1" applyFill="1" applyBorder="1" applyAlignment="1">
      <alignment horizontal="center" vertical="center" wrapText="1"/>
    </xf>
    <xf numFmtId="0" fontId="188" fillId="2" borderId="129" xfId="3616" applyFont="1" applyFill="1" applyBorder="1" applyAlignment="1">
      <alignment horizontal="center" vertical="center" wrapText="1"/>
    </xf>
    <xf numFmtId="1" fontId="12" fillId="0" borderId="20" xfId="3601" applyNumberFormat="1" applyFont="1" applyBorder="1" applyAlignment="1" applyProtection="1">
      <alignment horizontal="center" vertical="center" wrapText="1"/>
      <protection locked="0"/>
    </xf>
    <xf numFmtId="0" fontId="5" fillId="0" borderId="5" xfId="3598" applyFont="1" applyBorder="1" applyAlignment="1">
      <alignment horizontal="center" vertical="top" wrapText="1"/>
    </xf>
    <xf numFmtId="0" fontId="13" fillId="2" borderId="90" xfId="3599" applyFill="1" applyBorder="1" applyAlignment="1">
      <alignment horizontal="center" vertical="top" wrapText="1"/>
    </xf>
    <xf numFmtId="0" fontId="13" fillId="0" borderId="19" xfId="3600" applyBorder="1" applyAlignment="1">
      <alignment horizontal="center" vertical="center" wrapText="1"/>
    </xf>
    <xf numFmtId="0" fontId="1" fillId="2" borderId="0" xfId="3599" applyFont="1" applyFill="1" applyAlignment="1">
      <alignment vertical="top"/>
    </xf>
    <xf numFmtId="0" fontId="1" fillId="2" borderId="7" xfId="3599" applyFont="1" applyFill="1" applyBorder="1" applyAlignment="1">
      <alignment vertical="top"/>
    </xf>
    <xf numFmtId="0" fontId="13" fillId="2" borderId="0" xfId="3599" applyFill="1" applyAlignment="1">
      <alignment vertical="top"/>
    </xf>
    <xf numFmtId="0" fontId="13" fillId="0" borderId="0" xfId="3599" applyAlignment="1">
      <alignment vertical="top"/>
    </xf>
    <xf numFmtId="0" fontId="1" fillId="0" borderId="0" xfId="3599" applyFont="1" applyAlignment="1">
      <alignment horizontal="left" vertical="top" wrapText="1"/>
    </xf>
    <xf numFmtId="0" fontId="1" fillId="0" borderId="7" xfId="3599" applyFont="1" applyBorder="1" applyAlignment="1">
      <alignment horizontal="left" vertical="top" wrapText="1"/>
    </xf>
    <xf numFmtId="1" fontId="168" fillId="39" borderId="20" xfId="3601" applyNumberFormat="1" applyFont="1" applyFill="1" applyBorder="1" applyAlignment="1">
      <alignment horizontal="center" vertical="center"/>
    </xf>
    <xf numFmtId="0" fontId="211" fillId="39" borderId="94" xfId="3601" applyFont="1" applyFill="1" applyBorder="1" applyAlignment="1">
      <alignment horizontal="center" vertical="center" wrapText="1"/>
    </xf>
    <xf numFmtId="1" fontId="205" fillId="39" borderId="20" xfId="3601" applyNumberFormat="1" applyFont="1" applyFill="1" applyBorder="1" applyAlignment="1" applyProtection="1">
      <alignment horizontal="center" wrapText="1"/>
      <protection hidden="1"/>
    </xf>
    <xf numFmtId="3" fontId="13" fillId="0" borderId="23" xfId="2433" applyNumberFormat="1" applyFont="1" applyBorder="1" applyAlignment="1">
      <alignment horizontal="center" vertical="center" wrapText="1"/>
    </xf>
    <xf numFmtId="49" fontId="13" fillId="0" borderId="13" xfId="2433" applyNumberFormat="1" applyFont="1" applyBorder="1" applyAlignment="1">
      <alignment horizontal="center" vertical="center" wrapText="1"/>
    </xf>
    <xf numFmtId="49" fontId="13" fillId="0" borderId="23" xfId="2433" applyNumberFormat="1" applyFont="1" applyBorder="1" applyAlignment="1">
      <alignment horizontal="center" vertical="center" wrapText="1"/>
    </xf>
    <xf numFmtId="0" fontId="26" fillId="0" borderId="80" xfId="2433" applyBorder="1" applyAlignment="1">
      <alignment horizontal="center" vertical="top" wrapText="1"/>
    </xf>
    <xf numFmtId="0" fontId="3" fillId="0" borderId="90" xfId="2433" applyFont="1" applyBorder="1" applyAlignment="1">
      <alignment horizontal="center" vertical="top" wrapText="1"/>
    </xf>
    <xf numFmtId="0" fontId="26" fillId="0" borderId="90" xfId="2433" applyBorder="1" applyAlignment="1">
      <alignment horizontal="center" vertical="top" wrapText="1"/>
    </xf>
    <xf numFmtId="49" fontId="13" fillId="0" borderId="22" xfId="3603" applyNumberFormat="1" applyBorder="1" applyAlignment="1">
      <alignment horizontal="center" vertical="center" wrapText="1"/>
    </xf>
    <xf numFmtId="49" fontId="13" fillId="0" borderId="13" xfId="3597" applyNumberFormat="1" applyBorder="1" applyAlignment="1">
      <alignment horizontal="center" vertical="center" wrapText="1"/>
    </xf>
    <xf numFmtId="49" fontId="13" fillId="0" borderId="23" xfId="3597" applyNumberFormat="1" applyBorder="1" applyAlignment="1">
      <alignment horizontal="center" vertical="center" wrapText="1"/>
    </xf>
    <xf numFmtId="0" fontId="13" fillId="0" borderId="80" xfId="3603" applyBorder="1" applyAlignment="1">
      <alignment horizontal="center" vertical="top" wrapText="1"/>
    </xf>
    <xf numFmtId="0" fontId="3" fillId="0" borderId="90" xfId="3603" applyFont="1" applyBorder="1" applyAlignment="1">
      <alignment horizontal="center" vertical="top" wrapText="1"/>
    </xf>
    <xf numFmtId="0" fontId="13" fillId="0" borderId="14" xfId="3597" applyBorder="1" applyAlignment="1">
      <alignment horizontal="center" vertical="center" wrapText="1"/>
    </xf>
    <xf numFmtId="0" fontId="3" fillId="2" borderId="80" xfId="3601" applyFont="1" applyFill="1" applyBorder="1" applyAlignment="1">
      <alignment horizontal="center" vertical="center" wrapText="1"/>
    </xf>
    <xf numFmtId="1" fontId="3" fillId="0" borderId="0" xfId="3601" applyNumberFormat="1" applyFont="1" applyAlignment="1" applyProtection="1">
      <alignment vertical="center" wrapText="1"/>
      <protection hidden="1"/>
    </xf>
    <xf numFmtId="1" fontId="15" fillId="0" borderId="0" xfId="3601" applyNumberFormat="1" applyFont="1" applyAlignment="1">
      <alignment vertical="center"/>
    </xf>
    <xf numFmtId="1" fontId="23" fillId="0" borderId="0" xfId="3601" applyNumberFormat="1" applyFont="1" applyAlignment="1" applyProtection="1">
      <alignment vertical="center" wrapText="1"/>
      <protection hidden="1"/>
    </xf>
    <xf numFmtId="0" fontId="12" fillId="0" borderId="0" xfId="3601" applyFont="1" applyAlignment="1">
      <alignment vertical="center" wrapText="1"/>
    </xf>
    <xf numFmtId="1" fontId="15" fillId="0" borderId="0" xfId="3601" applyNumberFormat="1" applyFont="1" applyAlignment="1" applyProtection="1">
      <alignment horizontal="center" vertical="center" wrapText="1"/>
      <protection hidden="1"/>
    </xf>
    <xf numFmtId="1" fontId="168" fillId="0" borderId="0" xfId="3601" applyNumberFormat="1" applyFont="1" applyAlignment="1" applyProtection="1">
      <alignment wrapText="1"/>
      <protection hidden="1"/>
    </xf>
    <xf numFmtId="1" fontId="12" fillId="0" borderId="94" xfId="3601" applyNumberFormat="1" applyFont="1" applyBorder="1" applyAlignment="1" applyProtection="1">
      <alignment horizontal="center" vertical="center" wrapText="1"/>
      <protection locked="0"/>
    </xf>
    <xf numFmtId="0" fontId="168" fillId="39" borderId="90" xfId="3601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13" fillId="0" borderId="13" xfId="3601" applyBorder="1" applyAlignment="1" applyProtection="1">
      <alignment horizontal="center" vertical="center" wrapText="1"/>
      <protection locked="0"/>
    </xf>
    <xf numFmtId="0" fontId="5" fillId="0" borderId="0" xfId="3620" applyFont="1" applyAlignment="1">
      <alignment vertical="top" wrapText="1"/>
    </xf>
    <xf numFmtId="0" fontId="13" fillId="0" borderId="0" xfId="3620"/>
    <xf numFmtId="0" fontId="13" fillId="0" borderId="0" xfId="3620" applyAlignment="1">
      <alignment horizontal="left" vertical="top" wrapText="1"/>
    </xf>
    <xf numFmtId="0" fontId="13" fillId="0" borderId="0" xfId="3620" applyAlignment="1">
      <alignment wrapText="1"/>
    </xf>
    <xf numFmtId="0" fontId="1" fillId="0" borderId="0" xfId="3620" applyFont="1" applyAlignment="1">
      <alignment vertical="top" wrapText="1"/>
    </xf>
    <xf numFmtId="0" fontId="1" fillId="0" borderId="0" xfId="3620" applyFont="1" applyAlignment="1">
      <alignment horizontal="center" vertical="top"/>
    </xf>
    <xf numFmtId="49" fontId="13" fillId="0" borderId="14" xfId="3620" applyNumberFormat="1" applyBorder="1" applyAlignment="1">
      <alignment horizontal="center" vertical="center" wrapText="1"/>
    </xf>
    <xf numFmtId="0" fontId="13" fillId="0" borderId="0" xfId="3620" applyAlignment="1">
      <alignment horizontal="center" vertical="center"/>
    </xf>
    <xf numFmtId="0" fontId="1" fillId="0" borderId="0" xfId="3620" applyFont="1"/>
    <xf numFmtId="0" fontId="7" fillId="0" borderId="0" xfId="3620" applyFont="1" applyAlignment="1">
      <alignment vertical="center" wrapText="1"/>
    </xf>
    <xf numFmtId="0" fontId="3" fillId="0" borderId="0" xfId="3620" applyFont="1" applyAlignment="1">
      <alignment vertical="top" wrapText="1"/>
    </xf>
    <xf numFmtId="0" fontId="3" fillId="0" borderId="0" xfId="3620" applyFont="1"/>
    <xf numFmtId="0" fontId="3" fillId="0" borderId="0" xfId="3620" applyFont="1" applyAlignment="1">
      <alignment vertical="center" wrapText="1"/>
    </xf>
    <xf numFmtId="0" fontId="3" fillId="0" borderId="99" xfId="3597" applyFont="1" applyBorder="1" applyAlignment="1">
      <alignment horizontal="center" vertical="center" wrapText="1"/>
    </xf>
    <xf numFmtId="0" fontId="13" fillId="0" borderId="99" xfId="3597" applyBorder="1" applyAlignment="1">
      <alignment horizontal="center" wrapText="1"/>
    </xf>
    <xf numFmtId="0" fontId="3" fillId="0" borderId="14" xfId="3597" applyFont="1" applyBorder="1" applyAlignment="1">
      <alignment horizontal="center" vertical="center" wrapText="1"/>
    </xf>
    <xf numFmtId="0" fontId="13" fillId="0" borderId="14" xfId="3597" applyBorder="1" applyAlignment="1">
      <alignment horizontal="center" wrapText="1"/>
    </xf>
    <xf numFmtId="49" fontId="13" fillId="0" borderId="14" xfId="3597" applyNumberFormat="1" applyBorder="1" applyAlignment="1">
      <alignment horizontal="center" wrapText="1"/>
    </xf>
    <xf numFmtId="0" fontId="1" fillId="0" borderId="14" xfId="3597" applyFont="1" applyBorder="1" applyAlignment="1">
      <alignment horizontal="center" vertical="top" wrapText="1"/>
    </xf>
    <xf numFmtId="0" fontId="13" fillId="0" borderId="80" xfId="3620" applyBorder="1" applyAlignment="1">
      <alignment horizontal="center" vertical="center" wrapText="1"/>
    </xf>
    <xf numFmtId="0" fontId="13" fillId="0" borderId="5" xfId="3597" applyBorder="1" applyAlignment="1">
      <alignment wrapText="1"/>
    </xf>
    <xf numFmtId="0" fontId="13" fillId="0" borderId="5" xfId="3597" applyBorder="1"/>
    <xf numFmtId="49" fontId="13" fillId="0" borderId="99" xfId="3620" applyNumberFormat="1" applyBorder="1" applyAlignment="1">
      <alignment horizontal="center" vertical="center" wrapText="1"/>
    </xf>
    <xf numFmtId="0" fontId="13" fillId="0" borderId="99" xfId="3620" applyBorder="1" applyAlignment="1">
      <alignment horizontal="center" vertical="center" wrapText="1"/>
    </xf>
    <xf numFmtId="0" fontId="13" fillId="0" borderId="134" xfId="3620" applyBorder="1" applyAlignment="1">
      <alignment horizontal="center" vertical="center" wrapText="1"/>
    </xf>
    <xf numFmtId="0" fontId="13" fillId="0" borderId="22" xfId="3620" applyBorder="1" applyAlignment="1">
      <alignment vertical="center" wrapText="1"/>
    </xf>
    <xf numFmtId="0" fontId="13" fillId="0" borderId="23" xfId="3620" applyBorder="1" applyAlignment="1">
      <alignment vertical="center" wrapText="1"/>
    </xf>
    <xf numFmtId="0" fontId="13" fillId="0" borderId="14" xfId="3620" applyBorder="1" applyAlignment="1">
      <alignment horizontal="center" vertical="center" wrapText="1"/>
    </xf>
    <xf numFmtId="49" fontId="13" fillId="0" borderId="134" xfId="3620" applyNumberFormat="1" applyBorder="1" applyAlignment="1">
      <alignment horizontal="center" vertical="center" wrapText="1"/>
    </xf>
    <xf numFmtId="49" fontId="13" fillId="0" borderId="98" xfId="3620" applyNumberFormat="1" applyBorder="1" applyAlignment="1">
      <alignment horizontal="center" vertical="center" wrapText="1"/>
    </xf>
    <xf numFmtId="0" fontId="13" fillId="0" borderId="98" xfId="3620" applyBorder="1" applyAlignment="1">
      <alignment horizontal="center" vertical="center" wrapText="1"/>
    </xf>
    <xf numFmtId="222" fontId="213" fillId="2" borderId="99" xfId="3622" applyNumberFormat="1" applyFill="1" applyBorder="1" applyAlignment="1">
      <alignment horizontal="center" vertical="center" wrapText="1"/>
    </xf>
    <xf numFmtId="222" fontId="213" fillId="2" borderId="14" xfId="3622" applyNumberFormat="1" applyFill="1" applyBorder="1" applyAlignment="1">
      <alignment horizontal="center" vertical="center" wrapText="1"/>
    </xf>
    <xf numFmtId="222" fontId="213" fillId="2" borderId="18" xfId="3622" applyNumberFormat="1" applyFill="1" applyBorder="1" applyAlignment="1">
      <alignment horizontal="center" vertical="center" wrapText="1"/>
    </xf>
    <xf numFmtId="222" fontId="213" fillId="2" borderId="134" xfId="3622" applyNumberFormat="1" applyFill="1" applyBorder="1" applyAlignment="1">
      <alignment horizontal="center" vertical="center" wrapText="1"/>
    </xf>
    <xf numFmtId="222" fontId="213" fillId="2" borderId="98" xfId="3622" applyNumberFormat="1" applyFill="1" applyBorder="1" applyAlignment="1">
      <alignment horizontal="center" vertical="center" wrapText="1"/>
    </xf>
    <xf numFmtId="0" fontId="18" fillId="0" borderId="0" xfId="3601" applyFont="1" applyAlignment="1" applyProtection="1">
      <alignment horizontal="left" vertical="top" wrapText="1"/>
      <protection locked="0"/>
    </xf>
    <xf numFmtId="0" fontId="13" fillId="0" borderId="0" xfId="3601" applyProtection="1">
      <protection locked="0"/>
    </xf>
    <xf numFmtId="0" fontId="201" fillId="0" borderId="0" xfId="3601" applyFont="1" applyAlignment="1" applyProtection="1">
      <alignment horizontal="center" vertical="center" wrapText="1"/>
      <protection locked="0"/>
    </xf>
    <xf numFmtId="0" fontId="20" fillId="0" borderId="0" xfId="3601" applyFont="1" applyAlignment="1" applyProtection="1">
      <alignment horizontal="left" vertical="center"/>
      <protection locked="0"/>
    </xf>
    <xf numFmtId="0" fontId="17" fillId="0" borderId="0" xfId="3601" applyFont="1" applyAlignment="1" applyProtection="1">
      <alignment vertical="center"/>
      <protection locked="0"/>
    </xf>
    <xf numFmtId="0" fontId="7" fillId="0" borderId="88" xfId="3601" applyFont="1" applyBorder="1" applyAlignment="1" applyProtection="1">
      <alignment vertical="center"/>
      <protection locked="0"/>
    </xf>
    <xf numFmtId="0" fontId="7" fillId="0" borderId="89" xfId="3601" applyFont="1" applyBorder="1" applyAlignment="1" applyProtection="1">
      <alignment vertical="center"/>
      <protection locked="0"/>
    </xf>
    <xf numFmtId="228" fontId="7" fillId="0" borderId="0" xfId="3601" applyNumberFormat="1" applyFont="1" applyAlignment="1" applyProtection="1">
      <alignment horizontal="left" vertical="center"/>
      <protection locked="0"/>
    </xf>
    <xf numFmtId="0" fontId="17" fillId="0" borderId="0" xfId="3601" applyFont="1" applyAlignment="1" applyProtection="1">
      <alignment horizontal="center" vertical="center" wrapText="1"/>
      <protection locked="0"/>
    </xf>
    <xf numFmtId="0" fontId="202" fillId="0" borderId="0" xfId="3601" applyFont="1" applyAlignment="1" applyProtection="1">
      <alignment horizontal="center" vertical="center" wrapText="1"/>
      <protection locked="0"/>
    </xf>
    <xf numFmtId="0" fontId="18" fillId="0" borderId="80" xfId="3597" applyFont="1" applyBorder="1" applyAlignment="1" applyProtection="1">
      <alignment horizontal="center" vertical="center"/>
      <protection locked="0"/>
    </xf>
    <xf numFmtId="0" fontId="18" fillId="0" borderId="0" xfId="3601" applyFont="1" applyAlignment="1" applyProtection="1">
      <alignment horizontal="center" vertical="center"/>
      <protection locked="0"/>
    </xf>
    <xf numFmtId="0" fontId="196" fillId="0" borderId="80" xfId="3597" applyFont="1" applyBorder="1" applyAlignment="1" applyProtection="1">
      <alignment horizontal="center" vertical="center"/>
      <protection locked="0"/>
    </xf>
    <xf numFmtId="0" fontId="18" fillId="0" borderId="80" xfId="3597" applyFont="1" applyBorder="1" applyAlignment="1" applyProtection="1">
      <alignment horizontal="center" vertical="center" wrapText="1"/>
      <protection locked="0"/>
    </xf>
    <xf numFmtId="0" fontId="13" fillId="2" borderId="80" xfId="3597" applyFill="1" applyBorder="1" applyAlignment="1" applyProtection="1">
      <alignment horizontal="center" vertical="center"/>
      <protection locked="0"/>
    </xf>
    <xf numFmtId="0" fontId="13" fillId="0" borderId="0" xfId="3601" applyAlignment="1" applyProtection="1">
      <alignment horizontal="center" vertical="center"/>
      <protection locked="0"/>
    </xf>
    <xf numFmtId="0" fontId="17" fillId="0" borderId="94" xfId="3601" applyFont="1" applyBorder="1" applyAlignment="1" applyProtection="1">
      <alignment horizontal="center" vertical="center" wrapText="1"/>
      <protection locked="0"/>
    </xf>
    <xf numFmtId="0" fontId="17" fillId="0" borderId="80" xfId="3601" applyFont="1" applyBorder="1" applyAlignment="1" applyProtection="1">
      <alignment horizontal="center" vertical="center" wrapText="1"/>
      <protection locked="0"/>
    </xf>
    <xf numFmtId="0" fontId="17" fillId="0" borderId="20" xfId="3601" applyFont="1" applyBorder="1" applyAlignment="1" applyProtection="1">
      <alignment horizontal="center" vertical="center" wrapText="1"/>
      <protection locked="0"/>
    </xf>
    <xf numFmtId="0" fontId="18" fillId="0" borderId="14" xfId="3621" applyFont="1" applyBorder="1" applyAlignment="1" applyProtection="1">
      <alignment horizontal="center" vertical="center" wrapText="1"/>
      <protection locked="0"/>
    </xf>
    <xf numFmtId="0" fontId="18" fillId="0" borderId="0" xfId="3621" applyFont="1" applyAlignment="1" applyProtection="1">
      <alignment horizontal="center" vertical="center" wrapText="1"/>
      <protection locked="0"/>
    </xf>
    <xf numFmtId="0" fontId="28" fillId="0" borderId="0" xfId="3601" applyFont="1" applyAlignment="1" applyProtection="1">
      <alignment vertical="center" wrapText="1"/>
      <protection locked="0"/>
    </xf>
    <xf numFmtId="0" fontId="13" fillId="0" borderId="0" xfId="3601" applyAlignment="1" applyProtection="1">
      <alignment vertical="center"/>
      <protection locked="0"/>
    </xf>
    <xf numFmtId="0" fontId="19" fillId="0" borderId="0" xfId="3601" applyFont="1" applyAlignment="1" applyProtection="1">
      <alignment vertical="center" wrapText="1"/>
      <protection locked="0"/>
    </xf>
    <xf numFmtId="0" fontId="204" fillId="0" borderId="0" xfId="3601" applyFont="1" applyAlignment="1" applyProtection="1">
      <alignment vertical="center" wrapText="1"/>
      <protection locked="0"/>
    </xf>
    <xf numFmtId="0" fontId="18" fillId="0" borderId="0" xfId="3601" applyFont="1" applyAlignment="1" applyProtection="1">
      <alignment wrapText="1"/>
      <protection locked="0"/>
    </xf>
    <xf numFmtId="0" fontId="170" fillId="0" borderId="5" xfId="3601" applyFont="1" applyBorder="1" applyAlignment="1">
      <alignment horizontal="center" vertical="center"/>
    </xf>
    <xf numFmtId="0" fontId="7" fillId="0" borderId="138" xfId="3601" applyFont="1" applyBorder="1" applyAlignment="1">
      <alignment horizontal="center" vertical="center" wrapText="1"/>
    </xf>
    <xf numFmtId="0" fontId="170" fillId="0" borderId="138" xfId="3601" applyFont="1" applyBorder="1" applyAlignment="1">
      <alignment horizontal="center" vertical="center" wrapText="1"/>
    </xf>
    <xf numFmtId="0" fontId="174" fillId="0" borderId="138" xfId="3601" applyFont="1" applyBorder="1" applyAlignment="1">
      <alignment horizontal="center" vertical="center" wrapText="1"/>
    </xf>
    <xf numFmtId="0" fontId="175" fillId="0" borderId="138" xfId="3601" applyFont="1" applyBorder="1" applyAlignment="1">
      <alignment horizontal="center" vertical="center" wrapText="1"/>
    </xf>
    <xf numFmtId="0" fontId="170" fillId="0" borderId="138" xfId="3601" applyFont="1" applyBorder="1" applyAlignment="1">
      <alignment horizontal="center" vertical="center"/>
    </xf>
    <xf numFmtId="0" fontId="175" fillId="0" borderId="138" xfId="3601" applyFont="1" applyBorder="1" applyAlignment="1">
      <alignment horizontal="center" vertical="center"/>
    </xf>
    <xf numFmtId="0" fontId="13" fillId="0" borderId="138" xfId="3601" applyBorder="1" applyAlignment="1">
      <alignment horizontal="center" vertical="center" wrapText="1"/>
    </xf>
    <xf numFmtId="0" fontId="13" fillId="0" borderId="5" xfId="3601" applyBorder="1" applyAlignment="1">
      <alignment horizontal="center" vertical="center"/>
    </xf>
    <xf numFmtId="49" fontId="13" fillId="0" borderId="138" xfId="3601" applyNumberFormat="1" applyBorder="1" applyAlignment="1">
      <alignment vertical="center" wrapText="1"/>
    </xf>
    <xf numFmtId="0" fontId="176" fillId="0" borderId="5" xfId="3601" applyFont="1" applyBorder="1" applyAlignment="1">
      <alignment horizontal="center" vertical="center"/>
    </xf>
    <xf numFmtId="0" fontId="3" fillId="0" borderId="5" xfId="3601" applyFont="1" applyBorder="1" applyAlignment="1">
      <alignment horizontal="center" vertical="center"/>
    </xf>
    <xf numFmtId="0" fontId="189" fillId="3" borderId="113" xfId="3616" applyFont="1" applyFill="1" applyBorder="1" applyAlignment="1">
      <alignment horizontal="center" vertical="center"/>
    </xf>
    <xf numFmtId="0" fontId="190" fillId="0" borderId="114" xfId="3616" applyFont="1" applyBorder="1" applyAlignment="1">
      <alignment horizontal="center" vertical="center"/>
    </xf>
    <xf numFmtId="0" fontId="190" fillId="0" borderId="115" xfId="3616" applyFont="1" applyBorder="1" applyAlignment="1">
      <alignment horizontal="center" vertical="center"/>
    </xf>
    <xf numFmtId="0" fontId="190" fillId="0" borderId="116" xfId="3616" applyFont="1" applyBorder="1" applyAlignment="1">
      <alignment horizontal="center" vertical="center"/>
    </xf>
    <xf numFmtId="0" fontId="190" fillId="0" borderId="117" xfId="3616" applyFont="1" applyBorder="1" applyAlignment="1">
      <alignment horizontal="center" vertical="center" wrapText="1"/>
    </xf>
    <xf numFmtId="0" fontId="190" fillId="0" borderId="118" xfId="3616" applyFont="1" applyBorder="1" applyAlignment="1">
      <alignment horizontal="center" vertical="center" wrapText="1"/>
    </xf>
    <xf numFmtId="0" fontId="190" fillId="4" borderId="47" xfId="3616" applyFont="1" applyFill="1" applyBorder="1" applyAlignment="1">
      <alignment horizontal="center" vertical="center" wrapText="1"/>
    </xf>
    <xf numFmtId="0" fontId="187" fillId="0" borderId="0" xfId="3616" applyFont="1" applyAlignment="1">
      <alignment horizontal="center" vertical="center"/>
    </xf>
    <xf numFmtId="0" fontId="190" fillId="2" borderId="114" xfId="3616" applyFont="1" applyFill="1" applyBorder="1" applyAlignment="1">
      <alignment horizontal="center" vertical="center"/>
    </xf>
    <xf numFmtId="0" fontId="190" fillId="2" borderId="115" xfId="3616" applyFont="1" applyFill="1" applyBorder="1" applyAlignment="1">
      <alignment horizontal="center" vertical="center"/>
    </xf>
    <xf numFmtId="0" fontId="190" fillId="2" borderId="116" xfId="3616" applyFont="1" applyFill="1" applyBorder="1" applyAlignment="1">
      <alignment horizontal="center" vertical="center"/>
    </xf>
    <xf numFmtId="0" fontId="190" fillId="2" borderId="117" xfId="3616" applyFont="1" applyFill="1" applyBorder="1" applyAlignment="1">
      <alignment horizontal="center" vertical="center" wrapText="1"/>
    </xf>
    <xf numFmtId="0" fontId="190" fillId="2" borderId="118" xfId="3616" applyFont="1" applyFill="1" applyBorder="1" applyAlignment="1">
      <alignment horizontal="center" vertical="center" wrapText="1"/>
    </xf>
    <xf numFmtId="0" fontId="187" fillId="2" borderId="0" xfId="3616" applyFont="1" applyFill="1" applyAlignment="1">
      <alignment horizontal="center" vertical="center"/>
    </xf>
    <xf numFmtId="0" fontId="187" fillId="2" borderId="113" xfId="3616" applyFont="1" applyFill="1" applyBorder="1" applyAlignment="1">
      <alignment horizontal="center" vertical="center"/>
    </xf>
    <xf numFmtId="0" fontId="190" fillId="2" borderId="130" xfId="3616" applyFont="1" applyFill="1" applyBorder="1" applyAlignment="1">
      <alignment horizontal="center" vertical="center" wrapText="1"/>
    </xf>
    <xf numFmtId="0" fontId="190" fillId="2" borderId="126" xfId="3616" applyFont="1" applyFill="1" applyBorder="1" applyAlignment="1">
      <alignment horizontal="center" vertical="center" wrapText="1"/>
    </xf>
    <xf numFmtId="0" fontId="190" fillId="2" borderId="123" xfId="3616" applyFont="1" applyFill="1" applyBorder="1" applyAlignment="1">
      <alignment horizontal="center" vertical="center" wrapText="1"/>
    </xf>
    <xf numFmtId="0" fontId="190" fillId="2" borderId="127" xfId="3616" applyFont="1" applyFill="1" applyBorder="1" applyAlignment="1">
      <alignment horizontal="center" vertical="center" wrapText="1"/>
    </xf>
    <xf numFmtId="0" fontId="191" fillId="2" borderId="123" xfId="3616" applyFont="1" applyFill="1" applyBorder="1" applyAlignment="1">
      <alignment horizontal="center" vertical="center" wrapText="1"/>
    </xf>
    <xf numFmtId="0" fontId="190" fillId="2" borderId="131" xfId="3616" applyFont="1" applyFill="1" applyBorder="1" applyAlignment="1">
      <alignment horizontal="center" vertical="center" wrapText="1"/>
    </xf>
    <xf numFmtId="0" fontId="190" fillId="2" borderId="129" xfId="3616" applyFont="1" applyFill="1" applyBorder="1" applyAlignment="1">
      <alignment horizontal="center" vertical="center" wrapText="1"/>
    </xf>
    <xf numFmtId="0" fontId="38" fillId="0" borderId="135" xfId="3601" applyFont="1" applyBorder="1" applyAlignment="1">
      <alignment horizontal="center" vertical="center"/>
    </xf>
    <xf numFmtId="0" fontId="38" fillId="0" borderId="25" xfId="3601" applyFont="1" applyBorder="1" applyAlignment="1">
      <alignment horizontal="center" vertical="center"/>
    </xf>
    <xf numFmtId="0" fontId="38" fillId="0" borderId="136" xfId="3601" applyFont="1" applyBorder="1" applyAlignment="1">
      <alignment horizontal="center" vertical="center"/>
    </xf>
    <xf numFmtId="0" fontId="13" fillId="0" borderId="26" xfId="3601" applyBorder="1" applyAlignment="1">
      <alignment horizontal="left" vertical="center"/>
    </xf>
    <xf numFmtId="0" fontId="13" fillId="0" borderId="27" xfId="3601" applyBorder="1" applyAlignment="1">
      <alignment horizontal="left" vertical="center"/>
    </xf>
    <xf numFmtId="0" fontId="7" fillId="0" borderId="28" xfId="3601" applyFont="1" applyBorder="1" applyAlignment="1">
      <alignment horizontal="left" vertical="center"/>
    </xf>
    <xf numFmtId="0" fontId="7" fillId="0" borderId="27" xfId="3601" applyFont="1" applyBorder="1" applyAlignment="1">
      <alignment horizontal="left" vertical="center"/>
    </xf>
    <xf numFmtId="0" fontId="13" fillId="0" borderId="72" xfId="3601" applyBorder="1" applyAlignment="1">
      <alignment horizontal="left" vertical="center"/>
    </xf>
    <xf numFmtId="0" fontId="13" fillId="0" borderId="90" xfId="3601" applyBorder="1" applyAlignment="1">
      <alignment horizontal="left" vertical="center"/>
    </xf>
    <xf numFmtId="0" fontId="7" fillId="0" borderId="88" xfId="3601" applyFont="1" applyBorder="1" applyAlignment="1">
      <alignment horizontal="left"/>
    </xf>
    <xf numFmtId="0" fontId="7" fillId="0" borderId="89" xfId="3601" applyFont="1" applyBorder="1" applyAlignment="1">
      <alignment horizontal="left"/>
    </xf>
    <xf numFmtId="0" fontId="7" fillId="0" borderId="90" xfId="3601" applyFont="1" applyBorder="1" applyAlignment="1">
      <alignment horizontal="left"/>
    </xf>
    <xf numFmtId="0" fontId="13" fillId="0" borderId="88" xfId="3601" applyBorder="1" applyAlignment="1">
      <alignment horizontal="left" vertical="center"/>
    </xf>
    <xf numFmtId="0" fontId="13" fillId="0" borderId="89" xfId="3601" applyBorder="1" applyAlignment="1">
      <alignment horizontal="left" vertical="center"/>
    </xf>
    <xf numFmtId="0" fontId="13" fillId="0" borderId="104" xfId="3601" applyBorder="1" applyAlignment="1">
      <alignment horizontal="left" vertical="center"/>
    </xf>
    <xf numFmtId="0" fontId="13" fillId="0" borderId="97" xfId="3601" applyBorder="1" applyAlignment="1">
      <alignment horizontal="left" vertical="center"/>
    </xf>
    <xf numFmtId="0" fontId="13" fillId="0" borderId="75" xfId="3601" applyBorder="1" applyAlignment="1">
      <alignment horizontal="left" vertical="center"/>
    </xf>
    <xf numFmtId="0" fontId="7" fillId="0" borderId="74" xfId="3601" applyFont="1" applyBorder="1" applyAlignment="1">
      <alignment horizontal="center" vertical="center"/>
    </xf>
    <xf numFmtId="0" fontId="7" fillId="0" borderId="75" xfId="3601" applyFont="1" applyBorder="1" applyAlignment="1">
      <alignment horizontal="center" vertical="center"/>
    </xf>
    <xf numFmtId="0" fontId="13" fillId="0" borderId="74" xfId="3601" applyBorder="1" applyAlignment="1">
      <alignment horizontal="center" vertical="center"/>
    </xf>
    <xf numFmtId="0" fontId="13" fillId="0" borderId="76" xfId="3601" applyBorder="1" applyAlignment="1">
      <alignment horizontal="center" vertical="center"/>
    </xf>
    <xf numFmtId="0" fontId="13" fillId="0" borderId="75" xfId="3601" applyBorder="1" applyAlignment="1">
      <alignment horizontal="center" vertical="center"/>
    </xf>
    <xf numFmtId="0" fontId="0" fillId="0" borderId="137" xfId="3601" applyFont="1" applyBorder="1" applyAlignment="1">
      <alignment horizontal="center" vertical="center"/>
    </xf>
    <xf numFmtId="0" fontId="0" fillId="0" borderId="74" xfId="3601" applyFont="1" applyBorder="1" applyAlignment="1">
      <alignment horizontal="center" vertical="center"/>
    </xf>
    <xf numFmtId="0" fontId="0" fillId="0" borderId="76" xfId="3601" applyFont="1" applyBorder="1" applyAlignment="1">
      <alignment horizontal="center" vertical="center"/>
    </xf>
    <xf numFmtId="49" fontId="13" fillId="0" borderId="76" xfId="3601" quotePrefix="1" applyNumberFormat="1" applyBorder="1" applyAlignment="1">
      <alignment horizontal="center" vertical="center"/>
    </xf>
    <xf numFmtId="49" fontId="0" fillId="0" borderId="76" xfId="3601" applyNumberFormat="1" applyFont="1" applyBorder="1" applyAlignment="1">
      <alignment horizontal="center" vertical="center"/>
    </xf>
    <xf numFmtId="49" fontId="0" fillId="0" borderId="77" xfId="3601" applyNumberFormat="1" applyFont="1" applyBorder="1" applyAlignment="1">
      <alignment horizontal="center" vertical="center"/>
    </xf>
    <xf numFmtId="0" fontId="7" fillId="0" borderId="88" xfId="3601" applyFont="1" applyBorder="1" applyAlignment="1">
      <alignment horizontal="left" vertical="center"/>
    </xf>
    <xf numFmtId="0" fontId="7" fillId="0" borderId="89" xfId="3601" applyFont="1" applyBorder="1" applyAlignment="1">
      <alignment horizontal="left" vertical="center"/>
    </xf>
    <xf numFmtId="0" fontId="7" fillId="0" borderId="90" xfId="3601" applyFont="1" applyBorder="1" applyAlignment="1">
      <alignment horizontal="left" vertical="center"/>
    </xf>
    <xf numFmtId="0" fontId="13" fillId="0" borderId="89" xfId="3601" applyBorder="1" applyAlignment="1">
      <alignment horizontal="center" vertical="center"/>
    </xf>
    <xf numFmtId="0" fontId="13" fillId="0" borderId="104" xfId="3601" applyBorder="1" applyAlignment="1">
      <alignment horizontal="center" vertical="center"/>
    </xf>
    <xf numFmtId="0" fontId="13" fillId="0" borderId="88" xfId="3601" applyBorder="1" applyAlignment="1">
      <alignment horizontal="center" vertical="center"/>
    </xf>
    <xf numFmtId="239" fontId="13" fillId="0" borderId="89" xfId="3601" quotePrefix="1" applyNumberFormat="1" applyBorder="1" applyAlignment="1">
      <alignment horizontal="center" vertical="center"/>
    </xf>
    <xf numFmtId="239" fontId="13" fillId="0" borderId="89" xfId="3601" applyNumberFormat="1" applyBorder="1" applyAlignment="1">
      <alignment horizontal="center" vertical="center"/>
    </xf>
    <xf numFmtId="222" fontId="12" fillId="0" borderId="88" xfId="3596" applyNumberFormat="1" applyFont="1" applyBorder="1" applyAlignment="1">
      <alignment horizontal="right" vertical="center"/>
    </xf>
    <xf numFmtId="222" fontId="12" fillId="0" borderId="90" xfId="3596" applyNumberFormat="1" applyFont="1" applyBorder="1" applyAlignment="1">
      <alignment horizontal="right" vertical="center"/>
    </xf>
    <xf numFmtId="0" fontId="23" fillId="0" borderId="30" xfId="3601" applyFont="1" applyBorder="1" applyAlignment="1">
      <alignment horizontal="center" vertical="center" textRotation="90"/>
    </xf>
    <xf numFmtId="0" fontId="23" fillId="0" borderId="34" xfId="3601" applyFont="1" applyBorder="1" applyAlignment="1">
      <alignment horizontal="center" vertical="center" textRotation="90"/>
    </xf>
    <xf numFmtId="0" fontId="23" fillId="0" borderId="35" xfId="3601" applyFont="1" applyBorder="1" applyAlignment="1">
      <alignment horizontal="center" vertical="center" textRotation="90"/>
    </xf>
    <xf numFmtId="0" fontId="12" fillId="0" borderId="31" xfId="3601" applyFont="1" applyBorder="1" applyAlignment="1">
      <alignment horizontal="center" vertical="center"/>
    </xf>
    <xf numFmtId="0" fontId="12" fillId="0" borderId="32" xfId="3601" applyFont="1" applyBorder="1" applyAlignment="1">
      <alignment horizontal="center" vertical="center"/>
    </xf>
    <xf numFmtId="0" fontId="12" fillId="0" borderId="6" xfId="3601" applyFont="1" applyBorder="1" applyAlignment="1">
      <alignment horizontal="center" vertical="center"/>
    </xf>
    <xf numFmtId="0" fontId="12" fillId="0" borderId="8" xfId="3601" applyFont="1" applyBorder="1" applyAlignment="1">
      <alignment horizontal="center" vertical="center"/>
    </xf>
    <xf numFmtId="0" fontId="12" fillId="0" borderId="33" xfId="3601" applyFont="1" applyBorder="1" applyAlignment="1">
      <alignment horizontal="center" vertical="center"/>
    </xf>
    <xf numFmtId="0" fontId="12" fillId="0" borderId="20" xfId="3601" applyFont="1" applyBorder="1" applyAlignment="1">
      <alignment horizontal="center" vertical="center"/>
    </xf>
    <xf numFmtId="0" fontId="12" fillId="0" borderId="31" xfId="3601" applyFont="1" applyBorder="1" applyAlignment="1">
      <alignment horizontal="center" vertical="center" wrapText="1"/>
    </xf>
    <xf numFmtId="0" fontId="12" fillId="0" borderId="32" xfId="3601" applyFont="1" applyBorder="1" applyAlignment="1">
      <alignment horizontal="center" vertical="center" wrapText="1"/>
    </xf>
    <xf numFmtId="0" fontId="3" fillId="0" borderId="88" xfId="3601" applyFont="1" applyBorder="1" applyAlignment="1">
      <alignment horizontal="left" vertical="center"/>
    </xf>
    <xf numFmtId="0" fontId="3" fillId="0" borderId="90" xfId="3601" applyFont="1" applyBorder="1" applyAlignment="1">
      <alignment horizontal="left" vertical="center"/>
    </xf>
    <xf numFmtId="0" fontId="10" fillId="0" borderId="31" xfId="3601" applyFont="1" applyBorder="1" applyAlignment="1">
      <alignment horizontal="center" vertical="center" wrapText="1"/>
    </xf>
    <xf numFmtId="0" fontId="10" fillId="0" borderId="32" xfId="3601" applyFont="1" applyBorder="1" applyAlignment="1">
      <alignment horizontal="center" vertical="center" wrapText="1"/>
    </xf>
    <xf numFmtId="0" fontId="10" fillId="0" borderId="6" xfId="3601" applyFont="1" applyBorder="1" applyAlignment="1">
      <alignment horizontal="center" vertical="center" wrapText="1"/>
    </xf>
    <xf numFmtId="0" fontId="10" fillId="0" borderId="8" xfId="3601" applyFont="1" applyBorder="1" applyAlignment="1">
      <alignment horizontal="center" vertical="center" wrapText="1"/>
    </xf>
    <xf numFmtId="0" fontId="12" fillId="0" borderId="42" xfId="3601" applyFont="1" applyBorder="1" applyAlignment="1">
      <alignment horizontal="center" vertical="center" wrapText="1"/>
    </xf>
    <xf numFmtId="0" fontId="12" fillId="0" borderId="6" xfId="3601" applyFont="1" applyBorder="1" applyAlignment="1">
      <alignment horizontal="center" vertical="center" wrapText="1"/>
    </xf>
    <xf numFmtId="0" fontId="12" fillId="0" borderId="44" xfId="3601" applyFont="1" applyBorder="1" applyAlignment="1">
      <alignment horizontal="center" vertical="center" wrapText="1"/>
    </xf>
    <xf numFmtId="0" fontId="7" fillId="0" borderId="43" xfId="3601" applyFont="1" applyBorder="1" applyAlignment="1">
      <alignment horizontal="left" vertical="center" wrapText="1"/>
    </xf>
    <xf numFmtId="0" fontId="7" fillId="0" borderId="41" xfId="3601" applyFont="1" applyBorder="1" applyAlignment="1">
      <alignment horizontal="left" vertical="center" wrapText="1"/>
    </xf>
    <xf numFmtId="0" fontId="7" fillId="0" borderId="50" xfId="3601" applyFont="1" applyBorder="1" applyAlignment="1">
      <alignment horizontal="left" vertical="center" wrapText="1"/>
    </xf>
    <xf numFmtId="0" fontId="12" fillId="0" borderId="8" xfId="3601" applyFont="1" applyBorder="1" applyAlignment="1">
      <alignment horizontal="center" vertical="center" wrapText="1"/>
    </xf>
    <xf numFmtId="0" fontId="42" fillId="0" borderId="45" xfId="3601" applyFont="1" applyBorder="1" applyAlignment="1">
      <alignment horizontal="left" vertical="center" wrapText="1"/>
    </xf>
    <xf numFmtId="0" fontId="42" fillId="0" borderId="24" xfId="3601" applyFont="1" applyBorder="1" applyAlignment="1">
      <alignment horizontal="left" vertical="center" wrapText="1"/>
    </xf>
    <xf numFmtId="0" fontId="42" fillId="0" borderId="51" xfId="3601" applyFont="1" applyBorder="1" applyAlignment="1">
      <alignment horizontal="left" vertical="center" wrapText="1"/>
    </xf>
    <xf numFmtId="222" fontId="3" fillId="0" borderId="88" xfId="3601" applyNumberFormat="1" applyFont="1" applyBorder="1" applyAlignment="1">
      <alignment horizontal="center" vertical="center"/>
    </xf>
    <xf numFmtId="222" fontId="3" fillId="0" borderId="91" xfId="3601" applyNumberFormat="1" applyFont="1" applyBorder="1" applyAlignment="1">
      <alignment horizontal="center" vertical="center"/>
    </xf>
    <xf numFmtId="222" fontId="12" fillId="0" borderId="88" xfId="3601" applyNumberFormat="1" applyFont="1" applyBorder="1" applyAlignment="1">
      <alignment horizontal="center" vertical="center"/>
    </xf>
    <xf numFmtId="222" fontId="12" fillId="0" borderId="91" xfId="3601" applyNumberFormat="1" applyFont="1" applyBorder="1" applyAlignment="1">
      <alignment horizontal="center" vertical="center"/>
    </xf>
    <xf numFmtId="222" fontId="12" fillId="0" borderId="88" xfId="3596" quotePrefix="1" applyNumberFormat="1" applyFont="1" applyBorder="1" applyAlignment="1">
      <alignment horizontal="right" vertical="center"/>
    </xf>
    <xf numFmtId="222" fontId="12" fillId="0" borderId="90" xfId="3596" quotePrefix="1" applyNumberFormat="1" applyFont="1" applyBorder="1" applyAlignment="1">
      <alignment horizontal="right" vertical="center"/>
    </xf>
    <xf numFmtId="222" fontId="3" fillId="0" borderId="90" xfId="3601" applyNumberFormat="1" applyFont="1" applyBorder="1" applyAlignment="1">
      <alignment horizontal="center" vertical="center"/>
    </xf>
    <xf numFmtId="222" fontId="12" fillId="0" borderId="88" xfId="3596" applyNumberFormat="1" applyFont="1" applyBorder="1" applyAlignment="1">
      <alignment horizontal="center" vertical="center"/>
    </xf>
    <xf numFmtId="222" fontId="12" fillId="0" borderId="90" xfId="3596" applyNumberFormat="1" applyFont="1" applyBorder="1" applyAlignment="1">
      <alignment horizontal="center" vertical="center"/>
    </xf>
    <xf numFmtId="229" fontId="12" fillId="0" borderId="88" xfId="3595" applyFont="1" applyBorder="1" applyAlignment="1">
      <alignment horizontal="left" vertical="center"/>
    </xf>
    <xf numFmtId="229" fontId="12" fillId="0" borderId="89" xfId="3595" applyFont="1" applyBorder="1" applyAlignment="1">
      <alignment horizontal="left" vertical="center"/>
    </xf>
    <xf numFmtId="229" fontId="12" fillId="0" borderId="91" xfId="3595" applyFont="1" applyBorder="1" applyAlignment="1">
      <alignment horizontal="left" vertical="center"/>
    </xf>
    <xf numFmtId="229" fontId="3" fillId="0" borderId="88" xfId="3595" applyFont="1" applyBorder="1" applyAlignment="1">
      <alignment horizontal="left" vertical="center"/>
    </xf>
    <xf numFmtId="229" fontId="3" fillId="0" borderId="90" xfId="3595" applyFont="1" applyBorder="1" applyAlignment="1">
      <alignment horizontal="left" vertical="center"/>
    </xf>
    <xf numFmtId="229" fontId="12" fillId="0" borderId="88" xfId="3596" quotePrefix="1" applyFont="1" applyBorder="1" applyAlignment="1">
      <alignment horizontal="left" vertical="center"/>
    </xf>
    <xf numFmtId="229" fontId="12" fillId="0" borderId="89" xfId="3596" quotePrefix="1" applyFont="1" applyBorder="1" applyAlignment="1">
      <alignment horizontal="left" vertical="center"/>
    </xf>
    <xf numFmtId="229" fontId="12" fillId="0" borderId="91" xfId="3596" quotePrefix="1" applyFont="1" applyBorder="1" applyAlignment="1">
      <alignment horizontal="left" vertical="center"/>
    </xf>
    <xf numFmtId="222" fontId="12" fillId="0" borderId="88" xfId="3595" applyNumberFormat="1" applyFont="1" applyBorder="1" applyAlignment="1">
      <alignment horizontal="right" vertical="center"/>
    </xf>
    <xf numFmtId="222" fontId="12" fillId="0" borderId="90" xfId="3595" applyNumberFormat="1" applyFont="1" applyBorder="1" applyAlignment="1">
      <alignment horizontal="right" vertical="center"/>
    </xf>
    <xf numFmtId="0" fontId="12" fillId="0" borderId="92" xfId="3601" applyFont="1" applyBorder="1" applyAlignment="1">
      <alignment horizontal="center" vertical="center"/>
    </xf>
    <xf numFmtId="0" fontId="12" fillId="0" borderId="2" xfId="3601" applyFont="1" applyBorder="1" applyAlignment="1">
      <alignment horizontal="center" vertical="center"/>
    </xf>
    <xf numFmtId="0" fontId="12" fillId="0" borderId="92" xfId="3601" applyFont="1" applyBorder="1" applyAlignment="1">
      <alignment horizontal="center" vertical="center" wrapText="1"/>
    </xf>
    <xf numFmtId="0" fontId="12" fillId="0" borderId="2" xfId="3601" applyFont="1" applyBorder="1" applyAlignment="1">
      <alignment horizontal="center" vertical="center" wrapText="1"/>
    </xf>
    <xf numFmtId="0" fontId="12" fillId="0" borderId="36" xfId="3601" applyFont="1" applyBorder="1" applyAlignment="1">
      <alignment horizontal="center" vertical="center" wrapText="1"/>
    </xf>
    <xf numFmtId="0" fontId="12" fillId="0" borderId="37" xfId="3601" applyFont="1" applyBorder="1" applyAlignment="1">
      <alignment horizontal="center" vertical="center" wrapText="1"/>
    </xf>
    <xf numFmtId="222" fontId="12" fillId="0" borderId="88" xfId="3595" quotePrefix="1" applyNumberFormat="1" applyFont="1" applyBorder="1" applyAlignment="1">
      <alignment horizontal="right" vertical="center"/>
    </xf>
    <xf numFmtId="222" fontId="12" fillId="0" borderId="90" xfId="3595" quotePrefix="1" applyNumberFormat="1" applyFont="1" applyBorder="1" applyAlignment="1">
      <alignment horizontal="right" vertical="center"/>
    </xf>
    <xf numFmtId="229" fontId="12" fillId="0" borderId="92" xfId="3595" applyFont="1" applyBorder="1" applyAlignment="1">
      <alignment horizontal="center" vertical="center" wrapText="1"/>
    </xf>
    <xf numFmtId="229" fontId="12" fillId="0" borderId="3" xfId="3595" applyFont="1" applyBorder="1" applyAlignment="1">
      <alignment horizontal="center" vertical="center" wrapText="1"/>
    </xf>
    <xf numFmtId="229" fontId="12" fillId="0" borderId="36" xfId="3595" applyFont="1" applyBorder="1" applyAlignment="1">
      <alignment horizontal="center" vertical="center" wrapText="1"/>
    </xf>
    <xf numFmtId="229" fontId="12" fillId="0" borderId="38" xfId="3595" applyFont="1" applyBorder="1" applyAlignment="1">
      <alignment horizontal="center" vertical="center" wrapText="1"/>
    </xf>
    <xf numFmtId="229" fontId="3" fillId="2" borderId="88" xfId="3595" applyFont="1" applyFill="1" applyBorder="1" applyAlignment="1">
      <alignment horizontal="center" vertical="center"/>
    </xf>
    <xf numFmtId="229" fontId="3" fillId="2" borderId="89" xfId="3595" applyFont="1" applyFill="1" applyBorder="1" applyAlignment="1">
      <alignment horizontal="center" vertical="center"/>
    </xf>
    <xf numFmtId="229" fontId="3" fillId="2" borderId="93" xfId="3595" applyFont="1" applyFill="1" applyBorder="1" applyAlignment="1">
      <alignment horizontal="center" vertical="center"/>
    </xf>
    <xf numFmtId="229" fontId="3" fillId="2" borderId="82" xfId="3595" applyFont="1" applyFill="1" applyBorder="1" applyAlignment="1">
      <alignment horizontal="left" vertical="center"/>
    </xf>
    <xf numFmtId="229" fontId="3" fillId="2" borderId="89" xfId="3595" applyFont="1" applyFill="1" applyBorder="1" applyAlignment="1">
      <alignment horizontal="left" vertical="center"/>
    </xf>
    <xf numFmtId="229" fontId="3" fillId="2" borderId="91" xfId="3595" applyFont="1" applyFill="1" applyBorder="1" applyAlignment="1">
      <alignment horizontal="left" vertical="center"/>
    </xf>
    <xf numFmtId="222" fontId="12" fillId="0" borderId="88" xfId="3595" applyNumberFormat="1" applyFont="1" applyBorder="1" applyAlignment="1">
      <alignment horizontal="center" vertical="center"/>
    </xf>
    <xf numFmtId="222" fontId="12" fillId="0" borderId="91" xfId="3595" applyNumberFormat="1" applyFont="1" applyBorder="1" applyAlignment="1">
      <alignment horizontal="center" vertical="center"/>
    </xf>
    <xf numFmtId="229" fontId="12" fillId="0" borderId="88" xfId="3595" applyFont="1" applyBorder="1" applyAlignment="1">
      <alignment horizontal="center" vertical="center"/>
    </xf>
    <xf numFmtId="229" fontId="12" fillId="0" borderId="90" xfId="3595" applyFont="1" applyBorder="1" applyAlignment="1">
      <alignment horizontal="center" vertical="center"/>
    </xf>
    <xf numFmtId="0" fontId="43" fillId="0" borderId="47" xfId="3601" applyFont="1" applyBorder="1" applyAlignment="1">
      <alignment horizontal="center"/>
    </xf>
    <xf numFmtId="0" fontId="43" fillId="0" borderId="0" xfId="3601" applyFont="1" applyAlignment="1">
      <alignment horizontal="center"/>
    </xf>
    <xf numFmtId="0" fontId="43" fillId="0" borderId="138" xfId="3601" applyFont="1" applyBorder="1" applyAlignment="1">
      <alignment horizontal="center"/>
    </xf>
    <xf numFmtId="49" fontId="12" fillId="2" borderId="85" xfId="3595" applyNumberFormat="1" applyFont="1" applyFill="1" applyBorder="1" applyAlignment="1">
      <alignment horizontal="center" vertical="center"/>
    </xf>
    <xf numFmtId="49" fontId="12" fillId="2" borderId="76" xfId="3595" applyNumberFormat="1" applyFont="1" applyFill="1" applyBorder="1" applyAlignment="1">
      <alignment horizontal="center" vertical="center"/>
    </xf>
    <xf numFmtId="49" fontId="12" fillId="2" borderId="75" xfId="3595" applyNumberFormat="1" applyFont="1" applyFill="1" applyBorder="1" applyAlignment="1">
      <alignment horizontal="center" vertical="center"/>
    </xf>
    <xf numFmtId="2" fontId="12" fillId="2" borderId="74" xfId="3595" applyNumberFormat="1" applyFont="1" applyFill="1" applyBorder="1" applyAlignment="1">
      <alignment horizontal="left" vertical="center"/>
    </xf>
    <xf numFmtId="2" fontId="12" fillId="2" borderId="76" xfId="3595" applyNumberFormat="1" applyFont="1" applyFill="1" applyBorder="1" applyAlignment="1">
      <alignment horizontal="left" vertical="center"/>
    </xf>
    <xf numFmtId="2" fontId="12" fillId="2" borderId="86" xfId="3595" applyNumberFormat="1" applyFont="1" applyFill="1" applyBorder="1" applyAlignment="1">
      <alignment horizontal="left" vertical="center"/>
    </xf>
    <xf numFmtId="0" fontId="43" fillId="0" borderId="48" xfId="3601" applyFont="1" applyBorder="1" applyAlignment="1">
      <alignment horizontal="center"/>
    </xf>
    <xf numFmtId="0" fontId="43" fillId="0" borderId="38" xfId="3601" applyFont="1" applyBorder="1" applyAlignment="1">
      <alignment horizontal="center"/>
    </xf>
    <xf numFmtId="0" fontId="43" fillId="0" borderId="54" xfId="3601" applyFont="1" applyBorder="1" applyAlignment="1">
      <alignment horizontal="center"/>
    </xf>
    <xf numFmtId="0" fontId="43" fillId="0" borderId="47" xfId="3601" applyFont="1" applyBorder="1" applyAlignment="1">
      <alignment horizontal="center" vertical="top" wrapText="1"/>
    </xf>
    <xf numFmtId="0" fontId="43" fillId="0" borderId="0" xfId="3601" applyFont="1" applyAlignment="1">
      <alignment horizontal="center" vertical="top" wrapText="1"/>
    </xf>
    <xf numFmtId="0" fontId="43" fillId="0" borderId="138" xfId="3601" applyFont="1" applyBorder="1" applyAlignment="1">
      <alignment horizontal="center" vertical="top" wrapText="1"/>
    </xf>
    <xf numFmtId="0" fontId="208" fillId="0" borderId="46" xfId="3601" quotePrefix="1" applyFont="1" applyBorder="1" applyAlignment="1">
      <alignment horizontal="center" vertical="center" wrapText="1"/>
    </xf>
    <xf numFmtId="0" fontId="208" fillId="0" borderId="52" xfId="3601" applyFont="1" applyBorder="1" applyAlignment="1">
      <alignment horizontal="center" vertical="center" wrapText="1"/>
    </xf>
    <xf numFmtId="0" fontId="208" fillId="0" borderId="53" xfId="3601" applyFont="1" applyBorder="1" applyAlignment="1">
      <alignment horizontal="center" vertical="center" wrapText="1"/>
    </xf>
    <xf numFmtId="0" fontId="208" fillId="0" borderId="47" xfId="3601" applyFont="1" applyBorder="1" applyAlignment="1">
      <alignment horizontal="center" vertical="center" wrapText="1"/>
    </xf>
    <xf numFmtId="0" fontId="208" fillId="0" borderId="0" xfId="3601" applyFont="1" applyAlignment="1">
      <alignment horizontal="center" vertical="center" wrapText="1"/>
    </xf>
    <xf numFmtId="0" fontId="208" fillId="0" borderId="138" xfId="3601" applyFont="1" applyBorder="1" applyAlignment="1">
      <alignment horizontal="center" vertical="center" wrapText="1"/>
    </xf>
    <xf numFmtId="222" fontId="162" fillId="0" borderId="88" xfId="3601" applyNumberFormat="1" applyFont="1" applyBorder="1" applyAlignment="1">
      <alignment horizontal="center" vertical="center"/>
    </xf>
    <xf numFmtId="222" fontId="162" fillId="0" borderId="91" xfId="3601" applyNumberFormat="1" applyFont="1" applyBorder="1" applyAlignment="1">
      <alignment horizontal="center" vertical="center"/>
    </xf>
    <xf numFmtId="222" fontId="3" fillId="0" borderId="88" xfId="3595" applyNumberFormat="1" applyFont="1" applyBorder="1" applyAlignment="1">
      <alignment horizontal="right" vertical="center"/>
    </xf>
    <xf numFmtId="222" fontId="3" fillId="0" borderId="90" xfId="3595" applyNumberFormat="1" applyFont="1" applyBorder="1" applyAlignment="1">
      <alignment horizontal="right" vertical="center"/>
    </xf>
    <xf numFmtId="222" fontId="3" fillId="0" borderId="88" xfId="3595" applyNumberFormat="1" applyFont="1" applyBorder="1" applyAlignment="1">
      <alignment horizontal="center" vertical="center"/>
    </xf>
    <xf numFmtId="222" fontId="3" fillId="0" borderId="90" xfId="3595" applyNumberFormat="1" applyFont="1" applyBorder="1" applyAlignment="1">
      <alignment horizontal="center" vertical="center"/>
    </xf>
    <xf numFmtId="222" fontId="3" fillId="0" borderId="91" xfId="3595" applyNumberFormat="1" applyFont="1" applyBorder="1" applyAlignment="1">
      <alignment horizontal="center" vertical="center"/>
    </xf>
    <xf numFmtId="229" fontId="12" fillId="2" borderId="89" xfId="3595" applyFont="1" applyFill="1" applyBorder="1" applyAlignment="1">
      <alignment horizontal="left" vertical="center"/>
    </xf>
    <xf numFmtId="229" fontId="12" fillId="2" borderId="91" xfId="3595" applyFont="1" applyFill="1" applyBorder="1" applyAlignment="1">
      <alignment horizontal="left" vertical="center"/>
    </xf>
    <xf numFmtId="222" fontId="12" fillId="0" borderId="28" xfId="3595" applyNumberFormat="1" applyFont="1" applyBorder="1" applyAlignment="1">
      <alignment horizontal="center" vertical="center"/>
    </xf>
    <xf numFmtId="222" fontId="12" fillId="0" borderId="49" xfId="3595" applyNumberFormat="1" applyFont="1" applyBorder="1" applyAlignment="1">
      <alignment horizontal="center" vertical="center"/>
    </xf>
    <xf numFmtId="0" fontId="3" fillId="0" borderId="28" xfId="3601" applyFont="1" applyBorder="1" applyAlignment="1">
      <alignment horizontal="left" vertical="center"/>
    </xf>
    <xf numFmtId="0" fontId="3" fillId="0" borderId="27" xfId="3601" applyFont="1" applyBorder="1" applyAlignment="1">
      <alignment horizontal="left" vertical="center"/>
    </xf>
    <xf numFmtId="222" fontId="3" fillId="0" borderId="28" xfId="3601" applyNumberFormat="1" applyFont="1" applyBorder="1" applyAlignment="1">
      <alignment horizontal="right" vertical="center"/>
    </xf>
    <xf numFmtId="222" fontId="3" fillId="0" borderId="27" xfId="3601" applyNumberFormat="1" applyFont="1" applyBorder="1" applyAlignment="1">
      <alignment horizontal="right" vertical="center"/>
    </xf>
    <xf numFmtId="0" fontId="12" fillId="0" borderId="88" xfId="3601" applyFont="1" applyBorder="1" applyAlignment="1">
      <alignment horizontal="center" vertical="center"/>
    </xf>
    <xf numFmtId="0" fontId="12" fillId="0" borderId="90" xfId="3601" applyFont="1" applyBorder="1" applyAlignment="1">
      <alignment horizontal="center" vertical="center"/>
    </xf>
    <xf numFmtId="222" fontId="3" fillId="0" borderId="88" xfId="3601" applyNumberFormat="1" applyFont="1" applyBorder="1" applyAlignment="1">
      <alignment horizontal="left" vertical="center"/>
    </xf>
    <xf numFmtId="222" fontId="3" fillId="0" borderId="89" xfId="3601" applyNumberFormat="1" applyFont="1" applyBorder="1" applyAlignment="1">
      <alignment horizontal="left" vertical="center"/>
    </xf>
    <xf numFmtId="222" fontId="3" fillId="0" borderId="90" xfId="3601" applyNumberFormat="1" applyFont="1" applyBorder="1" applyAlignment="1">
      <alignment horizontal="left" vertical="center"/>
    </xf>
    <xf numFmtId="222" fontId="3" fillId="0" borderId="89" xfId="3601" applyNumberFormat="1" applyFont="1" applyBorder="1" applyAlignment="1">
      <alignment horizontal="center" vertical="center"/>
    </xf>
    <xf numFmtId="229" fontId="3" fillId="0" borderId="28" xfId="3595" applyFont="1" applyBorder="1" applyAlignment="1">
      <alignment horizontal="left" vertical="center"/>
    </xf>
    <xf numFmtId="229" fontId="3" fillId="0" borderId="27" xfId="3595" applyFont="1" applyBorder="1" applyAlignment="1">
      <alignment horizontal="left" vertical="center"/>
    </xf>
    <xf numFmtId="222" fontId="12" fillId="0" borderId="28" xfId="3595" applyNumberFormat="1" applyFont="1" applyBorder="1" applyAlignment="1">
      <alignment horizontal="right" vertical="center"/>
    </xf>
    <xf numFmtId="222" fontId="12" fillId="0" borderId="27" xfId="3595" applyNumberFormat="1" applyFont="1" applyBorder="1" applyAlignment="1">
      <alignment horizontal="right" vertical="center"/>
    </xf>
    <xf numFmtId="222" fontId="12" fillId="0" borderId="28" xfId="3595" quotePrefix="1" applyNumberFormat="1" applyFont="1" applyBorder="1" applyAlignment="1">
      <alignment horizontal="right" vertical="center"/>
    </xf>
    <xf numFmtId="222" fontId="12" fillId="0" borderId="27" xfId="3595" quotePrefix="1" applyNumberFormat="1" applyFont="1" applyBorder="1" applyAlignment="1">
      <alignment horizontal="right" vertical="center"/>
    </xf>
    <xf numFmtId="0" fontId="43" fillId="0" borderId="46" xfId="3601" applyFont="1" applyBorder="1" applyAlignment="1">
      <alignment horizontal="center"/>
    </xf>
    <xf numFmtId="0" fontId="43" fillId="0" borderId="52" xfId="3601" applyFont="1" applyBorder="1" applyAlignment="1">
      <alignment horizontal="center"/>
    </xf>
    <xf numFmtId="0" fontId="43" fillId="0" borderId="53" xfId="3601" applyFont="1" applyBorder="1" applyAlignment="1">
      <alignment horizontal="center"/>
    </xf>
    <xf numFmtId="0" fontId="12" fillId="0" borderId="3" xfId="3601" applyFont="1" applyBorder="1" applyAlignment="1">
      <alignment horizontal="center" vertical="center" wrapText="1"/>
    </xf>
    <xf numFmtId="0" fontId="12" fillId="0" borderId="38" xfId="3601" applyFont="1" applyBorder="1" applyAlignment="1">
      <alignment horizontal="center" vertical="center" wrapText="1"/>
    </xf>
    <xf numFmtId="0" fontId="209" fillId="0" borderId="88" xfId="3601" applyFont="1" applyBorder="1" applyAlignment="1">
      <alignment horizontal="center" vertical="center"/>
    </xf>
    <xf numFmtId="0" fontId="209" fillId="0" borderId="89" xfId="3601" applyFont="1" applyBorder="1" applyAlignment="1">
      <alignment horizontal="center" vertical="center"/>
    </xf>
    <xf numFmtId="0" fontId="209" fillId="0" borderId="90" xfId="3601" applyFont="1" applyBorder="1" applyAlignment="1">
      <alignment horizontal="center" vertical="center"/>
    </xf>
    <xf numFmtId="0" fontId="209" fillId="0" borderId="91" xfId="3601" applyFont="1" applyBorder="1" applyAlignment="1">
      <alignment horizontal="center" vertical="center"/>
    </xf>
    <xf numFmtId="0" fontId="209" fillId="0" borderId="85" xfId="3601" applyFont="1" applyBorder="1" applyAlignment="1">
      <alignment horizontal="center" vertical="center"/>
    </xf>
    <xf numFmtId="0" fontId="209" fillId="0" borderId="76" xfId="3601" applyFont="1" applyBorder="1" applyAlignment="1">
      <alignment horizontal="center" vertical="center"/>
    </xf>
    <xf numFmtId="0" fontId="209" fillId="0" borderId="87" xfId="3601" applyFont="1" applyBorder="1" applyAlignment="1">
      <alignment horizontal="center" vertical="center"/>
    </xf>
    <xf numFmtId="0" fontId="209" fillId="0" borderId="92" xfId="3601" applyFont="1" applyBorder="1" applyAlignment="1">
      <alignment horizontal="center" vertical="center"/>
    </xf>
    <xf numFmtId="0" fontId="209" fillId="0" borderId="3" xfId="3601" applyFont="1" applyBorder="1" applyAlignment="1">
      <alignment horizontal="center" vertical="center"/>
    </xf>
    <xf numFmtId="0" fontId="209" fillId="0" borderId="139" xfId="3601" applyFont="1" applyBorder="1" applyAlignment="1">
      <alignment horizontal="center" vertical="center"/>
    </xf>
    <xf numFmtId="222" fontId="3" fillId="0" borderId="28" xfId="3601" applyNumberFormat="1" applyFont="1" applyBorder="1" applyAlignment="1">
      <alignment horizontal="center" vertical="center"/>
    </xf>
    <xf numFmtId="222" fontId="3" fillId="0" borderId="49" xfId="3601" applyNumberFormat="1" applyFont="1" applyBorder="1" applyAlignment="1">
      <alignment horizontal="center" vertical="center"/>
    </xf>
    <xf numFmtId="222" fontId="3" fillId="0" borderId="88" xfId="3601" applyNumberFormat="1" applyFont="1" applyBorder="1" applyAlignment="1">
      <alignment horizontal="right" vertical="center"/>
    </xf>
    <xf numFmtId="222" fontId="3" fillId="0" borderId="90" xfId="3601" applyNumberFormat="1" applyFont="1" applyBorder="1" applyAlignment="1">
      <alignment horizontal="right" vertical="center"/>
    </xf>
    <xf numFmtId="222" fontId="3" fillId="0" borderId="39" xfId="3601" applyNumberFormat="1" applyFont="1" applyBorder="1" applyAlignment="1">
      <alignment horizontal="right" vertical="center"/>
    </xf>
    <xf numFmtId="222" fontId="3" fillId="0" borderId="80" xfId="3601" applyNumberFormat="1" applyFont="1" applyBorder="1" applyAlignment="1">
      <alignment horizontal="right" vertical="center"/>
    </xf>
    <xf numFmtId="222" fontId="12" fillId="0" borderId="89" xfId="3601" applyNumberFormat="1" applyFont="1" applyBorder="1" applyAlignment="1">
      <alignment horizontal="center" vertical="center"/>
    </xf>
    <xf numFmtId="222" fontId="12" fillId="0" borderId="90" xfId="3601" applyNumberFormat="1" applyFont="1" applyBorder="1" applyAlignment="1">
      <alignment horizontal="center" vertical="center"/>
    </xf>
    <xf numFmtId="0" fontId="12" fillId="0" borderId="82" xfId="3601" applyFont="1" applyBorder="1" applyAlignment="1">
      <alignment horizontal="center" vertical="center"/>
    </xf>
    <xf numFmtId="0" fontId="12" fillId="0" borderId="89" xfId="3601" applyFont="1" applyBorder="1" applyAlignment="1">
      <alignment horizontal="center" vertical="center"/>
    </xf>
    <xf numFmtId="0" fontId="12" fillId="0" borderId="91" xfId="3601" applyFont="1" applyBorder="1" applyAlignment="1">
      <alignment horizontal="center" vertical="center"/>
    </xf>
    <xf numFmtId="222" fontId="12" fillId="0" borderId="39" xfId="3601" applyNumberFormat="1" applyFont="1" applyBorder="1" applyAlignment="1">
      <alignment horizontal="center" vertical="center"/>
    </xf>
    <xf numFmtId="222" fontId="12" fillId="0" borderId="100" xfId="3601" applyNumberFormat="1" applyFont="1" applyBorder="1" applyAlignment="1">
      <alignment horizontal="center" vertical="center"/>
    </xf>
    <xf numFmtId="0" fontId="12" fillId="0" borderId="85" xfId="3601" applyFont="1" applyBorder="1" applyAlignment="1">
      <alignment horizontal="center" vertical="center"/>
    </xf>
    <xf numFmtId="0" fontId="12" fillId="0" borderId="76" xfId="3601" applyFont="1" applyBorder="1" applyAlignment="1">
      <alignment horizontal="center" vertical="center"/>
    </xf>
    <xf numFmtId="0" fontId="12" fillId="0" borderId="86" xfId="3601" applyFont="1" applyBorder="1" applyAlignment="1">
      <alignment horizontal="center" vertical="center"/>
    </xf>
    <xf numFmtId="222" fontId="12" fillId="0" borderId="80" xfId="3601" applyNumberFormat="1" applyFont="1" applyBorder="1" applyAlignment="1">
      <alignment horizontal="center" vertical="center"/>
    </xf>
    <xf numFmtId="222" fontId="12" fillId="0" borderId="81" xfId="3601" applyNumberFormat="1" applyFont="1" applyBorder="1" applyAlignment="1">
      <alignment horizontal="center" vertical="center"/>
    </xf>
    <xf numFmtId="222" fontId="12" fillId="0" borderId="80" xfId="3601" applyNumberFormat="1" applyFont="1" applyBorder="1" applyAlignment="1">
      <alignment horizontal="right" vertical="center"/>
    </xf>
    <xf numFmtId="222" fontId="12" fillId="0" borderId="88" xfId="3601" applyNumberFormat="1" applyFont="1" applyBorder="1" applyAlignment="1">
      <alignment horizontal="right" vertical="center"/>
    </xf>
    <xf numFmtId="222" fontId="12" fillId="0" borderId="91" xfId="3601" applyNumberFormat="1" applyFont="1" applyBorder="1" applyAlignment="1">
      <alignment horizontal="right" vertical="center"/>
    </xf>
    <xf numFmtId="0" fontId="11" fillId="0" borderId="30" xfId="3601" applyFont="1" applyBorder="1" applyAlignment="1">
      <alignment horizontal="center" vertical="center" textRotation="90"/>
    </xf>
    <xf numFmtId="0" fontId="11" fillId="0" borderId="34" xfId="3601" applyFont="1" applyBorder="1" applyAlignment="1">
      <alignment horizontal="center" vertical="center" textRotation="90"/>
    </xf>
    <xf numFmtId="0" fontId="11" fillId="0" borderId="35" xfId="3601" applyFont="1" applyBorder="1" applyAlignment="1">
      <alignment horizontal="center" vertical="center" textRotation="90"/>
    </xf>
    <xf numFmtId="222" fontId="12" fillId="0" borderId="28" xfId="3601" applyNumberFormat="1" applyFont="1" applyBorder="1" applyAlignment="1">
      <alignment horizontal="right" vertical="center"/>
    </xf>
    <xf numFmtId="222" fontId="12" fillId="0" borderId="27" xfId="3601" applyNumberFormat="1" applyFont="1" applyBorder="1" applyAlignment="1">
      <alignment horizontal="right" vertical="center"/>
    </xf>
    <xf numFmtId="222" fontId="12" fillId="0" borderId="90" xfId="3601" applyNumberFormat="1" applyFont="1" applyBorder="1" applyAlignment="1">
      <alignment horizontal="right" vertical="center"/>
    </xf>
    <xf numFmtId="222" fontId="12" fillId="0" borderId="49" xfId="3601" applyNumberFormat="1" applyFont="1" applyBorder="1" applyAlignment="1">
      <alignment horizontal="right" vertical="center"/>
    </xf>
    <xf numFmtId="0" fontId="43" fillId="0" borderId="43" xfId="3601" applyFont="1" applyBorder="1" applyAlignment="1">
      <alignment horizontal="center" vertical="center"/>
    </xf>
    <xf numFmtId="0" fontId="43" fillId="0" borderId="41" xfId="3601" applyFont="1" applyBorder="1" applyAlignment="1">
      <alignment horizontal="center" vertical="center"/>
    </xf>
    <xf numFmtId="0" fontId="43" fillId="0" borderId="50" xfId="3601" applyFont="1" applyBorder="1" applyAlignment="1">
      <alignment horizontal="center" vertical="center"/>
    </xf>
    <xf numFmtId="0" fontId="3" fillId="0" borderId="88" xfId="3601" applyFont="1" applyBorder="1" applyAlignment="1">
      <alignment horizontal="center" vertical="center"/>
    </xf>
    <xf numFmtId="0" fontId="3" fillId="0" borderId="89" xfId="3601" applyFont="1" applyBorder="1" applyAlignment="1">
      <alignment horizontal="center" vertical="center"/>
    </xf>
    <xf numFmtId="0" fontId="3" fillId="0" borderId="90" xfId="3601" applyFont="1" applyBorder="1" applyAlignment="1">
      <alignment horizontal="center" vertical="center"/>
    </xf>
    <xf numFmtId="222" fontId="3" fillId="0" borderId="92" xfId="3601" applyNumberFormat="1" applyFont="1" applyBorder="1" applyAlignment="1">
      <alignment horizontal="center" vertical="center"/>
    </xf>
    <xf numFmtId="222" fontId="3" fillId="0" borderId="3" xfId="3601" applyNumberFormat="1" applyFont="1" applyBorder="1" applyAlignment="1">
      <alignment horizontal="center" vertical="center"/>
    </xf>
    <xf numFmtId="222" fontId="3" fillId="0" borderId="139" xfId="3601" applyNumberFormat="1" applyFont="1" applyBorder="1" applyAlignment="1">
      <alignment horizontal="center" vertical="center"/>
    </xf>
    <xf numFmtId="0" fontId="3" fillId="0" borderId="85" xfId="3601" applyFont="1" applyBorder="1" applyAlignment="1">
      <alignment horizontal="left" vertical="center"/>
    </xf>
    <xf numFmtId="0" fontId="3" fillId="0" borderId="87" xfId="3601" applyFont="1" applyBorder="1" applyAlignment="1">
      <alignment horizontal="left" vertical="center"/>
    </xf>
    <xf numFmtId="222" fontId="3" fillId="0" borderId="85" xfId="3601" applyNumberFormat="1" applyFont="1" applyBorder="1" applyAlignment="1">
      <alignment horizontal="right" vertical="center"/>
    </xf>
    <xf numFmtId="222" fontId="3" fillId="0" borderId="87" xfId="3601" applyNumberFormat="1" applyFont="1" applyBorder="1" applyAlignment="1">
      <alignment horizontal="right" vertical="center"/>
    </xf>
    <xf numFmtId="222" fontId="12" fillId="0" borderId="85" xfId="3601" applyNumberFormat="1" applyFont="1" applyBorder="1" applyAlignment="1">
      <alignment horizontal="right" vertical="center"/>
    </xf>
    <xf numFmtId="222" fontId="12" fillId="0" borderId="87" xfId="3601" applyNumberFormat="1" applyFont="1" applyBorder="1" applyAlignment="1">
      <alignment horizontal="right" vertical="center"/>
    </xf>
    <xf numFmtId="222" fontId="12" fillId="0" borderId="86" xfId="3601" applyNumberFormat="1" applyFont="1" applyBorder="1" applyAlignment="1">
      <alignment horizontal="right" vertical="center"/>
    </xf>
    <xf numFmtId="0" fontId="11" fillId="0" borderId="40" xfId="3601" applyFont="1" applyBorder="1" applyAlignment="1">
      <alignment horizontal="center" vertical="center" textRotation="90"/>
    </xf>
    <xf numFmtId="0" fontId="11" fillId="0" borderId="102" xfId="3601" applyFont="1" applyBorder="1" applyAlignment="1">
      <alignment horizontal="center" vertical="center" textRotation="90"/>
    </xf>
    <xf numFmtId="0" fontId="11" fillId="0" borderId="140" xfId="3601" applyFont="1" applyBorder="1" applyAlignment="1">
      <alignment horizontal="center" vertical="center" textRotation="90"/>
    </xf>
    <xf numFmtId="0" fontId="3" fillId="0" borderId="28" xfId="3601" applyFont="1" applyBorder="1" applyAlignment="1">
      <alignment horizontal="center" vertical="center"/>
    </xf>
    <xf numFmtId="0" fontId="3" fillId="0" borderId="29" xfId="3601" applyFont="1" applyBorder="1" applyAlignment="1">
      <alignment horizontal="center" vertical="center"/>
    </xf>
    <xf numFmtId="0" fontId="3" fillId="0" borderId="27" xfId="3601" applyFont="1" applyBorder="1" applyAlignment="1">
      <alignment horizontal="center" vertical="center"/>
    </xf>
    <xf numFmtId="222" fontId="3" fillId="0" borderId="29" xfId="3601" applyNumberFormat="1" applyFont="1" applyBorder="1" applyAlignment="1">
      <alignment horizontal="center" vertical="center"/>
    </xf>
    <xf numFmtId="222" fontId="3" fillId="0" borderId="27" xfId="3601" applyNumberFormat="1" applyFont="1" applyBorder="1" applyAlignment="1">
      <alignment horizontal="center" vertical="center"/>
    </xf>
    <xf numFmtId="222" fontId="3" fillId="0" borderId="31" xfId="3601" applyNumberFormat="1" applyFont="1" applyBorder="1" applyAlignment="1">
      <alignment horizontal="center" vertical="center"/>
    </xf>
    <xf numFmtId="222" fontId="3" fillId="0" borderId="41" xfId="3601" applyNumberFormat="1" applyFont="1" applyBorder="1" applyAlignment="1">
      <alignment horizontal="center" vertical="center"/>
    </xf>
    <xf numFmtId="222" fontId="3" fillId="0" borderId="42" xfId="3601" applyNumberFormat="1" applyFont="1" applyBorder="1" applyAlignment="1">
      <alignment horizontal="center" vertical="center"/>
    </xf>
    <xf numFmtId="0" fontId="13" fillId="0" borderId="47" xfId="3601" applyBorder="1" applyAlignment="1">
      <alignment horizontal="center"/>
    </xf>
    <xf numFmtId="0" fontId="13" fillId="0" borderId="0" xfId="3601" applyAlignment="1">
      <alignment horizontal="center"/>
    </xf>
    <xf numFmtId="0" fontId="13" fillId="0" borderId="138" xfId="3601" applyBorder="1" applyAlignment="1">
      <alignment horizontal="center"/>
    </xf>
    <xf numFmtId="0" fontId="13" fillId="0" borderId="48" xfId="3601" applyBorder="1" applyAlignment="1">
      <alignment horizontal="center"/>
    </xf>
    <xf numFmtId="0" fontId="13" fillId="0" borderId="38" xfId="3601" applyBorder="1" applyAlignment="1">
      <alignment horizontal="center"/>
    </xf>
    <xf numFmtId="0" fontId="13" fillId="0" borderId="54" xfId="3601" applyBorder="1" applyAlignment="1">
      <alignment horizontal="center"/>
    </xf>
    <xf numFmtId="0" fontId="3" fillId="0" borderId="85" xfId="3601" applyFont="1" applyBorder="1" applyAlignment="1">
      <alignment horizontal="center" vertical="center"/>
    </xf>
    <xf numFmtId="0" fontId="3" fillId="0" borderId="76" xfId="3601" applyFont="1" applyBorder="1" applyAlignment="1">
      <alignment horizontal="center" vertical="center"/>
    </xf>
    <xf numFmtId="0" fontId="3" fillId="0" borderId="87" xfId="3601" applyFont="1" applyBorder="1" applyAlignment="1">
      <alignment horizontal="center" vertical="center"/>
    </xf>
    <xf numFmtId="222" fontId="3" fillId="0" borderId="85" xfId="3601" applyNumberFormat="1" applyFont="1" applyBorder="1" applyAlignment="1">
      <alignment horizontal="center" vertical="center"/>
    </xf>
    <xf numFmtId="222" fontId="3" fillId="0" borderId="76" xfId="3601" applyNumberFormat="1" applyFont="1" applyBorder="1" applyAlignment="1">
      <alignment horizontal="center" vertical="center"/>
    </xf>
    <xf numFmtId="222" fontId="3" fillId="0" borderId="87" xfId="3601" applyNumberFormat="1" applyFont="1" applyBorder="1" applyAlignment="1">
      <alignment horizontal="center" vertical="center"/>
    </xf>
    <xf numFmtId="222" fontId="3" fillId="0" borderId="86" xfId="3601" applyNumberFormat="1" applyFont="1" applyBorder="1" applyAlignment="1">
      <alignment horizontal="center" vertical="center"/>
    </xf>
    <xf numFmtId="0" fontId="210" fillId="0" borderId="4" xfId="3601" applyFont="1" applyBorder="1" applyAlignment="1">
      <alignment horizontal="center"/>
    </xf>
    <xf numFmtId="0" fontId="210" fillId="0" borderId="0" xfId="3601" applyFont="1" applyAlignment="1">
      <alignment horizontal="center"/>
    </xf>
    <xf numFmtId="0" fontId="210" fillId="0" borderId="138" xfId="3601" applyFont="1" applyBorder="1" applyAlignment="1">
      <alignment horizontal="center"/>
    </xf>
    <xf numFmtId="0" fontId="211" fillId="39" borderId="94" xfId="3601" applyFont="1" applyFill="1" applyBorder="1" applyAlignment="1">
      <alignment horizontal="center" wrapText="1"/>
    </xf>
    <xf numFmtId="0" fontId="211" fillId="39" borderId="18" xfId="3601" applyFont="1" applyFill="1" applyBorder="1" applyAlignment="1">
      <alignment horizontal="center" wrapText="1"/>
    </xf>
    <xf numFmtId="1" fontId="23" fillId="40" borderId="0" xfId="3601" applyNumberFormat="1" applyFont="1" applyFill="1" applyAlignment="1" applyProtection="1">
      <alignment horizontal="center" vertical="center" wrapText="1"/>
      <protection hidden="1"/>
    </xf>
    <xf numFmtId="1" fontId="7" fillId="39" borderId="88" xfId="3601" applyNumberFormat="1" applyFont="1" applyFill="1" applyBorder="1" applyAlignment="1" applyProtection="1">
      <alignment horizontal="right" wrapText="1"/>
      <protection hidden="1"/>
    </xf>
    <xf numFmtId="1" fontId="7" fillId="39" borderId="89" xfId="3601" applyNumberFormat="1" applyFont="1" applyFill="1" applyBorder="1" applyAlignment="1" applyProtection="1">
      <alignment horizontal="right" wrapText="1"/>
      <protection hidden="1"/>
    </xf>
    <xf numFmtId="1" fontId="168" fillId="39" borderId="89" xfId="3601" applyNumberFormat="1" applyFont="1" applyFill="1" applyBorder="1" applyAlignment="1" applyProtection="1">
      <alignment horizontal="left" wrapText="1"/>
      <protection hidden="1"/>
    </xf>
    <xf numFmtId="1" fontId="168" fillId="39" borderId="90" xfId="3601" applyNumberFormat="1" applyFont="1" applyFill="1" applyBorder="1" applyAlignment="1" applyProtection="1">
      <alignment horizontal="left" wrapText="1"/>
      <protection hidden="1"/>
    </xf>
    <xf numFmtId="1" fontId="15" fillId="0" borderId="80" xfId="3601" applyNumberFormat="1" applyFont="1" applyBorder="1" applyAlignment="1">
      <alignment horizontal="center" vertical="center"/>
    </xf>
    <xf numFmtId="1" fontId="212" fillId="40" borderId="0" xfId="3601" applyNumberFormat="1" applyFont="1" applyFill="1" applyAlignment="1">
      <alignment horizontal="center" vertical="center"/>
    </xf>
    <xf numFmtId="1" fontId="23" fillId="0" borderId="18" xfId="3601" applyNumberFormat="1" applyFont="1" applyBorder="1" applyAlignment="1" applyProtection="1">
      <alignment horizontal="center" vertical="center"/>
      <protection locked="0"/>
    </xf>
    <xf numFmtId="1" fontId="23" fillId="0" borderId="20" xfId="3601" applyNumberFormat="1" applyFont="1" applyBorder="1" applyAlignment="1" applyProtection="1">
      <alignment horizontal="center" vertical="center"/>
      <protection locked="0"/>
    </xf>
    <xf numFmtId="1" fontId="12" fillId="0" borderId="94" xfId="3601" applyNumberFormat="1" applyFont="1" applyBorder="1" applyAlignment="1" applyProtection="1">
      <alignment horizontal="center" vertical="center" wrapText="1"/>
      <protection locked="0"/>
    </xf>
    <xf numFmtId="1" fontId="12" fillId="0" borderId="20" xfId="3601" applyNumberFormat="1" applyFont="1" applyBorder="1" applyAlignment="1" applyProtection="1">
      <alignment horizontal="center" vertical="center" wrapText="1"/>
      <protection locked="0"/>
    </xf>
    <xf numFmtId="240" fontId="12" fillId="0" borderId="94" xfId="3601" applyNumberFormat="1" applyFont="1" applyBorder="1" applyAlignment="1">
      <alignment horizontal="center" vertical="center" wrapText="1"/>
    </xf>
    <xf numFmtId="240" fontId="12" fillId="0" borderId="20" xfId="3601" applyNumberFormat="1" applyFont="1" applyBorder="1" applyAlignment="1">
      <alignment horizontal="center" vertical="center" wrapText="1"/>
    </xf>
    <xf numFmtId="0" fontId="202" fillId="2" borderId="94" xfId="3601" applyFont="1" applyFill="1" applyBorder="1" applyAlignment="1">
      <alignment horizontal="center" vertical="center"/>
    </xf>
    <xf numFmtId="0" fontId="202" fillId="2" borderId="20" xfId="3601" applyFont="1" applyFill="1" applyBorder="1" applyAlignment="1">
      <alignment horizontal="center" vertical="center"/>
    </xf>
    <xf numFmtId="0" fontId="12" fillId="0" borderId="94" xfId="3601" applyFont="1" applyBorder="1" applyAlignment="1">
      <alignment horizontal="center" vertical="center"/>
    </xf>
    <xf numFmtId="0" fontId="12" fillId="0" borderId="94" xfId="3601" applyFont="1" applyBorder="1" applyAlignment="1">
      <alignment horizontal="center" vertical="center" wrapText="1"/>
    </xf>
    <xf numFmtId="0" fontId="12" fillId="0" borderId="20" xfId="3601" applyFont="1" applyBorder="1" applyAlignment="1">
      <alignment horizontal="center" vertical="center" wrapText="1"/>
    </xf>
    <xf numFmtId="1" fontId="7" fillId="39" borderId="88" xfId="3601" applyNumberFormat="1" applyFont="1" applyFill="1" applyBorder="1" applyAlignment="1" applyProtection="1">
      <alignment horizontal="center" wrapText="1"/>
      <protection hidden="1"/>
    </xf>
    <xf numFmtId="1" fontId="7" fillId="39" borderId="89" xfId="3601" applyNumberFormat="1" applyFont="1" applyFill="1" applyBorder="1" applyAlignment="1" applyProtection="1">
      <alignment horizontal="center" wrapText="1"/>
      <protection hidden="1"/>
    </xf>
    <xf numFmtId="0" fontId="12" fillId="0" borderId="88" xfId="3597" applyFont="1" applyBorder="1" applyAlignment="1">
      <alignment horizontal="center" vertical="center" wrapText="1"/>
    </xf>
    <xf numFmtId="0" fontId="12" fillId="0" borderId="90" xfId="3597" applyFont="1" applyBorder="1" applyAlignment="1">
      <alignment horizontal="center" vertical="center" wrapText="1"/>
    </xf>
    <xf numFmtId="0" fontId="165" fillId="0" borderId="0" xfId="3597" applyFont="1" applyAlignment="1">
      <alignment horizontal="left" vertical="center"/>
    </xf>
    <xf numFmtId="0" fontId="23" fillId="0" borderId="0" xfId="3597" applyFont="1" applyAlignment="1">
      <alignment horizontal="left" vertical="center"/>
    </xf>
    <xf numFmtId="0" fontId="40" fillId="0" borderId="0" xfId="3597" applyFont="1" applyAlignment="1">
      <alignment horizontal="left"/>
    </xf>
    <xf numFmtId="0" fontId="23" fillId="0" borderId="92" xfId="3597" applyFont="1" applyBorder="1" applyAlignment="1">
      <alignment vertical="center" wrapText="1"/>
    </xf>
    <xf numFmtId="0" fontId="23" fillId="0" borderId="3" xfId="3597" applyFont="1" applyBorder="1" applyAlignment="1">
      <alignment vertical="center" wrapText="1"/>
    </xf>
    <xf numFmtId="0" fontId="23" fillId="0" borderId="2" xfId="3597" applyFont="1" applyBorder="1" applyAlignment="1">
      <alignment vertical="center" wrapText="1"/>
    </xf>
    <xf numFmtId="0" fontId="5" fillId="0" borderId="6" xfId="3597" applyFont="1" applyBorder="1" applyAlignment="1">
      <alignment horizontal="left"/>
    </xf>
    <xf numFmtId="0" fontId="5" fillId="0" borderId="7" xfId="3597" applyFont="1" applyBorder="1" applyAlignment="1">
      <alignment horizontal="left"/>
    </xf>
    <xf numFmtId="0" fontId="13" fillId="0" borderId="94" xfId="3594" applyBorder="1" applyAlignment="1">
      <alignment horizontal="center" vertical="center" wrapText="1"/>
    </xf>
    <xf numFmtId="0" fontId="13" fillId="0" borderId="20" xfId="3594" applyBorder="1" applyAlignment="1">
      <alignment horizontal="center" vertical="center" wrapText="1"/>
    </xf>
    <xf numFmtId="0" fontId="23" fillId="0" borderId="92" xfId="3597" applyFont="1" applyBorder="1" applyAlignment="1">
      <alignment horizontal="left" wrapText="1"/>
    </xf>
    <xf numFmtId="0" fontId="5" fillId="0" borderId="3" xfId="3597" applyFont="1" applyBorder="1" applyAlignment="1">
      <alignment horizontal="left"/>
    </xf>
    <xf numFmtId="0" fontId="29" fillId="0" borderId="17" xfId="2362" applyFont="1" applyBorder="1" applyAlignment="1">
      <alignment horizontal="center" vertical="top" wrapText="1"/>
    </xf>
    <xf numFmtId="0" fontId="30" fillId="0" borderId="17" xfId="2362" applyFont="1" applyBorder="1" applyAlignment="1">
      <alignment horizontal="left" vertical="top" wrapText="1"/>
    </xf>
    <xf numFmtId="0" fontId="30" fillId="0" borderId="18" xfId="2362" applyFont="1" applyBorder="1" applyAlignment="1">
      <alignment horizontal="center" vertical="top" wrapText="1"/>
    </xf>
    <xf numFmtId="0" fontId="35" fillId="0" borderId="18" xfId="2362" applyFont="1" applyBorder="1" applyAlignment="1">
      <alignment vertical="top" wrapText="1"/>
    </xf>
    <xf numFmtId="0" fontId="5" fillId="0" borderId="18" xfId="2362" applyFont="1" applyBorder="1" applyAlignment="1">
      <alignment horizontal="center" vertical="top" wrapText="1"/>
    </xf>
    <xf numFmtId="0" fontId="34" fillId="0" borderId="18" xfId="2362" applyFont="1" applyBorder="1" applyAlignment="1">
      <alignment vertical="top" wrapText="1"/>
    </xf>
    <xf numFmtId="0" fontId="33" fillId="0" borderId="4" xfId="2362" applyFont="1" applyBorder="1" applyAlignment="1">
      <alignment horizontal="center" vertical="center" wrapText="1"/>
    </xf>
    <xf numFmtId="0" fontId="33" fillId="0" borderId="5" xfId="2362" applyFont="1" applyBorder="1" applyAlignment="1">
      <alignment horizontal="center" vertical="center" wrapText="1"/>
    </xf>
    <xf numFmtId="0" fontId="26" fillId="0" borderId="20" xfId="2362" applyBorder="1" applyAlignment="1">
      <alignment vertical="top" wrapText="1"/>
    </xf>
    <xf numFmtId="0" fontId="34" fillId="0" borderId="20" xfId="2362" applyFont="1" applyBorder="1" applyAlignment="1">
      <alignment vertical="top" wrapText="1"/>
    </xf>
    <xf numFmtId="0" fontId="30" fillId="0" borderId="9" xfId="2362" applyFont="1" applyBorder="1" applyAlignment="1">
      <alignment horizontal="left" vertical="center" wrapText="1"/>
    </xf>
    <xf numFmtId="0" fontId="166" fillId="0" borderId="10" xfId="2362" applyFont="1" applyBorder="1" applyAlignment="1">
      <alignment horizontal="center" vertical="center" wrapText="1"/>
    </xf>
    <xf numFmtId="0" fontId="166" fillId="0" borderId="11" xfId="2362" applyFont="1" applyBorder="1" applyAlignment="1">
      <alignment horizontal="center" vertical="center" wrapText="1"/>
    </xf>
    <xf numFmtId="0" fontId="166" fillId="0" borderId="12" xfId="2362" applyFont="1" applyBorder="1" applyAlignment="1">
      <alignment horizontal="center" vertical="center" wrapText="1"/>
    </xf>
    <xf numFmtId="0" fontId="166" fillId="0" borderId="10" xfId="2362" applyFont="1" applyBorder="1" applyAlignment="1">
      <alignment horizontal="left" vertical="center" wrapText="1"/>
    </xf>
    <xf numFmtId="0" fontId="166" fillId="0" borderId="11" xfId="2362" applyFont="1" applyBorder="1" applyAlignment="1">
      <alignment horizontal="left" vertical="center" wrapText="1"/>
    </xf>
    <xf numFmtId="0" fontId="166" fillId="0" borderId="12" xfId="2362" applyFont="1" applyBorder="1" applyAlignment="1">
      <alignment horizontal="left" vertical="center" wrapText="1"/>
    </xf>
    <xf numFmtId="0" fontId="30" fillId="0" borderId="1" xfId="2362" applyFont="1" applyBorder="1" applyAlignment="1">
      <alignment vertical="center" wrapText="1"/>
    </xf>
    <xf numFmtId="0" fontId="30" fillId="0" borderId="3" xfId="2362" applyFont="1" applyBorder="1" applyAlignment="1">
      <alignment vertical="center" wrapText="1"/>
    </xf>
    <xf numFmtId="0" fontId="12" fillId="0" borderId="3" xfId="3601" applyFont="1" applyBorder="1" applyAlignment="1">
      <alignment horizontal="left" vertical="center" wrapText="1"/>
    </xf>
    <xf numFmtId="0" fontId="36" fillId="0" borderId="3" xfId="2362" applyFont="1" applyBorder="1" applyAlignment="1">
      <alignment horizontal="left" vertical="center" wrapText="1"/>
    </xf>
    <xf numFmtId="0" fontId="36" fillId="0" borderId="2" xfId="2362" applyFont="1" applyBorder="1" applyAlignment="1">
      <alignment horizontal="left" vertical="center" wrapText="1"/>
    </xf>
    <xf numFmtId="0" fontId="30" fillId="0" borderId="6" xfId="2362" applyFont="1" applyBorder="1" applyAlignment="1">
      <alignment vertical="center" wrapText="1"/>
    </xf>
    <xf numFmtId="0" fontId="30" fillId="0" borderId="7" xfId="2362" applyFont="1" applyBorder="1" applyAlignment="1">
      <alignment vertical="center" wrapText="1"/>
    </xf>
    <xf numFmtId="0" fontId="32" fillId="0" borderId="7" xfId="2362" applyFont="1" applyBorder="1" applyAlignment="1">
      <alignment vertical="center" wrapText="1"/>
    </xf>
    <xf numFmtId="0" fontId="32" fillId="0" borderId="8" xfId="2362" applyFont="1" applyBorder="1" applyAlignment="1">
      <alignment vertical="center" wrapText="1"/>
    </xf>
    <xf numFmtId="0" fontId="32" fillId="0" borderId="3" xfId="2362" applyFont="1" applyBorder="1" applyAlignment="1">
      <alignment vertical="center" wrapText="1"/>
    </xf>
    <xf numFmtId="0" fontId="32" fillId="0" borderId="2" xfId="2362" applyFont="1" applyBorder="1" applyAlignment="1">
      <alignment vertical="center" wrapText="1"/>
    </xf>
    <xf numFmtId="0" fontId="33" fillId="0" borderId="7" xfId="2362" applyFont="1" applyBorder="1" applyAlignment="1">
      <alignment vertical="center" wrapText="1"/>
    </xf>
    <xf numFmtId="0" fontId="33" fillId="0" borderId="8" xfId="2362" applyFont="1" applyBorder="1" applyAlignment="1">
      <alignment vertical="center" wrapText="1"/>
    </xf>
    <xf numFmtId="0" fontId="30" fillId="0" borderId="17" xfId="2362" applyFont="1" applyBorder="1" applyAlignment="1">
      <alignment horizontal="center" vertical="center" wrapText="1"/>
    </xf>
    <xf numFmtId="0" fontId="34" fillId="0" borderId="18" xfId="2362" applyFont="1" applyBorder="1" applyAlignment="1">
      <alignment horizontal="center" vertical="center" wrapText="1"/>
    </xf>
    <xf numFmtId="0" fontId="26" fillId="0" borderId="20" xfId="2362" applyBorder="1" applyAlignment="1">
      <alignment vertical="center" wrapText="1"/>
    </xf>
    <xf numFmtId="0" fontId="34" fillId="0" borderId="20" xfId="2362" applyFont="1" applyBorder="1" applyAlignment="1">
      <alignment horizontal="center" vertical="center" wrapText="1"/>
    </xf>
    <xf numFmtId="0" fontId="34" fillId="0" borderId="9" xfId="2362" applyFont="1" applyBorder="1" applyAlignment="1">
      <alignment horizontal="center" vertical="center" wrapText="1"/>
    </xf>
    <xf numFmtId="0" fontId="33" fillId="0" borderId="10" xfId="2362" applyFont="1" applyBorder="1" applyAlignment="1">
      <alignment horizontal="left" vertical="center" wrapText="1" indent="1"/>
    </xf>
    <xf numFmtId="0" fontId="33" fillId="0" borderId="11" xfId="2362" applyFont="1" applyBorder="1" applyAlignment="1">
      <alignment horizontal="left" vertical="center" wrapText="1" indent="1"/>
    </xf>
    <xf numFmtId="0" fontId="33" fillId="0" borderId="12" xfId="2362" applyFont="1" applyBorder="1" applyAlignment="1">
      <alignment horizontal="left" vertical="center" wrapText="1" indent="1"/>
    </xf>
    <xf numFmtId="0" fontId="34" fillId="0" borderId="10" xfId="2362" applyFont="1" applyBorder="1" applyAlignment="1">
      <alignment horizontal="center" vertical="center" wrapText="1"/>
    </xf>
    <xf numFmtId="0" fontId="34" fillId="0" borderId="11" xfId="2362" applyFont="1" applyBorder="1" applyAlignment="1">
      <alignment horizontal="center" vertical="center" wrapText="1"/>
    </xf>
    <xf numFmtId="0" fontId="34" fillId="0" borderId="12" xfId="2362" applyFont="1" applyBorder="1" applyAlignment="1">
      <alignment horizontal="center" vertical="center" wrapText="1"/>
    </xf>
    <xf numFmtId="0" fontId="36" fillId="0" borderId="10" xfId="2362" applyFont="1" applyBorder="1" applyAlignment="1">
      <alignment horizontal="left" vertical="center" wrapText="1" indent="1"/>
    </xf>
    <xf numFmtId="0" fontId="36" fillId="0" borderId="11" xfId="2362" applyFont="1" applyBorder="1" applyAlignment="1">
      <alignment horizontal="left" vertical="center" wrapText="1" indent="1"/>
    </xf>
    <xf numFmtId="0" fontId="36" fillId="0" borderId="12" xfId="2362" applyFont="1" applyBorder="1" applyAlignment="1">
      <alignment horizontal="left" vertical="center" wrapText="1" indent="1"/>
    </xf>
    <xf numFmtId="0" fontId="34" fillId="2" borderId="10" xfId="2362" applyFont="1" applyFill="1" applyBorder="1" applyAlignment="1">
      <alignment horizontal="center" vertical="center" wrapText="1"/>
    </xf>
    <xf numFmtId="0" fontId="34" fillId="2" borderId="11" xfId="2362" applyFont="1" applyFill="1" applyBorder="1" applyAlignment="1">
      <alignment horizontal="center" vertical="center" wrapText="1"/>
    </xf>
    <xf numFmtId="0" fontId="34" fillId="2" borderId="12" xfId="2362" applyFont="1" applyFill="1" applyBorder="1" applyAlignment="1">
      <alignment horizontal="center" vertical="center" wrapText="1"/>
    </xf>
    <xf numFmtId="0" fontId="36" fillId="0" borderId="10" xfId="2362" applyFont="1" applyBorder="1" applyAlignment="1">
      <alignment horizontal="center" vertical="center" wrapText="1"/>
    </xf>
    <xf numFmtId="0" fontId="36" fillId="0" borderId="12" xfId="2362" applyFont="1" applyBorder="1" applyAlignment="1">
      <alignment horizontal="center" vertical="center" wrapText="1"/>
    </xf>
    <xf numFmtId="0" fontId="36" fillId="4" borderId="9" xfId="2363" applyFont="1" applyFill="1" applyBorder="1" applyAlignment="1">
      <alignment horizontal="left" vertical="center" wrapText="1" indent="1"/>
    </xf>
    <xf numFmtId="0" fontId="34" fillId="4" borderId="9" xfId="2363" applyFont="1" applyFill="1" applyBorder="1" applyAlignment="1">
      <alignment horizontal="center" vertical="center" wrapText="1"/>
    </xf>
    <xf numFmtId="0" fontId="38" fillId="4" borderId="0" xfId="2363" applyFont="1" applyFill="1" applyAlignment="1">
      <alignment horizontal="center" wrapText="1"/>
    </xf>
    <xf numFmtId="0" fontId="30" fillId="0" borderId="4" xfId="2362" applyFont="1" applyBorder="1" applyAlignment="1">
      <alignment horizontal="left" vertical="top" wrapText="1"/>
    </xf>
    <xf numFmtId="0" fontId="30" fillId="0" borderId="0" xfId="2362" applyFont="1" applyAlignment="1">
      <alignment horizontal="left" vertical="top" wrapText="1"/>
    </xf>
    <xf numFmtId="0" fontId="30" fillId="0" borderId="5" xfId="2362" applyFont="1" applyBorder="1" applyAlignment="1">
      <alignment horizontal="left" vertical="top" wrapText="1"/>
    </xf>
    <xf numFmtId="0" fontId="30" fillId="0" borderId="4" xfId="2362" applyFont="1" applyBorder="1" applyAlignment="1">
      <alignment vertical="top" wrapText="1"/>
    </xf>
    <xf numFmtId="0" fontId="30" fillId="0" borderId="0" xfId="2362" applyFont="1" applyAlignment="1">
      <alignment vertical="top" wrapText="1"/>
    </xf>
    <xf numFmtId="0" fontId="30" fillId="0" borderId="5" xfId="2362" applyFont="1" applyBorder="1" applyAlignment="1">
      <alignment vertical="top" wrapText="1"/>
    </xf>
    <xf numFmtId="0" fontId="37" fillId="0" borderId="6" xfId="2362" applyFont="1" applyBorder="1" applyAlignment="1">
      <alignment vertical="top" wrapText="1"/>
    </xf>
    <xf numFmtId="0" fontId="37" fillId="0" borderId="7" xfId="2362" applyFont="1" applyBorder="1" applyAlignment="1">
      <alignment vertical="top" wrapText="1"/>
    </xf>
    <xf numFmtId="0" fontId="37" fillId="0" borderId="8" xfId="2362" applyFont="1" applyBorder="1" applyAlignment="1">
      <alignment vertical="top" wrapText="1"/>
    </xf>
    <xf numFmtId="0" fontId="36" fillId="0" borderId="9" xfId="2362" applyFont="1" applyBorder="1" applyAlignment="1">
      <alignment vertical="center" wrapText="1"/>
    </xf>
    <xf numFmtId="0" fontId="36" fillId="0" borderId="9" xfId="2362" applyFont="1" applyBorder="1" applyAlignment="1">
      <alignment horizontal="center" vertical="center" wrapText="1"/>
    </xf>
    <xf numFmtId="0" fontId="30" fillId="0" borderId="1" xfId="2362" applyFont="1" applyBorder="1" applyAlignment="1">
      <alignment vertical="top" wrapText="1"/>
    </xf>
    <xf numFmtId="0" fontId="30" fillId="0" borderId="3" xfId="2362" applyFont="1" applyBorder="1" applyAlignment="1">
      <alignment vertical="top" wrapText="1"/>
    </xf>
    <xf numFmtId="0" fontId="30" fillId="0" borderId="2" xfId="2362" applyFont="1" applyBorder="1" applyAlignment="1">
      <alignment vertical="top" wrapText="1"/>
    </xf>
    <xf numFmtId="0" fontId="35" fillId="0" borderId="4" xfId="2362" applyFont="1" applyBorder="1" applyAlignment="1">
      <alignment vertical="top" wrapText="1"/>
    </xf>
    <xf numFmtId="0" fontId="35" fillId="0" borderId="0" xfId="2362" applyFont="1" applyAlignment="1">
      <alignment vertical="top" wrapText="1"/>
    </xf>
    <xf numFmtId="0" fontId="35" fillId="0" borderId="5" xfId="2362" applyFont="1" applyBorder="1" applyAlignment="1">
      <alignment vertical="top" wrapText="1"/>
    </xf>
    <xf numFmtId="0" fontId="34" fillId="0" borderId="4" xfId="2362" applyFont="1" applyBorder="1" applyAlignment="1">
      <alignment horizontal="left" vertical="top" wrapText="1" indent="4"/>
    </xf>
    <xf numFmtId="0" fontId="34" fillId="0" borderId="0" xfId="2362" applyFont="1" applyAlignment="1">
      <alignment horizontal="left" vertical="top" wrapText="1" indent="4"/>
    </xf>
    <xf numFmtId="0" fontId="34" fillId="0" borderId="5" xfId="2362" applyFont="1" applyBorder="1" applyAlignment="1">
      <alignment horizontal="left" vertical="top" wrapText="1" indent="4"/>
    </xf>
    <xf numFmtId="0" fontId="23" fillId="0" borderId="1" xfId="2362" applyFont="1" applyBorder="1" applyAlignment="1">
      <alignment horizontal="center" vertical="top" wrapText="1"/>
    </xf>
    <xf numFmtId="0" fontId="23" fillId="0" borderId="2" xfId="2362" applyFont="1" applyBorder="1" applyAlignment="1">
      <alignment horizontal="center" vertical="top" wrapText="1"/>
    </xf>
    <xf numFmtId="0" fontId="23" fillId="0" borderId="4" xfId="2362" applyFont="1" applyBorder="1" applyAlignment="1">
      <alignment horizontal="center" vertical="top" wrapText="1"/>
    </xf>
    <xf numFmtId="0" fontId="23" fillId="0" borderId="5" xfId="2362" applyFont="1" applyBorder="1" applyAlignment="1">
      <alignment horizontal="center" vertical="top" wrapText="1"/>
    </xf>
    <xf numFmtId="0" fontId="23" fillId="0" borderId="6" xfId="2362" applyFont="1" applyBorder="1" applyAlignment="1">
      <alignment horizontal="center" vertical="top" wrapText="1"/>
    </xf>
    <xf numFmtId="0" fontId="23" fillId="0" borderId="8" xfId="2362" applyFont="1" applyBorder="1" applyAlignment="1">
      <alignment horizontal="center" vertical="top" wrapText="1"/>
    </xf>
    <xf numFmtId="0" fontId="34" fillId="0" borderId="4" xfId="2362" applyFont="1" applyBorder="1" applyAlignment="1">
      <alignment horizontal="center" vertical="center" wrapText="1"/>
    </xf>
    <xf numFmtId="0" fontId="34" fillId="0" borderId="0" xfId="2362" applyFont="1" applyAlignment="1">
      <alignment horizontal="center" vertical="center" wrapText="1"/>
    </xf>
    <xf numFmtId="0" fontId="34" fillId="0" borderId="5" xfId="2362" applyFont="1" applyBorder="1" applyAlignment="1">
      <alignment horizontal="center" vertical="center" wrapText="1"/>
    </xf>
    <xf numFmtId="0" fontId="34" fillId="0" borderId="6" xfId="2362" applyFont="1" applyBorder="1" applyAlignment="1">
      <alignment horizontal="center" vertical="center" wrapText="1"/>
    </xf>
    <xf numFmtId="0" fontId="34" fillId="0" borderId="7" xfId="2362" applyFont="1" applyBorder="1" applyAlignment="1">
      <alignment horizontal="center" vertical="center" wrapText="1"/>
    </xf>
    <xf numFmtId="0" fontId="34" fillId="0" borderId="8" xfId="2362" applyFont="1" applyBorder="1" applyAlignment="1">
      <alignment horizontal="center" vertical="center" wrapText="1"/>
    </xf>
    <xf numFmtId="0" fontId="26" fillId="4" borderId="9" xfId="2363" applyFill="1" applyBorder="1" applyAlignment="1">
      <alignment horizontal="center" vertical="center" wrapText="1"/>
    </xf>
    <xf numFmtId="0" fontId="35" fillId="0" borderId="4" xfId="2362" applyFont="1" applyBorder="1" applyAlignment="1">
      <alignment horizontal="left" vertical="top" wrapText="1" indent="1"/>
    </xf>
    <xf numFmtId="0" fontId="35" fillId="0" borderId="0" xfId="2362" applyFont="1" applyAlignment="1">
      <alignment horizontal="left" vertical="top" wrapText="1" indent="1"/>
    </xf>
    <xf numFmtId="0" fontId="35" fillId="0" borderId="5" xfId="2362" applyFont="1" applyBorder="1" applyAlignment="1">
      <alignment horizontal="left" vertical="top" wrapText="1" indent="1"/>
    </xf>
    <xf numFmtId="0" fontId="3" fillId="0" borderId="6" xfId="3599" applyFont="1" applyBorder="1" applyAlignment="1">
      <alignment horizontal="left" vertical="center"/>
    </xf>
    <xf numFmtId="0" fontId="3" fillId="0" borderId="7" xfId="3599" applyFont="1" applyBorder="1" applyAlignment="1">
      <alignment horizontal="left" vertical="center"/>
    </xf>
    <xf numFmtId="14" fontId="7" fillId="0" borderId="7" xfId="3599" quotePrefix="1" applyNumberFormat="1" applyFont="1" applyBorder="1" applyAlignment="1">
      <alignment horizontal="center" vertical="center"/>
    </xf>
    <xf numFmtId="0" fontId="7" fillId="0" borderId="7" xfId="3599" applyFont="1" applyBorder="1" applyAlignment="1">
      <alignment horizontal="center" vertical="center"/>
    </xf>
    <xf numFmtId="0" fontId="7" fillId="0" borderId="8" xfId="3599" applyFont="1" applyBorder="1" applyAlignment="1">
      <alignment horizontal="center" vertical="center"/>
    </xf>
    <xf numFmtId="14" fontId="7" fillId="0" borderId="7" xfId="3599" applyNumberFormat="1" applyFont="1" applyBorder="1" applyAlignment="1">
      <alignment horizontal="center" vertical="center"/>
    </xf>
    <xf numFmtId="0" fontId="3" fillId="0" borderId="20" xfId="3599" applyFont="1" applyBorder="1" applyAlignment="1">
      <alignment horizontal="left" vertical="center"/>
    </xf>
    <xf numFmtId="0" fontId="3" fillId="0" borderId="18" xfId="3599" applyFont="1" applyBorder="1" applyAlignment="1">
      <alignment horizontal="left" vertical="top"/>
    </xf>
    <xf numFmtId="0" fontId="3" fillId="0" borderId="4" xfId="3599" applyFont="1" applyBorder="1" applyAlignment="1">
      <alignment horizontal="center" vertical="top"/>
    </xf>
    <xf numFmtId="0" fontId="3" fillId="0" borderId="0" xfId="3599" applyFont="1" applyAlignment="1">
      <alignment horizontal="center" vertical="top"/>
    </xf>
    <xf numFmtId="0" fontId="3" fillId="0" borderId="5" xfId="3599" applyFont="1" applyBorder="1" applyAlignment="1">
      <alignment horizontal="center" vertical="top"/>
    </xf>
    <xf numFmtId="0" fontId="8" fillId="0" borderId="4" xfId="3599" applyFont="1" applyBorder="1" applyAlignment="1">
      <alignment horizontal="left" vertical="top" wrapText="1"/>
    </xf>
    <xf numFmtId="0" fontId="13" fillId="0" borderId="3" xfId="3599" applyBorder="1" applyAlignment="1">
      <alignment vertical="top"/>
    </xf>
    <xf numFmtId="0" fontId="13" fillId="0" borderId="4" xfId="3599" applyBorder="1" applyAlignment="1">
      <alignment vertical="top"/>
    </xf>
    <xf numFmtId="0" fontId="13" fillId="0" borderId="0" xfId="3599" applyAlignment="1">
      <alignment vertical="top"/>
    </xf>
    <xf numFmtId="0" fontId="13" fillId="0" borderId="6" xfId="3599" applyBorder="1" applyAlignment="1">
      <alignment vertical="top"/>
    </xf>
    <xf numFmtId="0" fontId="13" fillId="0" borderId="7" xfId="3599" applyBorder="1" applyAlignment="1">
      <alignment vertical="top"/>
    </xf>
    <xf numFmtId="0" fontId="10" fillId="0" borderId="0" xfId="3599" applyFont="1" applyAlignment="1">
      <alignment horizontal="left" vertical="top" wrapText="1"/>
    </xf>
    <xf numFmtId="0" fontId="1" fillId="0" borderId="0" xfId="3599" applyFont="1" applyAlignment="1">
      <alignment horizontal="left" vertical="top" wrapText="1"/>
    </xf>
    <xf numFmtId="0" fontId="1" fillId="0" borderId="7" xfId="3599" applyFont="1" applyBorder="1" applyAlignment="1">
      <alignment horizontal="left" vertical="top" wrapText="1"/>
    </xf>
    <xf numFmtId="0" fontId="10" fillId="0" borderId="3" xfId="3599" applyFont="1" applyBorder="1" applyAlignment="1">
      <alignment horizontal="left" vertical="top" wrapText="1"/>
    </xf>
    <xf numFmtId="0" fontId="10" fillId="0" borderId="2" xfId="3599" applyFont="1" applyBorder="1" applyAlignment="1">
      <alignment horizontal="left" vertical="top" wrapText="1"/>
    </xf>
    <xf numFmtId="0" fontId="10" fillId="0" borderId="5" xfId="3599" applyFont="1" applyBorder="1" applyAlignment="1">
      <alignment horizontal="left" vertical="top" wrapText="1"/>
    </xf>
    <xf numFmtId="0" fontId="10" fillId="0" borderId="7" xfId="3599" applyFont="1" applyBorder="1" applyAlignment="1">
      <alignment horizontal="left" vertical="top" wrapText="1"/>
    </xf>
    <xf numFmtId="0" fontId="10" fillId="0" borderId="8" xfId="3599" applyFont="1" applyBorder="1" applyAlignment="1">
      <alignment horizontal="left" vertical="top" wrapText="1"/>
    </xf>
    <xf numFmtId="0" fontId="7" fillId="0" borderId="94" xfId="3599" applyFont="1" applyBorder="1" applyAlignment="1">
      <alignment horizontal="left" vertical="top"/>
    </xf>
    <xf numFmtId="0" fontId="7" fillId="0" borderId="1" xfId="3599" applyFont="1" applyBorder="1" applyAlignment="1">
      <alignment horizontal="left" vertical="top"/>
    </xf>
    <xf numFmtId="0" fontId="7" fillId="0" borderId="3" xfId="3599" applyFont="1" applyBorder="1" applyAlignment="1">
      <alignment horizontal="left" vertical="top"/>
    </xf>
    <xf numFmtId="0" fontId="7" fillId="0" borderId="2" xfId="3599" applyFont="1" applyBorder="1" applyAlignment="1">
      <alignment horizontal="left" vertical="top"/>
    </xf>
    <xf numFmtId="0" fontId="13" fillId="0" borderId="15" xfId="3600" applyBorder="1" applyAlignment="1">
      <alignment horizontal="center" vertical="center" wrapText="1"/>
    </xf>
    <xf numFmtId="0" fontId="13" fillId="0" borderId="16" xfId="3600" applyBorder="1" applyAlignment="1">
      <alignment horizontal="center" vertical="center" wrapText="1"/>
    </xf>
    <xf numFmtId="0" fontId="13" fillId="0" borderId="19" xfId="3600" applyBorder="1" applyAlignment="1">
      <alignment horizontal="center" vertical="center" wrapText="1"/>
    </xf>
    <xf numFmtId="0" fontId="8" fillId="2" borderId="1" xfId="3599" applyFont="1" applyFill="1" applyBorder="1" applyAlignment="1">
      <alignment horizontal="left" vertical="top" wrapText="1"/>
    </xf>
    <xf numFmtId="0" fontId="10" fillId="2" borderId="3" xfId="3599" applyFont="1" applyFill="1" applyBorder="1" applyAlignment="1">
      <alignment horizontal="left" vertical="top" wrapText="1"/>
    </xf>
    <xf numFmtId="0" fontId="1" fillId="2" borderId="3" xfId="3599" applyFont="1" applyFill="1" applyBorder="1" applyAlignment="1">
      <alignment vertical="top"/>
    </xf>
    <xf numFmtId="0" fontId="1" fillId="2" borderId="2" xfId="3599" applyFont="1" applyFill="1" applyBorder="1" applyAlignment="1">
      <alignment vertical="top"/>
    </xf>
    <xf numFmtId="0" fontId="1" fillId="2" borderId="0" xfId="3599" applyFont="1" applyFill="1" applyAlignment="1">
      <alignment vertical="top"/>
    </xf>
    <xf numFmtId="0" fontId="1" fillId="2" borderId="5" xfId="3599" applyFont="1" applyFill="1" applyBorder="1" applyAlignment="1">
      <alignment vertical="top"/>
    </xf>
    <xf numFmtId="0" fontId="1" fillId="2" borderId="7" xfId="3599" applyFont="1" applyFill="1" applyBorder="1" applyAlignment="1">
      <alignment vertical="top"/>
    </xf>
    <xf numFmtId="0" fontId="1" fillId="2" borderId="8" xfId="3599" applyFont="1" applyFill="1" applyBorder="1" applyAlignment="1">
      <alignment vertical="top"/>
    </xf>
    <xf numFmtId="0" fontId="10" fillId="2" borderId="4" xfId="3599" applyFont="1" applyFill="1" applyBorder="1" applyAlignment="1">
      <alignment vertical="top" wrapText="1"/>
    </xf>
    <xf numFmtId="0" fontId="10" fillId="2" borderId="0" xfId="3599" applyFont="1" applyFill="1" applyAlignment="1">
      <alignment vertical="top" wrapText="1"/>
    </xf>
    <xf numFmtId="0" fontId="10" fillId="2" borderId="0" xfId="3599" applyFont="1" applyFill="1" applyAlignment="1">
      <alignment horizontal="left" vertical="top" wrapText="1"/>
    </xf>
    <xf numFmtId="0" fontId="10" fillId="2" borderId="4" xfId="3599" applyFont="1" applyFill="1" applyBorder="1" applyAlignment="1">
      <alignment horizontal="left" vertical="top" wrapText="1"/>
    </xf>
    <xf numFmtId="0" fontId="13" fillId="2" borderId="0" xfId="3599" applyFill="1" applyAlignment="1">
      <alignment vertical="top"/>
    </xf>
    <xf numFmtId="49" fontId="13" fillId="2" borderId="15" xfId="3600" quotePrefix="1" applyNumberFormat="1" applyFill="1" applyBorder="1" applyAlignment="1">
      <alignment horizontal="center" vertical="center" wrapText="1"/>
    </xf>
    <xf numFmtId="49" fontId="13" fillId="2" borderId="16" xfId="3600" applyNumberFormat="1" applyFill="1" applyBorder="1" applyAlignment="1">
      <alignment horizontal="center" vertical="center" wrapText="1"/>
    </xf>
    <xf numFmtId="49" fontId="13" fillId="2" borderId="19" xfId="3600" applyNumberFormat="1" applyFill="1" applyBorder="1" applyAlignment="1">
      <alignment horizontal="center" vertical="center" wrapText="1"/>
    </xf>
    <xf numFmtId="0" fontId="13" fillId="2" borderId="15" xfId="3600" applyFill="1" applyBorder="1" applyAlignment="1">
      <alignment horizontal="center" vertical="center" wrapText="1"/>
    </xf>
    <xf numFmtId="0" fontId="13" fillId="2" borderId="19" xfId="3600" applyFill="1" applyBorder="1" applyAlignment="1">
      <alignment horizontal="center" vertical="center" wrapText="1"/>
    </xf>
    <xf numFmtId="49" fontId="13" fillId="0" borderId="15" xfId="3600" quotePrefix="1" applyNumberFormat="1" applyBorder="1" applyAlignment="1">
      <alignment horizontal="center" vertical="center" wrapText="1"/>
    </xf>
    <xf numFmtId="49" fontId="13" fillId="0" borderId="19" xfId="3600" applyNumberFormat="1" applyBorder="1" applyAlignment="1">
      <alignment horizontal="center" vertical="center" wrapText="1"/>
    </xf>
    <xf numFmtId="0" fontId="13" fillId="0" borderId="15" xfId="3600" quotePrefix="1" applyBorder="1" applyAlignment="1">
      <alignment horizontal="center" vertical="center" wrapText="1"/>
    </xf>
    <xf numFmtId="0" fontId="13" fillId="2" borderId="15" xfId="3600" quotePrefix="1" applyFill="1" applyBorder="1" applyAlignment="1">
      <alignment horizontal="center" vertical="center" wrapText="1"/>
    </xf>
    <xf numFmtId="0" fontId="13" fillId="2" borderId="16" xfId="3600" applyFill="1" applyBorder="1" applyAlignment="1">
      <alignment horizontal="center" vertical="center"/>
    </xf>
    <xf numFmtId="0" fontId="13" fillId="2" borderId="19" xfId="3600" applyFill="1" applyBorder="1" applyAlignment="1">
      <alignment horizontal="center" vertical="center"/>
    </xf>
    <xf numFmtId="0" fontId="13" fillId="0" borderId="19" xfId="3600" quotePrefix="1" applyBorder="1" applyAlignment="1">
      <alignment horizontal="center" vertical="center" wrapText="1"/>
    </xf>
    <xf numFmtId="0" fontId="5" fillId="2" borderId="1" xfId="3599" applyFont="1" applyFill="1" applyBorder="1" applyAlignment="1">
      <alignment horizontal="left" vertical="top" wrapText="1"/>
    </xf>
    <xf numFmtId="0" fontId="5" fillId="2" borderId="3" xfId="3599" applyFont="1" applyFill="1" applyBorder="1" applyAlignment="1">
      <alignment horizontal="left" vertical="top" wrapText="1"/>
    </xf>
    <xf numFmtId="0" fontId="5" fillId="2" borderId="2" xfId="3599" applyFont="1" applyFill="1" applyBorder="1" applyAlignment="1">
      <alignment horizontal="left" vertical="top" wrapText="1"/>
    </xf>
    <xf numFmtId="0" fontId="6" fillId="2" borderId="1" xfId="3599" applyFont="1" applyFill="1" applyBorder="1" applyAlignment="1">
      <alignment horizontal="left" vertical="top"/>
    </xf>
    <xf numFmtId="0" fontId="6" fillId="2" borderId="3" xfId="3599" applyFont="1" applyFill="1" applyBorder="1" applyAlignment="1">
      <alignment horizontal="left" vertical="top"/>
    </xf>
    <xf numFmtId="0" fontId="6" fillId="2" borderId="2" xfId="3599" applyFont="1" applyFill="1" applyBorder="1" applyAlignment="1">
      <alignment horizontal="left" vertical="top"/>
    </xf>
    <xf numFmtId="0" fontId="3" fillId="2" borderId="6" xfId="3599" applyFont="1" applyFill="1" applyBorder="1" applyAlignment="1">
      <alignment horizontal="left" vertical="top"/>
    </xf>
    <xf numFmtId="0" fontId="1" fillId="2" borderId="7" xfId="3599" applyFont="1" applyFill="1" applyBorder="1" applyAlignment="1">
      <alignment horizontal="left" vertical="top"/>
    </xf>
    <xf numFmtId="0" fontId="1" fillId="2" borderId="8" xfId="3599" applyFont="1" applyFill="1" applyBorder="1" applyAlignment="1">
      <alignment horizontal="left" vertical="top"/>
    </xf>
    <xf numFmtId="0" fontId="3" fillId="2" borderId="7" xfId="3599" applyFont="1" applyFill="1" applyBorder="1" applyAlignment="1">
      <alignment horizontal="left" vertical="top"/>
    </xf>
    <xf numFmtId="0" fontId="3" fillId="2" borderId="8" xfId="3599" applyFont="1" applyFill="1" applyBorder="1" applyAlignment="1">
      <alignment horizontal="left" vertical="top"/>
    </xf>
    <xf numFmtId="0" fontId="13" fillId="2" borderId="88" xfId="3599" applyFill="1" applyBorder="1" applyAlignment="1">
      <alignment horizontal="center" vertical="top" wrapText="1"/>
    </xf>
    <xf numFmtId="0" fontId="1" fillId="2" borderId="89" xfId="3599" applyFont="1" applyFill="1" applyBorder="1" applyAlignment="1">
      <alignment horizontal="center" vertical="top" wrapText="1"/>
    </xf>
    <xf numFmtId="0" fontId="1" fillId="2" borderId="90" xfId="3599" applyFont="1" applyFill="1" applyBorder="1" applyAlignment="1">
      <alignment horizontal="center" vertical="top" wrapText="1"/>
    </xf>
    <xf numFmtId="0" fontId="3" fillId="2" borderId="88" xfId="3599" applyFont="1" applyFill="1" applyBorder="1" applyAlignment="1">
      <alignment horizontal="center" vertical="top" wrapText="1"/>
    </xf>
    <xf numFmtId="0" fontId="13" fillId="2" borderId="89" xfId="3599" applyFill="1" applyBorder="1" applyAlignment="1">
      <alignment horizontal="center" vertical="top" wrapText="1"/>
    </xf>
    <xf numFmtId="0" fontId="13" fillId="2" borderId="90" xfId="3599" applyFill="1" applyBorder="1" applyAlignment="1">
      <alignment horizontal="center" vertical="top" wrapText="1"/>
    </xf>
    <xf numFmtId="0" fontId="7" fillId="2" borderId="4" xfId="3598" applyFont="1" applyFill="1" applyBorder="1" applyAlignment="1">
      <alignment horizontal="center" vertical="center" wrapText="1"/>
    </xf>
    <xf numFmtId="0" fontId="7" fillId="2" borderId="0" xfId="3598" applyFont="1" applyFill="1" applyAlignment="1">
      <alignment horizontal="center" vertical="center" wrapText="1"/>
    </xf>
    <xf numFmtId="0" fontId="7" fillId="2" borderId="5" xfId="3598" applyFont="1" applyFill="1" applyBorder="1" applyAlignment="1">
      <alignment horizontal="center" vertical="center" wrapText="1"/>
    </xf>
    <xf numFmtId="0" fontId="7" fillId="2" borderId="6" xfId="3598" applyFont="1" applyFill="1" applyBorder="1" applyAlignment="1">
      <alignment horizontal="center" vertical="center"/>
    </xf>
    <xf numFmtId="0" fontId="7" fillId="2" borderId="7" xfId="3598" applyFont="1" applyFill="1" applyBorder="1" applyAlignment="1">
      <alignment horizontal="center" vertical="center"/>
    </xf>
    <xf numFmtId="0" fontId="7" fillId="2" borderId="6" xfId="3598" applyFont="1" applyFill="1" applyBorder="1" applyAlignment="1">
      <alignment horizontal="center" vertical="center" wrapText="1"/>
    </xf>
    <xf numFmtId="0" fontId="7" fillId="2" borderId="7" xfId="3598" applyFont="1" applyFill="1" applyBorder="1" applyAlignment="1">
      <alignment horizontal="center" vertical="center" wrapText="1"/>
    </xf>
    <xf numFmtId="0" fontId="7" fillId="2" borderId="8" xfId="3598" applyFont="1" applyFill="1" applyBorder="1" applyAlignment="1">
      <alignment horizontal="center" vertical="center" wrapText="1"/>
    </xf>
    <xf numFmtId="0" fontId="7" fillId="2" borderId="8" xfId="3598" applyFont="1" applyFill="1" applyBorder="1" applyAlignment="1">
      <alignment horizontal="center" vertical="center"/>
    </xf>
    <xf numFmtId="0" fontId="7" fillId="0" borderId="6" xfId="3598" applyFont="1" applyBorder="1" applyAlignment="1">
      <alignment horizontal="center" vertical="center" wrapText="1"/>
    </xf>
    <xf numFmtId="0" fontId="7" fillId="0" borderId="7" xfId="3598" applyFont="1" applyBorder="1" applyAlignment="1">
      <alignment horizontal="center" vertical="center" wrapText="1"/>
    </xf>
    <xf numFmtId="0" fontId="7" fillId="0" borderId="8" xfId="3598" applyFont="1" applyBorder="1" applyAlignment="1">
      <alignment horizontal="center" vertical="center" wrapText="1"/>
    </xf>
    <xf numFmtId="0" fontId="6" fillId="2" borderId="1" xfId="3598" applyFont="1" applyFill="1" applyBorder="1" applyAlignment="1">
      <alignment horizontal="center" vertical="top" wrapText="1"/>
    </xf>
    <xf numFmtId="0" fontId="6" fillId="2" borderId="3" xfId="3598" applyFont="1" applyFill="1" applyBorder="1" applyAlignment="1">
      <alignment horizontal="center" vertical="top" wrapText="1"/>
    </xf>
    <xf numFmtId="0" fontId="6" fillId="2" borderId="2" xfId="3598" applyFont="1" applyFill="1" applyBorder="1" applyAlignment="1">
      <alignment horizontal="center" vertical="top" wrapText="1"/>
    </xf>
    <xf numFmtId="0" fontId="1" fillId="2" borderId="4" xfId="3598" applyFont="1" applyFill="1" applyBorder="1" applyAlignment="1">
      <alignment horizontal="center" vertical="top" wrapText="1"/>
    </xf>
    <xf numFmtId="0" fontId="1" fillId="2" borderId="0" xfId="3598" applyFont="1" applyFill="1" applyAlignment="1">
      <alignment horizontal="center" vertical="top" wrapText="1"/>
    </xf>
    <xf numFmtId="0" fontId="1" fillId="2" borderId="5" xfId="3598" applyFont="1" applyFill="1" applyBorder="1" applyAlignment="1">
      <alignment horizontal="center" vertical="top" wrapText="1"/>
    </xf>
    <xf numFmtId="0" fontId="1" fillId="0" borderId="4" xfId="3598" applyFont="1" applyBorder="1" applyAlignment="1">
      <alignment horizontal="center" vertical="top" wrapText="1"/>
    </xf>
    <xf numFmtId="0" fontId="1" fillId="0" borderId="0" xfId="3598" applyFont="1" applyAlignment="1">
      <alignment horizontal="center" vertical="top" wrapText="1"/>
    </xf>
    <xf numFmtId="0" fontId="1" fillId="0" borderId="5" xfId="3598" applyFont="1" applyBorder="1" applyAlignment="1">
      <alignment horizontal="center" vertical="top" wrapText="1"/>
    </xf>
    <xf numFmtId="0" fontId="13" fillId="2" borderId="1" xfId="3598" applyFill="1" applyBorder="1" applyAlignment="1">
      <alignment horizontal="left" vertical="center" wrapText="1"/>
    </xf>
    <xf numFmtId="0" fontId="18" fillId="2" borderId="3" xfId="3598" applyFont="1" applyFill="1" applyBorder="1" applyAlignment="1">
      <alignment horizontal="left" vertical="center" wrapText="1"/>
    </xf>
    <xf numFmtId="0" fontId="20" fillId="2" borderId="1" xfId="3598" applyFont="1" applyFill="1" applyBorder="1" applyAlignment="1">
      <alignment horizontal="left" vertical="top" wrapText="1"/>
    </xf>
    <xf numFmtId="0" fontId="20" fillId="2" borderId="3" xfId="3598" applyFont="1" applyFill="1" applyBorder="1" applyAlignment="1">
      <alignment horizontal="left" vertical="top" wrapText="1"/>
    </xf>
    <xf numFmtId="0" fontId="160" fillId="2" borderId="3" xfId="3598" applyFont="1" applyFill="1" applyBorder="1" applyAlignment="1">
      <alignment horizontal="left" vertical="top" wrapText="1"/>
    </xf>
    <xf numFmtId="0" fontId="6" fillId="2" borderId="3" xfId="3598" applyFont="1" applyFill="1" applyBorder="1" applyAlignment="1">
      <alignment horizontal="left" vertical="top" wrapText="1"/>
    </xf>
    <xf numFmtId="0" fontId="6" fillId="2" borderId="2" xfId="3598" applyFont="1" applyFill="1" applyBorder="1" applyAlignment="1">
      <alignment horizontal="left" vertical="top" wrapText="1"/>
    </xf>
    <xf numFmtId="0" fontId="1" fillId="2" borderId="6" xfId="3598" applyFont="1" applyFill="1" applyBorder="1" applyAlignment="1">
      <alignment horizontal="left" vertical="top" wrapText="1"/>
    </xf>
    <xf numFmtId="0" fontId="24" fillId="2" borderId="7" xfId="3598" applyFont="1" applyFill="1" applyBorder="1" applyAlignment="1">
      <alignment horizontal="left" vertical="top" wrapText="1"/>
    </xf>
    <xf numFmtId="0" fontId="25" fillId="2" borderId="7" xfId="3598" applyFont="1" applyFill="1" applyBorder="1" applyAlignment="1">
      <alignment horizontal="left" vertical="top" wrapText="1"/>
    </xf>
    <xf numFmtId="0" fontId="7" fillId="2" borderId="6" xfId="3598" applyFont="1" applyFill="1" applyBorder="1" applyAlignment="1">
      <alignment horizontal="center" vertical="top" wrapText="1"/>
    </xf>
    <xf numFmtId="0" fontId="6" fillId="2" borderId="7" xfId="3598" applyFont="1" applyFill="1" applyBorder="1" applyAlignment="1">
      <alignment horizontal="center" vertical="top" wrapText="1"/>
    </xf>
    <xf numFmtId="0" fontId="160" fillId="2" borderId="7" xfId="3598" applyFont="1" applyFill="1" applyBorder="1" applyAlignment="1">
      <alignment horizontal="center" vertical="top" wrapText="1"/>
    </xf>
    <xf numFmtId="0" fontId="161" fillId="2" borderId="7" xfId="3598" applyFont="1" applyFill="1" applyBorder="1" applyAlignment="1">
      <alignment horizontal="center" vertical="top" wrapText="1"/>
    </xf>
    <xf numFmtId="0" fontId="6" fillId="2" borderId="8" xfId="3598" applyFont="1" applyFill="1" applyBorder="1" applyAlignment="1">
      <alignment horizontal="center" vertical="top" wrapText="1"/>
    </xf>
    <xf numFmtId="0" fontId="6" fillId="2" borderId="1" xfId="3598" applyFont="1" applyFill="1" applyBorder="1" applyAlignment="1">
      <alignment horizontal="center" vertical="top"/>
    </xf>
    <xf numFmtId="0" fontId="6" fillId="2" borderId="3" xfId="3598" applyFont="1" applyFill="1" applyBorder="1" applyAlignment="1">
      <alignment horizontal="center" vertical="top"/>
    </xf>
    <xf numFmtId="0" fontId="6" fillId="2" borderId="2" xfId="3598" applyFont="1" applyFill="1" applyBorder="1" applyAlignment="1">
      <alignment horizontal="center" vertical="top"/>
    </xf>
    <xf numFmtId="0" fontId="6" fillId="0" borderId="1" xfId="3598" applyFont="1" applyBorder="1" applyAlignment="1">
      <alignment horizontal="center" vertical="top" wrapText="1"/>
    </xf>
    <xf numFmtId="0" fontId="6" fillId="0" borderId="3" xfId="3598" applyFont="1" applyBorder="1" applyAlignment="1">
      <alignment horizontal="center" vertical="top" wrapText="1"/>
    </xf>
    <xf numFmtId="0" fontId="6" fillId="0" borderId="2" xfId="3598" applyFont="1" applyBorder="1" applyAlignment="1">
      <alignment horizontal="center" vertical="top" wrapText="1"/>
    </xf>
    <xf numFmtId="14" fontId="7" fillId="0" borderId="6" xfId="3598" quotePrefix="1" applyNumberFormat="1" applyFont="1" applyBorder="1" applyAlignment="1">
      <alignment horizontal="center" vertical="top" wrapText="1"/>
    </xf>
    <xf numFmtId="0" fontId="7" fillId="0" borderId="7" xfId="3598" applyFont="1" applyBorder="1" applyAlignment="1">
      <alignment horizontal="center" vertical="top" wrapText="1"/>
    </xf>
    <xf numFmtId="0" fontId="7" fillId="0" borderId="8" xfId="3598" applyFont="1" applyBorder="1" applyAlignment="1">
      <alignment horizontal="center" vertical="top" wrapText="1"/>
    </xf>
    <xf numFmtId="0" fontId="6" fillId="2" borderId="1" xfId="3598" applyFont="1" applyFill="1" applyBorder="1" applyAlignment="1">
      <alignment horizontal="left" vertical="top" wrapText="1"/>
    </xf>
    <xf numFmtId="0" fontId="158" fillId="2" borderId="7" xfId="3598" applyFont="1" applyFill="1" applyBorder="1" applyAlignment="1">
      <alignment horizontal="center" vertical="top" wrapText="1"/>
    </xf>
    <xf numFmtId="0" fontId="158" fillId="2" borderId="8" xfId="3598" applyFont="1" applyFill="1" applyBorder="1" applyAlignment="1">
      <alignment horizontal="center" vertical="top" wrapText="1"/>
    </xf>
    <xf numFmtId="0" fontId="7" fillId="2" borderId="4" xfId="3598" quotePrefix="1" applyFont="1" applyFill="1" applyBorder="1" applyAlignment="1">
      <alignment horizontal="center" vertical="center" wrapText="1"/>
    </xf>
    <xf numFmtId="0" fontId="159" fillId="2" borderId="0" xfId="3598" applyFont="1" applyFill="1" applyAlignment="1">
      <alignment horizontal="center" vertical="center" wrapText="1"/>
    </xf>
    <xf numFmtId="0" fontId="6" fillId="2" borderId="1" xfId="3598" applyFont="1" applyFill="1" applyBorder="1" applyAlignment="1">
      <alignment horizontal="left" vertical="center" wrapText="1"/>
    </xf>
    <xf numFmtId="0" fontId="6" fillId="2" borderId="3" xfId="3598" applyFont="1" applyFill="1" applyBorder="1" applyAlignment="1">
      <alignment horizontal="left" vertical="center" wrapText="1"/>
    </xf>
    <xf numFmtId="0" fontId="6" fillId="2" borderId="2" xfId="3598" applyFont="1" applyFill="1" applyBorder="1" applyAlignment="1">
      <alignment horizontal="left" vertical="center" wrapText="1"/>
    </xf>
    <xf numFmtId="0" fontId="13" fillId="0" borderId="1" xfId="3598" applyBorder="1" applyAlignment="1">
      <alignment vertical="top" wrapText="1"/>
    </xf>
    <xf numFmtId="0" fontId="13" fillId="0" borderId="2" xfId="3598" applyBorder="1" applyAlignment="1">
      <alignment vertical="top" wrapText="1"/>
    </xf>
    <xf numFmtId="0" fontId="13" fillId="0" borderId="4" xfId="3598" applyBorder="1" applyAlignment="1">
      <alignment vertical="top" wrapText="1"/>
    </xf>
    <xf numFmtId="0" fontId="13" fillId="0" borderId="5" xfId="3598" applyBorder="1" applyAlignment="1">
      <alignment vertical="top" wrapText="1"/>
    </xf>
    <xf numFmtId="0" fontId="13" fillId="0" borderId="6" xfId="3598" applyBorder="1" applyAlignment="1">
      <alignment vertical="top" wrapText="1"/>
    </xf>
    <xf numFmtId="0" fontId="13" fillId="0" borderId="8" xfId="3598" applyBorder="1" applyAlignment="1">
      <alignment vertical="top" wrapText="1"/>
    </xf>
    <xf numFmtId="0" fontId="4" fillId="0" borderId="1" xfId="3598" applyFont="1" applyBorder="1" applyAlignment="1">
      <alignment horizontal="center" vertical="top" wrapText="1"/>
    </xf>
    <xf numFmtId="0" fontId="4" fillId="0" borderId="3" xfId="3598" applyFont="1" applyBorder="1" applyAlignment="1">
      <alignment horizontal="center" vertical="top" wrapText="1"/>
    </xf>
    <xf numFmtId="0" fontId="4" fillId="0" borderId="2" xfId="3598" applyFont="1" applyBorder="1" applyAlignment="1">
      <alignment horizontal="center" vertical="top" wrapText="1"/>
    </xf>
    <xf numFmtId="0" fontId="13" fillId="0" borderId="1" xfId="3598" applyBorder="1" applyAlignment="1">
      <alignment horizontal="left" vertical="top" wrapText="1"/>
    </xf>
    <xf numFmtId="0" fontId="13" fillId="0" borderId="3" xfId="3598" applyBorder="1" applyAlignment="1">
      <alignment horizontal="left" vertical="top" wrapText="1"/>
    </xf>
    <xf numFmtId="0" fontId="13" fillId="0" borderId="2" xfId="3598" applyBorder="1" applyAlignment="1">
      <alignment horizontal="left" vertical="top" wrapText="1"/>
    </xf>
    <xf numFmtId="0" fontId="5" fillId="0" borderId="4" xfId="3598" applyFont="1" applyBorder="1" applyAlignment="1">
      <alignment horizontal="center" vertical="top" wrapText="1"/>
    </xf>
    <xf numFmtId="0" fontId="5" fillId="0" borderId="0" xfId="3598" applyFont="1" applyAlignment="1">
      <alignment horizontal="center" vertical="top" wrapText="1"/>
    </xf>
    <xf numFmtId="0" fontId="5" fillId="0" borderId="5" xfId="3598" applyFont="1" applyBorder="1" applyAlignment="1">
      <alignment horizontal="center" vertical="top" wrapText="1"/>
    </xf>
    <xf numFmtId="0" fontId="7" fillId="0" borderId="4" xfId="3598" applyFont="1" applyBorder="1" applyAlignment="1">
      <alignment horizontal="center" vertical="top"/>
    </xf>
    <xf numFmtId="0" fontId="7" fillId="0" borderId="0" xfId="3598" applyFont="1" applyAlignment="1">
      <alignment horizontal="center" vertical="top"/>
    </xf>
    <xf numFmtId="0" fontId="7" fillId="0" borderId="5" xfId="3598" applyFont="1" applyBorder="1" applyAlignment="1">
      <alignment horizontal="center" vertical="top"/>
    </xf>
    <xf numFmtId="0" fontId="13" fillId="0" borderId="4" xfId="3598" applyBorder="1" applyAlignment="1">
      <alignment horizontal="left" vertical="top" wrapText="1"/>
    </xf>
    <xf numFmtId="0" fontId="13" fillId="0" borderId="0" xfId="3598" applyAlignment="1">
      <alignment horizontal="left" vertical="top" wrapText="1"/>
    </xf>
    <xf numFmtId="0" fontId="13" fillId="0" borderId="5" xfId="3598" applyBorder="1" applyAlignment="1">
      <alignment horizontal="left" vertical="top" wrapText="1"/>
    </xf>
    <xf numFmtId="0" fontId="5" fillId="0" borderId="6" xfId="3598" applyFont="1" applyBorder="1" applyAlignment="1">
      <alignment horizontal="center" vertical="top" wrapText="1"/>
    </xf>
    <xf numFmtId="0" fontId="5" fillId="0" borderId="7" xfId="3598" applyFont="1" applyBorder="1" applyAlignment="1">
      <alignment horizontal="center" vertical="top" wrapText="1"/>
    </xf>
    <xf numFmtId="0" fontId="5" fillId="0" borderId="8" xfId="3598" applyFont="1" applyBorder="1" applyAlignment="1">
      <alignment horizontal="center" vertical="top" wrapText="1"/>
    </xf>
    <xf numFmtId="49" fontId="14" fillId="0" borderId="0" xfId="2362" applyNumberFormat="1" applyFont="1" applyAlignment="1" applyProtection="1">
      <alignment horizontal="center" vertical="center" wrapText="1"/>
      <protection locked="0"/>
    </xf>
    <xf numFmtId="49" fontId="167" fillId="0" borderId="0" xfId="2362" quotePrefix="1" applyNumberFormat="1" applyFont="1" applyAlignment="1" applyProtection="1">
      <alignment horizontal="center" vertical="center"/>
      <protection locked="0"/>
    </xf>
    <xf numFmtId="49" fontId="167" fillId="0" borderId="0" xfId="2362" applyNumberFormat="1" applyFont="1" applyAlignment="1" applyProtection="1">
      <alignment horizontal="center" vertical="center"/>
      <protection locked="0"/>
    </xf>
    <xf numFmtId="49" fontId="15" fillId="0" borderId="7" xfId="2362" applyNumberFormat="1" applyFont="1" applyBorder="1" applyAlignment="1" applyProtection="1">
      <alignment horizontal="center" vertical="center" wrapText="1"/>
      <protection locked="0"/>
    </xf>
    <xf numFmtId="49" fontId="16" fillId="0" borderId="0" xfId="2362" applyNumberFormat="1" applyFont="1" applyAlignment="1" applyProtection="1">
      <alignment horizontal="center" vertical="center" wrapText="1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left" vertical="center"/>
      <protection locked="0"/>
    </xf>
    <xf numFmtId="0" fontId="7" fillId="2" borderId="7" xfId="0" applyFont="1" applyFill="1" applyBorder="1" applyAlignment="1" applyProtection="1">
      <alignment horizontal="left" vertical="center"/>
      <protection locked="0"/>
    </xf>
    <xf numFmtId="0" fontId="7" fillId="2" borderId="8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3" xfId="0" applyFont="1" applyFill="1" applyBorder="1" applyAlignment="1" applyProtection="1">
      <alignment horizontal="left"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5" xfId="0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0" fontId="3" fillId="0" borderId="20" xfId="2433" applyFont="1" applyBorder="1" applyAlignment="1">
      <alignment horizontal="left" vertical="top"/>
    </xf>
    <xf numFmtId="0" fontId="3" fillId="0" borderId="18" xfId="2433" applyFont="1" applyBorder="1" applyAlignment="1">
      <alignment horizontal="left" vertical="top"/>
    </xf>
    <xf numFmtId="0" fontId="3" fillId="0" borderId="18" xfId="2433" applyFont="1" applyBorder="1" applyAlignment="1">
      <alignment horizontal="center" vertical="top"/>
    </xf>
    <xf numFmtId="0" fontId="3" fillId="0" borderId="6" xfId="2433" applyFont="1" applyBorder="1" applyAlignment="1">
      <alignment horizontal="left" vertical="top"/>
    </xf>
    <xf numFmtId="0" fontId="3" fillId="0" borderId="7" xfId="2433" applyFont="1" applyBorder="1" applyAlignment="1">
      <alignment horizontal="left" vertical="top"/>
    </xf>
    <xf numFmtId="14" fontId="12" fillId="0" borderId="7" xfId="2433" applyNumberFormat="1" applyFont="1" applyBorder="1" applyAlignment="1">
      <alignment horizontal="center" vertical="top"/>
    </xf>
    <xf numFmtId="14" fontId="12" fillId="0" borderId="8" xfId="2433" applyNumberFormat="1" applyFont="1" applyBorder="1" applyAlignment="1">
      <alignment horizontal="center" vertical="top"/>
    </xf>
    <xf numFmtId="0" fontId="10" fillId="0" borderId="4" xfId="2433" applyFont="1" applyBorder="1" applyAlignment="1">
      <alignment horizontal="left" vertical="top" wrapText="1"/>
    </xf>
    <xf numFmtId="0" fontId="10" fillId="0" borderId="0" xfId="2433" applyFont="1" applyAlignment="1">
      <alignment horizontal="left" vertical="top" wrapText="1"/>
    </xf>
    <xf numFmtId="0" fontId="10" fillId="0" borderId="6" xfId="2433" applyFont="1" applyBorder="1" applyAlignment="1">
      <alignment horizontal="left" vertical="top" wrapText="1"/>
    </xf>
    <xf numFmtId="0" fontId="10" fillId="0" borderId="7" xfId="2433" applyFont="1" applyBorder="1" applyAlignment="1">
      <alignment horizontal="left" vertical="top" wrapText="1"/>
    </xf>
    <xf numFmtId="0" fontId="10" fillId="0" borderId="5" xfId="2433" applyFont="1" applyBorder="1" applyAlignment="1">
      <alignment horizontal="left" vertical="top" wrapText="1"/>
    </xf>
    <xf numFmtId="0" fontId="10" fillId="0" borderId="8" xfId="2433" applyFont="1" applyBorder="1" applyAlignment="1">
      <alignment horizontal="left" vertical="top" wrapText="1"/>
    </xf>
    <xf numFmtId="0" fontId="7" fillId="0" borderId="1" xfId="2433" applyFont="1" applyBorder="1" applyAlignment="1">
      <alignment horizontal="left" vertical="top"/>
    </xf>
    <xf numFmtId="0" fontId="7" fillId="0" borderId="3" xfId="2433" applyFont="1" applyBorder="1" applyAlignment="1">
      <alignment horizontal="left" vertical="top"/>
    </xf>
    <xf numFmtId="0" fontId="7" fillId="0" borderId="2" xfId="2433" applyFont="1" applyBorder="1" applyAlignment="1">
      <alignment horizontal="left" vertical="top"/>
    </xf>
    <xf numFmtId="0" fontId="7" fillId="0" borderId="17" xfId="2433" applyFont="1" applyBorder="1" applyAlignment="1">
      <alignment horizontal="left" vertical="top"/>
    </xf>
    <xf numFmtId="0" fontId="13" fillId="0" borderId="15" xfId="2433" quotePrefix="1" applyFont="1" applyBorder="1" applyAlignment="1">
      <alignment horizontal="center" vertical="center" wrapText="1"/>
    </xf>
    <xf numFmtId="0" fontId="26" fillId="0" borderId="16" xfId="2433" applyBorder="1" applyAlignment="1">
      <alignment horizontal="center" vertical="center" wrapText="1"/>
    </xf>
    <xf numFmtId="0" fontId="26" fillId="0" borderId="19" xfId="2433" applyBorder="1" applyAlignment="1">
      <alignment horizontal="center" vertical="center" wrapText="1"/>
    </xf>
    <xf numFmtId="0" fontId="26" fillId="0" borderId="14" xfId="2433" applyBorder="1" applyAlignment="1">
      <alignment horizontal="center" vertical="center" wrapText="1"/>
    </xf>
    <xf numFmtId="0" fontId="13" fillId="0" borderId="22" xfId="2433" applyFont="1" applyBorder="1" applyAlignment="1">
      <alignment horizontal="center" vertical="center" wrapText="1"/>
    </xf>
    <xf numFmtId="0" fontId="13" fillId="0" borderId="24" xfId="2433" applyFont="1" applyBorder="1" applyAlignment="1">
      <alignment horizontal="center" vertical="center" wrapText="1"/>
    </xf>
    <xf numFmtId="0" fontId="13" fillId="0" borderId="23" xfId="2433" applyFont="1" applyBorder="1" applyAlignment="1">
      <alignment horizontal="center" vertical="center" wrapText="1"/>
    </xf>
    <xf numFmtId="49" fontId="13" fillId="0" borderId="15" xfId="2433" quotePrefix="1" applyNumberFormat="1" applyFont="1" applyBorder="1" applyAlignment="1">
      <alignment horizontal="center" vertical="center" wrapText="1"/>
    </xf>
    <xf numFmtId="49" fontId="13" fillId="0" borderId="19" xfId="2433" quotePrefix="1" applyNumberFormat="1" applyFont="1" applyBorder="1" applyAlignment="1">
      <alignment horizontal="center" vertical="center" wrapText="1"/>
    </xf>
    <xf numFmtId="0" fontId="8" fillId="0" borderId="10" xfId="2433" applyFont="1" applyBorder="1" applyAlignment="1">
      <alignment horizontal="left" vertical="center" wrapText="1"/>
    </xf>
    <xf numFmtId="0" fontId="8" fillId="0" borderId="11" xfId="2433" applyFont="1" applyBorder="1" applyAlignment="1">
      <alignment horizontal="left" vertical="center" wrapText="1"/>
    </xf>
    <xf numFmtId="0" fontId="8" fillId="0" borderId="12" xfId="2433" applyFont="1" applyBorder="1" applyAlignment="1">
      <alignment horizontal="left" vertical="center" wrapText="1"/>
    </xf>
    <xf numFmtId="0" fontId="8" fillId="0" borderId="1" xfId="2433" applyFont="1" applyBorder="1" applyAlignment="1">
      <alignment horizontal="left" vertical="top" wrapText="1"/>
    </xf>
    <xf numFmtId="0" fontId="8" fillId="0" borderId="3" xfId="2433" applyFont="1" applyBorder="1" applyAlignment="1">
      <alignment horizontal="left" vertical="top" wrapText="1"/>
    </xf>
    <xf numFmtId="0" fontId="8" fillId="0" borderId="2" xfId="2433" applyFont="1" applyBorder="1" applyAlignment="1">
      <alignment horizontal="left" vertical="top" wrapText="1"/>
    </xf>
    <xf numFmtId="0" fontId="26" fillId="0" borderId="15" xfId="2433" applyBorder="1" applyAlignment="1">
      <alignment horizontal="center" vertical="center" wrapText="1"/>
    </xf>
    <xf numFmtId="0" fontId="13" fillId="0" borderId="22" xfId="2433" quotePrefix="1" applyFont="1" applyBorder="1" applyAlignment="1">
      <alignment horizontal="center" vertical="center" wrapText="1"/>
    </xf>
    <xf numFmtId="0" fontId="26" fillId="0" borderId="24" xfId="2433" applyBorder="1" applyAlignment="1">
      <alignment horizontal="center" vertical="center" wrapText="1"/>
    </xf>
    <xf numFmtId="0" fontId="26" fillId="0" borderId="23" xfId="2433" applyBorder="1" applyAlignment="1">
      <alignment horizontal="center" vertical="center" wrapText="1"/>
    </xf>
    <xf numFmtId="49" fontId="13" fillId="0" borderId="22" xfId="2433" applyNumberFormat="1" applyFont="1" applyBorder="1" applyAlignment="1">
      <alignment horizontal="center" vertical="center" wrapText="1"/>
    </xf>
    <xf numFmtId="49" fontId="26" fillId="0" borderId="23" xfId="2433" applyNumberFormat="1" applyBorder="1" applyAlignment="1">
      <alignment horizontal="center" vertical="center" wrapText="1"/>
    </xf>
    <xf numFmtId="49" fontId="26" fillId="0" borderId="15" xfId="2433" applyNumberFormat="1" applyBorder="1" applyAlignment="1">
      <alignment horizontal="center" vertical="center" wrapText="1"/>
    </xf>
    <xf numFmtId="49" fontId="26" fillId="0" borderId="19" xfId="2433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3" fillId="0" borderId="88" xfId="2433" applyFont="1" applyBorder="1" applyAlignment="1">
      <alignment horizontal="center" vertical="top" wrapText="1"/>
    </xf>
    <xf numFmtId="0" fontId="1" fillId="0" borderId="89" xfId="2433" applyFont="1" applyBorder="1" applyAlignment="1">
      <alignment horizontal="center" vertical="top" wrapText="1"/>
    </xf>
    <xf numFmtId="0" fontId="1" fillId="0" borderId="90" xfId="2433" applyFont="1" applyBorder="1" applyAlignment="1">
      <alignment horizontal="center" vertical="top" wrapText="1"/>
    </xf>
    <xf numFmtId="0" fontId="26" fillId="0" borderId="88" xfId="2433" applyBorder="1" applyAlignment="1">
      <alignment horizontal="center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1" fillId="0" borderId="7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1" xfId="2433" applyFont="1" applyBorder="1" applyAlignment="1">
      <alignment horizontal="left" vertical="center" wrapText="1"/>
    </xf>
    <xf numFmtId="0" fontId="13" fillId="0" borderId="3" xfId="2433" applyFont="1" applyBorder="1" applyAlignment="1">
      <alignment horizontal="left" vertical="center" wrapText="1"/>
    </xf>
    <xf numFmtId="0" fontId="13" fillId="0" borderId="2" xfId="2433" applyFont="1" applyBorder="1" applyAlignment="1">
      <alignment horizontal="left" vertical="center" wrapText="1"/>
    </xf>
    <xf numFmtId="0" fontId="13" fillId="0" borderId="1" xfId="2433" applyFont="1" applyBorder="1" applyAlignment="1">
      <alignment horizontal="left" vertical="top" wrapText="1"/>
    </xf>
    <xf numFmtId="0" fontId="13" fillId="0" borderId="3" xfId="2433" applyFont="1" applyBorder="1" applyAlignment="1">
      <alignment horizontal="left" vertical="top" wrapText="1"/>
    </xf>
    <xf numFmtId="0" fontId="13" fillId="0" borderId="2" xfId="2433" applyFont="1" applyBorder="1" applyAlignment="1">
      <alignment horizontal="left" vertical="top" wrapText="1"/>
    </xf>
    <xf numFmtId="0" fontId="7" fillId="0" borderId="4" xfId="2433" applyFont="1" applyBorder="1" applyAlignment="1">
      <alignment horizontal="center" vertical="top" wrapText="1"/>
    </xf>
    <xf numFmtId="0" fontId="7" fillId="0" borderId="0" xfId="2433" applyFont="1" applyAlignment="1">
      <alignment horizontal="center" vertical="top" wrapText="1"/>
    </xf>
    <xf numFmtId="0" fontId="7" fillId="0" borderId="5" xfId="2433" applyFont="1" applyBorder="1" applyAlignment="1">
      <alignment horizontal="center" vertical="top" wrapText="1"/>
    </xf>
    <xf numFmtId="0" fontId="1" fillId="0" borderId="4" xfId="2433" applyFont="1" applyBorder="1" applyAlignment="1">
      <alignment horizontal="left" vertical="top" wrapText="1"/>
    </xf>
    <xf numFmtId="0" fontId="1" fillId="0" borderId="0" xfId="2433" applyFont="1" applyAlignment="1">
      <alignment horizontal="left" vertical="top" wrapText="1"/>
    </xf>
    <xf numFmtId="0" fontId="1" fillId="0" borderId="5" xfId="2433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6" fillId="0" borderId="6" xfId="2433" applyFont="1" applyBorder="1" applyAlignment="1">
      <alignment horizontal="center" vertical="top" wrapText="1"/>
    </xf>
    <xf numFmtId="0" fontId="6" fillId="0" borderId="7" xfId="2433" applyFont="1" applyBorder="1" applyAlignment="1">
      <alignment horizontal="center" vertical="top" wrapText="1"/>
    </xf>
    <xf numFmtId="0" fontId="6" fillId="0" borderId="8" xfId="2433" applyFont="1" applyBorder="1" applyAlignment="1">
      <alignment horizontal="center" vertical="top" wrapText="1"/>
    </xf>
    <xf numFmtId="14" fontId="7" fillId="0" borderId="4" xfId="2433" quotePrefix="1" applyNumberFormat="1" applyFont="1" applyBorder="1" applyAlignment="1">
      <alignment horizontal="center" vertical="top" wrapText="1"/>
    </xf>
    <xf numFmtId="0" fontId="13" fillId="0" borderId="4" xfId="2433" applyFont="1" applyBorder="1" applyAlignment="1">
      <alignment horizontal="left" vertical="center" wrapText="1"/>
    </xf>
    <xf numFmtId="0" fontId="13" fillId="0" borderId="0" xfId="2433" applyFont="1" applyAlignment="1">
      <alignment horizontal="left" vertical="center" wrapText="1"/>
    </xf>
    <xf numFmtId="0" fontId="13" fillId="0" borderId="5" xfId="2433" applyFont="1" applyBorder="1" applyAlignment="1">
      <alignment horizontal="left" vertical="center" wrapText="1"/>
    </xf>
    <xf numFmtId="0" fontId="13" fillId="0" borderId="4" xfId="2433" applyFont="1" applyBorder="1" applyAlignment="1">
      <alignment horizontal="left" vertical="top" wrapText="1"/>
    </xf>
    <xf numFmtId="0" fontId="13" fillId="0" borderId="0" xfId="2433" applyFont="1" applyAlignment="1">
      <alignment horizontal="left" vertical="top" wrapText="1"/>
    </xf>
    <xf numFmtId="0" fontId="7" fillId="0" borderId="6" xfId="2433" applyFont="1" applyBorder="1" applyAlignment="1">
      <alignment horizontal="center" vertical="top" wrapText="1"/>
    </xf>
    <xf numFmtId="0" fontId="7" fillId="0" borderId="7" xfId="2433" applyFont="1" applyBorder="1" applyAlignment="1">
      <alignment horizontal="center" vertical="top" wrapText="1"/>
    </xf>
    <xf numFmtId="0" fontId="7" fillId="0" borderId="8" xfId="2433" applyFont="1" applyBorder="1" applyAlignment="1">
      <alignment horizontal="center" vertical="top" wrapText="1"/>
    </xf>
    <xf numFmtId="0" fontId="7" fillId="0" borderId="7" xfId="2433" quotePrefix="1" applyFont="1" applyBorder="1" applyAlignment="1">
      <alignment horizontal="center" vertical="top" wrapText="1"/>
    </xf>
    <xf numFmtId="0" fontId="26" fillId="0" borderId="1" xfId="2433" applyBorder="1" applyAlignment="1">
      <alignment vertical="top" wrapText="1"/>
    </xf>
    <xf numFmtId="0" fontId="26" fillId="0" borderId="2" xfId="2433" applyBorder="1" applyAlignment="1">
      <alignment vertical="top" wrapText="1"/>
    </xf>
    <xf numFmtId="0" fontId="26" fillId="0" borderId="4" xfId="2433" applyBorder="1" applyAlignment="1">
      <alignment vertical="top" wrapText="1"/>
    </xf>
    <xf numFmtId="0" fontId="26" fillId="0" borderId="5" xfId="2433" applyBorder="1" applyAlignment="1">
      <alignment vertical="top" wrapText="1"/>
    </xf>
    <xf numFmtId="0" fontId="26" fillId="0" borderId="6" xfId="2433" applyBorder="1" applyAlignment="1">
      <alignment vertical="top" wrapText="1"/>
    </xf>
    <xf numFmtId="0" fontId="26" fillId="0" borderId="8" xfId="2433" applyBorder="1" applyAlignment="1">
      <alignment vertical="top" wrapText="1"/>
    </xf>
    <xf numFmtId="0" fontId="16" fillId="0" borderId="1" xfId="2433" applyFont="1" applyBorder="1" applyAlignment="1">
      <alignment horizontal="center" vertical="center" wrapText="1"/>
    </xf>
    <xf numFmtId="0" fontId="26" fillId="0" borderId="3" xfId="2433" applyBorder="1" applyAlignment="1">
      <alignment horizontal="center" vertical="center" wrapText="1"/>
    </xf>
    <xf numFmtId="0" fontId="26" fillId="0" borderId="2" xfId="2433" applyBorder="1" applyAlignment="1">
      <alignment horizontal="center" vertical="center" wrapText="1"/>
    </xf>
    <xf numFmtId="0" fontId="26" fillId="0" borderId="4" xfId="2433" applyBorder="1" applyAlignment="1">
      <alignment horizontal="center" vertical="center" wrapText="1"/>
    </xf>
    <xf numFmtId="0" fontId="26" fillId="0" borderId="0" xfId="2433" applyAlignment="1">
      <alignment horizontal="center" vertical="center" wrapText="1"/>
    </xf>
    <xf numFmtId="0" fontId="26" fillId="0" borderId="5" xfId="2433" applyBorder="1" applyAlignment="1">
      <alignment horizontal="center" vertical="center" wrapText="1"/>
    </xf>
    <xf numFmtId="0" fontId="13" fillId="0" borderId="1" xfId="2433" applyFont="1" applyBorder="1" applyAlignment="1">
      <alignment wrapText="1"/>
    </xf>
    <xf numFmtId="0" fontId="13" fillId="0" borderId="3" xfId="2433" applyFont="1" applyBorder="1" applyAlignment="1">
      <alignment wrapText="1"/>
    </xf>
    <xf numFmtId="0" fontId="13" fillId="0" borderId="2" xfId="2433" applyFont="1" applyBorder="1" applyAlignment="1">
      <alignment wrapText="1"/>
    </xf>
    <xf numFmtId="0" fontId="13" fillId="0" borderId="5" xfId="2433" applyFont="1" applyBorder="1" applyAlignment="1">
      <alignment horizontal="left" vertical="top" wrapText="1"/>
    </xf>
    <xf numFmtId="0" fontId="5" fillId="0" borderId="4" xfId="2433" applyFont="1" applyBorder="1" applyAlignment="1">
      <alignment horizontal="center" vertical="center" wrapText="1"/>
    </xf>
    <xf numFmtId="0" fontId="5" fillId="0" borderId="0" xfId="2433" applyFont="1" applyAlignment="1">
      <alignment horizontal="center" vertical="center" wrapText="1"/>
    </xf>
    <xf numFmtId="0" fontId="5" fillId="0" borderId="5" xfId="2433" applyFont="1" applyBorder="1" applyAlignment="1">
      <alignment horizontal="center" vertical="center" wrapText="1"/>
    </xf>
    <xf numFmtId="0" fontId="7" fillId="0" borderId="4" xfId="2433" applyFont="1" applyBorder="1" applyAlignment="1">
      <alignment horizontal="center" vertical="center"/>
    </xf>
    <xf numFmtId="0" fontId="7" fillId="0" borderId="0" xfId="2433" applyFont="1" applyAlignment="1">
      <alignment horizontal="center" vertical="center"/>
    </xf>
    <xf numFmtId="0" fontId="7" fillId="0" borderId="5" xfId="2433" applyFont="1" applyBorder="1" applyAlignment="1">
      <alignment horizontal="center" vertical="center"/>
    </xf>
    <xf numFmtId="0" fontId="6" fillId="0" borderId="4" xfId="2433" applyFont="1" applyBorder="1" applyAlignment="1">
      <alignment horizontal="center" vertical="top" wrapText="1"/>
    </xf>
    <xf numFmtId="0" fontId="6" fillId="0" borderId="0" xfId="2433" applyFont="1" applyAlignment="1">
      <alignment horizontal="center" vertical="top" wrapText="1"/>
    </xf>
    <xf numFmtId="0" fontId="6" fillId="0" borderId="5" xfId="2433" applyFont="1" applyBorder="1" applyAlignment="1">
      <alignment horizontal="center" vertical="top" wrapText="1"/>
    </xf>
    <xf numFmtId="0" fontId="26" fillId="0" borderId="0" xfId="2433" applyAlignment="1">
      <alignment horizontal="left" vertical="top" wrapText="1"/>
    </xf>
    <xf numFmtId="0" fontId="26" fillId="0" borderId="5" xfId="2433" applyBorder="1" applyAlignment="1">
      <alignment horizontal="left" vertical="top" wrapText="1"/>
    </xf>
    <xf numFmtId="0" fontId="6" fillId="0" borderId="4" xfId="2581" applyFont="1" applyBorder="1" applyAlignment="1">
      <alignment horizontal="center" vertical="top" wrapText="1"/>
    </xf>
    <xf numFmtId="0" fontId="6" fillId="0" borderId="0" xfId="2581" applyFont="1" applyAlignment="1">
      <alignment horizontal="center" vertical="top" wrapText="1"/>
    </xf>
    <xf numFmtId="0" fontId="1" fillId="0" borderId="4" xfId="2395" applyFont="1" applyBorder="1" applyAlignment="1">
      <alignment vertical="top" wrapText="1"/>
    </xf>
    <xf numFmtId="0" fontId="1" fillId="0" borderId="0" xfId="2395" applyFont="1" applyAlignment="1">
      <alignment vertical="top" wrapText="1"/>
    </xf>
    <xf numFmtId="0" fontId="1" fillId="0" borderId="5" xfId="2395" applyFont="1" applyBorder="1" applyAlignment="1">
      <alignment vertical="top" wrapText="1"/>
    </xf>
    <xf numFmtId="0" fontId="6" fillId="0" borderId="80" xfId="3603" applyFont="1" applyBorder="1" applyAlignment="1">
      <alignment horizontal="center"/>
    </xf>
    <xf numFmtId="0" fontId="6" fillId="0" borderId="4" xfId="2395" applyFont="1" applyBorder="1" applyAlignment="1">
      <alignment horizontal="center" vertical="top" wrapText="1"/>
    </xf>
    <xf numFmtId="0" fontId="6" fillId="0" borderId="0" xfId="2395" applyFont="1" applyAlignment="1">
      <alignment horizontal="center" vertical="top" wrapText="1"/>
    </xf>
    <xf numFmtId="0" fontId="6" fillId="0" borderId="5" xfId="2395" applyFont="1" applyBorder="1" applyAlignment="1">
      <alignment horizontal="center" vertical="top" wrapText="1"/>
    </xf>
    <xf numFmtId="239" fontId="7" fillId="0" borderId="6" xfId="2395" quotePrefix="1" applyNumberFormat="1" applyFont="1" applyBorder="1" applyAlignment="1">
      <alignment horizontal="center" vertical="top" wrapText="1"/>
    </xf>
    <xf numFmtId="239" fontId="7" fillId="0" borderId="7" xfId="2395" applyNumberFormat="1" applyFont="1" applyBorder="1" applyAlignment="1">
      <alignment horizontal="center" vertical="top" wrapText="1"/>
    </xf>
    <xf numFmtId="239" fontId="7" fillId="0" borderId="8" xfId="2395" applyNumberFormat="1" applyFont="1" applyBorder="1" applyAlignment="1">
      <alignment horizontal="center" vertical="top" wrapText="1"/>
    </xf>
    <xf numFmtId="0" fontId="26" fillId="0" borderId="1" xfId="2395" applyBorder="1" applyAlignment="1">
      <alignment vertical="top" wrapText="1"/>
    </xf>
    <xf numFmtId="0" fontId="26" fillId="0" borderId="2" xfId="2395" applyBorder="1" applyAlignment="1">
      <alignment vertical="top" wrapText="1"/>
    </xf>
    <xf numFmtId="0" fontId="26" fillId="0" borderId="4" xfId="2395" applyBorder="1" applyAlignment="1">
      <alignment vertical="top" wrapText="1"/>
    </xf>
    <xf numFmtId="0" fontId="26" fillId="0" borderId="5" xfId="2395" applyBorder="1" applyAlignment="1">
      <alignment vertical="top" wrapText="1"/>
    </xf>
    <xf numFmtId="0" fontId="4" fillId="0" borderId="1" xfId="2395" applyFont="1" applyBorder="1" applyAlignment="1">
      <alignment horizontal="center" wrapText="1"/>
    </xf>
    <xf numFmtId="0" fontId="4" fillId="0" borderId="3" xfId="2395" applyFont="1" applyBorder="1" applyAlignment="1">
      <alignment horizontal="center" wrapText="1"/>
    </xf>
    <xf numFmtId="0" fontId="4" fillId="0" borderId="2" xfId="2395" applyFont="1" applyBorder="1" applyAlignment="1">
      <alignment horizontal="center" wrapText="1"/>
    </xf>
    <xf numFmtId="0" fontId="6" fillId="0" borderId="1" xfId="2395" applyFont="1" applyBorder="1" applyAlignment="1">
      <alignment vertical="top" wrapText="1"/>
    </xf>
    <xf numFmtId="0" fontId="6" fillId="0" borderId="3" xfId="2395" applyFont="1" applyBorder="1" applyAlignment="1">
      <alignment vertical="top" wrapText="1"/>
    </xf>
    <xf numFmtId="0" fontId="6" fillId="0" borderId="2" xfId="2395" applyFont="1" applyBorder="1" applyAlignment="1">
      <alignment vertical="top" wrapText="1"/>
    </xf>
    <xf numFmtId="0" fontId="5" fillId="0" borderId="80" xfId="3603" applyFont="1" applyBorder="1" applyAlignment="1">
      <alignment horizontal="center"/>
    </xf>
    <xf numFmtId="0" fontId="5" fillId="0" borderId="4" xfId="2395" applyFont="1" applyBorder="1" applyAlignment="1">
      <alignment horizontal="center" vertical="top" wrapText="1"/>
    </xf>
    <xf numFmtId="0" fontId="5" fillId="0" borderId="0" xfId="2395" applyFont="1" applyAlignment="1">
      <alignment horizontal="center" vertical="top" wrapText="1"/>
    </xf>
    <xf numFmtId="0" fontId="5" fillId="0" borderId="5" xfId="2395" applyFont="1" applyBorder="1" applyAlignment="1">
      <alignment horizontal="center" vertical="top" wrapText="1"/>
    </xf>
    <xf numFmtId="0" fontId="7" fillId="0" borderId="4" xfId="2395" applyFont="1" applyBorder="1" applyAlignment="1">
      <alignment horizontal="center" vertical="top" wrapText="1"/>
    </xf>
    <xf numFmtId="0" fontId="7" fillId="0" borderId="0" xfId="2395" applyFont="1" applyAlignment="1">
      <alignment horizontal="center" vertical="top" wrapText="1"/>
    </xf>
    <xf numFmtId="0" fontId="7" fillId="0" borderId="5" xfId="2395" applyFont="1" applyBorder="1" applyAlignment="1">
      <alignment horizontal="center" vertical="top" wrapText="1"/>
    </xf>
    <xf numFmtId="0" fontId="6" fillId="0" borderId="4" xfId="2395" applyFont="1" applyBorder="1" applyAlignment="1">
      <alignment horizontal="center" vertical="center" wrapText="1"/>
    </xf>
    <xf numFmtId="0" fontId="6" fillId="0" borderId="0" xfId="2395" applyFont="1" applyAlignment="1">
      <alignment horizontal="center" vertical="center" wrapText="1"/>
    </xf>
    <xf numFmtId="0" fontId="6" fillId="0" borderId="5" xfId="2395" applyFont="1" applyBorder="1" applyAlignment="1">
      <alignment horizontal="center" vertical="center" wrapText="1"/>
    </xf>
    <xf numFmtId="0" fontId="3" fillId="0" borderId="4" xfId="2395" applyFont="1" applyBorder="1" applyAlignment="1">
      <alignment vertical="top" wrapText="1"/>
    </xf>
    <xf numFmtId="0" fontId="3" fillId="0" borderId="0" xfId="2395" applyFont="1" applyAlignment="1">
      <alignment vertical="top" wrapText="1"/>
    </xf>
    <xf numFmtId="0" fontId="3" fillId="0" borderId="5" xfId="2395" applyFont="1" applyBorder="1" applyAlignment="1">
      <alignment vertical="top" wrapText="1"/>
    </xf>
    <xf numFmtId="0" fontId="6" fillId="0" borderId="1" xfId="2395" applyFont="1" applyBorder="1" applyAlignment="1">
      <alignment horizontal="left" vertical="top" wrapText="1"/>
    </xf>
    <xf numFmtId="0" fontId="6" fillId="0" borderId="3" xfId="2395" applyFont="1" applyBorder="1" applyAlignment="1">
      <alignment horizontal="left" vertical="top" wrapText="1"/>
    </xf>
    <xf numFmtId="0" fontId="6" fillId="0" borderId="2" xfId="2395" applyFont="1" applyBorder="1" applyAlignment="1">
      <alignment horizontal="left" vertical="top" wrapText="1"/>
    </xf>
    <xf numFmtId="0" fontId="7" fillId="0" borderId="6" xfId="2395" applyFont="1" applyBorder="1" applyAlignment="1">
      <alignment horizontal="center" vertical="top" wrapText="1"/>
    </xf>
    <xf numFmtId="0" fontId="7" fillId="0" borderId="7" xfId="2395" applyFont="1" applyBorder="1" applyAlignment="1">
      <alignment horizontal="center" vertical="top" wrapText="1"/>
    </xf>
    <xf numFmtId="0" fontId="7" fillId="0" borderId="8" xfId="2395" applyFont="1" applyBorder="1" applyAlignment="1">
      <alignment horizontal="center" vertical="top" wrapText="1"/>
    </xf>
    <xf numFmtId="0" fontId="7" fillId="0" borderId="6" xfId="2395" applyFont="1" applyBorder="1" applyAlignment="1">
      <alignment horizontal="center" vertical="center" wrapText="1"/>
    </xf>
    <xf numFmtId="0" fontId="7" fillId="0" borderId="7" xfId="2395" applyFont="1" applyBorder="1" applyAlignment="1">
      <alignment horizontal="center" vertical="center" wrapText="1"/>
    </xf>
    <xf numFmtId="0" fontId="7" fillId="0" borderId="8" xfId="2395" applyFont="1" applyBorder="1" applyAlignment="1">
      <alignment horizontal="center" vertical="center" wrapText="1"/>
    </xf>
    <xf numFmtId="0" fontId="13" fillId="0" borderId="80" xfId="3603" applyBorder="1" applyAlignment="1">
      <alignment horizontal="center" wrapText="1"/>
    </xf>
    <xf numFmtId="0" fontId="13" fillId="0" borderId="80" xfId="3603" applyBorder="1" applyAlignment="1">
      <alignment horizontal="center"/>
    </xf>
    <xf numFmtId="0" fontId="26" fillId="0" borderId="3" xfId="2395" applyBorder="1" applyAlignment="1">
      <alignment horizontal="left" vertical="top" wrapText="1"/>
    </xf>
    <xf numFmtId="0" fontId="26" fillId="0" borderId="2" xfId="2395" applyBorder="1" applyAlignment="1">
      <alignment horizontal="left" vertical="top" wrapText="1"/>
    </xf>
    <xf numFmtId="0" fontId="6" fillId="0" borderId="4" xfId="2395" applyFont="1" applyBorder="1" applyAlignment="1">
      <alignment horizontal="left" vertical="center" wrapText="1"/>
    </xf>
    <xf numFmtId="0" fontId="6" fillId="0" borderId="0" xfId="2395" applyFont="1" applyAlignment="1">
      <alignment horizontal="left" vertical="center" wrapText="1"/>
    </xf>
    <xf numFmtId="0" fontId="6" fillId="0" borderId="1" xfId="2395" applyFont="1" applyBorder="1" applyAlignment="1">
      <alignment horizontal="left" vertical="center"/>
    </xf>
    <xf numFmtId="0" fontId="26" fillId="0" borderId="3" xfId="2395" applyBorder="1" applyAlignment="1">
      <alignment horizontal="left" vertical="center"/>
    </xf>
    <xf numFmtId="0" fontId="26" fillId="0" borderId="2" xfId="2395" applyBorder="1" applyAlignment="1">
      <alignment horizontal="left" vertical="center"/>
    </xf>
    <xf numFmtId="0" fontId="1" fillId="0" borderId="6" xfId="2395" applyFont="1" applyBorder="1" applyAlignment="1">
      <alignment horizontal="left" vertical="center" wrapText="1"/>
    </xf>
    <xf numFmtId="0" fontId="1" fillId="0" borderId="7" xfId="2395" applyFont="1" applyBorder="1" applyAlignment="1">
      <alignment horizontal="left" vertical="center" wrapText="1"/>
    </xf>
    <xf numFmtId="0" fontId="1" fillId="0" borderId="6" xfId="2395" applyFont="1" applyBorder="1" applyAlignment="1">
      <alignment horizontal="left" vertical="center"/>
    </xf>
    <xf numFmtId="0" fontId="1" fillId="0" borderId="7" xfId="2395" applyFont="1" applyBorder="1" applyAlignment="1">
      <alignment horizontal="left" vertical="center"/>
    </xf>
    <xf numFmtId="0" fontId="7" fillId="0" borderId="6" xfId="2395" applyFont="1" applyBorder="1" applyAlignment="1">
      <alignment horizontal="center" vertical="center"/>
    </xf>
    <xf numFmtId="0" fontId="7" fillId="0" borderId="7" xfId="2395" applyFont="1" applyBorder="1" applyAlignment="1">
      <alignment horizontal="center" vertical="center"/>
    </xf>
    <xf numFmtId="0" fontId="7" fillId="0" borderId="8" xfId="2395" applyFont="1" applyBorder="1" applyAlignment="1">
      <alignment horizontal="center" vertical="center"/>
    </xf>
    <xf numFmtId="0" fontId="6" fillId="0" borderId="1" xfId="2395" applyFont="1" applyBorder="1" applyAlignment="1">
      <alignment horizontal="left" vertical="top"/>
    </xf>
    <xf numFmtId="0" fontId="6" fillId="0" borderId="3" xfId="2395" applyFont="1" applyBorder="1" applyAlignment="1">
      <alignment horizontal="left" vertical="top"/>
    </xf>
    <xf numFmtId="0" fontId="6" fillId="0" borderId="2" xfId="2395" applyFont="1" applyBorder="1" applyAlignment="1">
      <alignment horizontal="left" vertical="top"/>
    </xf>
    <xf numFmtId="0" fontId="26" fillId="0" borderId="3" xfId="2395" applyBorder="1" applyAlignment="1">
      <alignment horizontal="left" vertical="top"/>
    </xf>
    <xf numFmtId="0" fontId="26" fillId="0" borderId="2" xfId="2395" applyBorder="1" applyAlignment="1">
      <alignment horizontal="left" vertical="top"/>
    </xf>
    <xf numFmtId="0" fontId="5" fillId="0" borderId="3" xfId="2395" applyFont="1" applyBorder="1" applyAlignment="1">
      <alignment horizontal="left" vertical="top" wrapText="1"/>
    </xf>
    <xf numFmtId="0" fontId="5" fillId="0" borderId="2" xfId="2395" applyFont="1" applyBorder="1" applyAlignment="1">
      <alignment horizontal="left" vertical="top" wrapText="1"/>
    </xf>
    <xf numFmtId="0" fontId="3" fillId="0" borderId="88" xfId="3603" applyFont="1" applyBorder="1" applyAlignment="1">
      <alignment horizontal="center" vertical="top" wrapText="1"/>
    </xf>
    <xf numFmtId="0" fontId="1" fillId="0" borderId="89" xfId="3603" applyFont="1" applyBorder="1" applyAlignment="1">
      <alignment horizontal="center" vertical="top" wrapText="1"/>
    </xf>
    <xf numFmtId="0" fontId="1" fillId="0" borderId="90" xfId="3603" applyFont="1" applyBorder="1" applyAlignment="1">
      <alignment horizontal="center" vertical="top" wrapText="1"/>
    </xf>
    <xf numFmtId="0" fontId="13" fillId="0" borderId="88" xfId="3603" applyBorder="1" applyAlignment="1">
      <alignment horizontal="center" vertical="top" wrapText="1"/>
    </xf>
    <xf numFmtId="0" fontId="0" fillId="2" borderId="13" xfId="2720" applyFont="1" applyFill="1" applyBorder="1" applyAlignment="1">
      <alignment horizontal="center" vertical="center" wrapText="1"/>
    </xf>
    <xf numFmtId="0" fontId="13" fillId="0" borderId="22" xfId="3603" applyBorder="1" applyAlignment="1">
      <alignment horizontal="center" vertical="center" wrapText="1"/>
    </xf>
    <xf numFmtId="0" fontId="13" fillId="0" borderId="24" xfId="3603" applyBorder="1" applyAlignment="1">
      <alignment horizontal="center" vertical="center" wrapText="1"/>
    </xf>
    <xf numFmtId="0" fontId="13" fillId="0" borderId="23" xfId="3603" applyBorder="1" applyAlignment="1">
      <alignment horizontal="center" vertical="center" wrapText="1"/>
    </xf>
    <xf numFmtId="49" fontId="13" fillId="0" borderId="22" xfId="3597" applyNumberFormat="1" applyBorder="1" applyAlignment="1">
      <alignment horizontal="center" vertical="center" wrapText="1"/>
    </xf>
    <xf numFmtId="49" fontId="13" fillId="0" borderId="23" xfId="3597" applyNumberFormat="1" applyBorder="1" applyAlignment="1">
      <alignment horizontal="center" vertical="center" wrapText="1"/>
    </xf>
    <xf numFmtId="0" fontId="13" fillId="0" borderId="13" xfId="3603" applyBorder="1" applyAlignment="1">
      <alignment horizontal="center" vertical="center" wrapText="1"/>
    </xf>
    <xf numFmtId="0" fontId="6" fillId="0" borderId="1" xfId="2395" applyFont="1" applyBorder="1" applyAlignment="1">
      <alignment horizontal="left" vertical="center" wrapText="1"/>
    </xf>
    <xf numFmtId="0" fontId="26" fillId="0" borderId="3" xfId="2395" applyBorder="1" applyAlignment="1">
      <alignment horizontal="left" vertical="center" wrapText="1"/>
    </xf>
    <xf numFmtId="0" fontId="1" fillId="0" borderId="8" xfId="2395" applyFont="1" applyBorder="1" applyAlignment="1">
      <alignment horizontal="left" vertical="center"/>
    </xf>
    <xf numFmtId="1" fontId="7" fillId="3" borderId="80" xfId="3601" applyNumberFormat="1" applyFont="1" applyFill="1" applyBorder="1" applyAlignment="1">
      <alignment horizontal="center" vertical="center"/>
    </xf>
    <xf numFmtId="0" fontId="0" fillId="2" borderId="14" xfId="2720" applyFont="1" applyFill="1" applyBorder="1" applyAlignment="1">
      <alignment horizontal="center" vertical="center" wrapText="1"/>
    </xf>
    <xf numFmtId="0" fontId="13" fillId="0" borderId="15" xfId="3603" applyBorder="1" applyAlignment="1">
      <alignment horizontal="center" vertical="center" wrapText="1"/>
    </xf>
    <xf numFmtId="0" fontId="13" fillId="0" borderId="16" xfId="3603" applyBorder="1" applyAlignment="1">
      <alignment horizontal="center" vertical="center" wrapText="1"/>
    </xf>
    <xf numFmtId="0" fontId="13" fillId="0" borderId="19" xfId="3603" applyBorder="1" applyAlignment="1">
      <alignment horizontal="center" vertical="center" wrapText="1"/>
    </xf>
    <xf numFmtId="0" fontId="13" fillId="2" borderId="14" xfId="3603" applyFill="1" applyBorder="1" applyAlignment="1">
      <alignment horizontal="center" vertical="center" wrapText="1"/>
    </xf>
    <xf numFmtId="0" fontId="13" fillId="0" borderId="14" xfId="3603" applyBorder="1" applyAlignment="1">
      <alignment horizontal="center" vertical="center" wrapText="1"/>
    </xf>
    <xf numFmtId="0" fontId="13" fillId="0" borderId="80" xfId="3601" applyBorder="1" applyAlignment="1">
      <alignment horizontal="center" wrapText="1"/>
    </xf>
    <xf numFmtId="0" fontId="7" fillId="0" borderId="80" xfId="3601" applyFont="1" applyBorder="1" applyAlignment="1">
      <alignment horizontal="left" wrapText="1"/>
    </xf>
    <xf numFmtId="0" fontId="13" fillId="0" borderId="15" xfId="3603" quotePrefix="1" applyBorder="1" applyAlignment="1">
      <alignment horizontal="center" vertical="center" wrapText="1"/>
    </xf>
    <xf numFmtId="0" fontId="13" fillId="0" borderId="16" xfId="3603" quotePrefix="1" applyBorder="1" applyAlignment="1">
      <alignment horizontal="center" vertical="center" wrapText="1"/>
    </xf>
    <xf numFmtId="0" fontId="13" fillId="0" borderId="19" xfId="3603" quotePrefix="1" applyBorder="1" applyAlignment="1">
      <alignment horizontal="center" vertical="center" wrapText="1"/>
    </xf>
    <xf numFmtId="0" fontId="7" fillId="2" borderId="80" xfId="2720" applyFont="1" applyFill="1" applyBorder="1" applyAlignment="1">
      <alignment horizontal="left" vertical="center" wrapText="1"/>
    </xf>
    <xf numFmtId="0" fontId="13" fillId="0" borderId="80" xfId="3605" applyBorder="1" applyAlignment="1">
      <alignment horizontal="center" vertical="top"/>
    </xf>
    <xf numFmtId="49" fontId="13" fillId="0" borderId="80" xfId="3606" quotePrefix="1" applyNumberFormat="1" applyBorder="1" applyAlignment="1">
      <alignment horizontal="center" vertical="center" wrapText="1"/>
    </xf>
    <xf numFmtId="0" fontId="13" fillId="2" borderId="14" xfId="2720" applyFont="1" applyFill="1" applyBorder="1" applyAlignment="1">
      <alignment horizontal="center" vertical="center" wrapText="1"/>
    </xf>
    <xf numFmtId="0" fontId="33" fillId="0" borderId="80" xfId="2588" quotePrefix="1" applyFont="1" applyBorder="1" applyAlignment="1">
      <alignment horizontal="center" vertical="center"/>
    </xf>
    <xf numFmtId="49" fontId="7" fillId="0" borderId="80" xfId="3605" applyNumberFormat="1" applyFont="1" applyBorder="1" applyAlignment="1">
      <alignment horizontal="center" vertical="center" wrapText="1"/>
    </xf>
    <xf numFmtId="0" fontId="7" fillId="2" borderId="80" xfId="3605" applyFont="1" applyFill="1" applyBorder="1" applyAlignment="1">
      <alignment horizontal="center" vertical="center" wrapText="1"/>
    </xf>
    <xf numFmtId="0" fontId="8" fillId="0" borderId="10" xfId="3603" applyFont="1" applyBorder="1" applyAlignment="1">
      <alignment horizontal="left" vertical="center" wrapText="1"/>
    </xf>
    <xf numFmtId="0" fontId="1" fillId="0" borderId="11" xfId="3603" applyFont="1" applyBorder="1" applyAlignment="1">
      <alignment horizontal="left" vertical="center" wrapText="1"/>
    </xf>
    <xf numFmtId="0" fontId="1" fillId="0" borderId="12" xfId="3603" applyFont="1" applyBorder="1" applyAlignment="1">
      <alignment horizontal="left" vertical="center" wrapText="1"/>
    </xf>
    <xf numFmtId="0" fontId="8" fillId="0" borderId="1" xfId="3603" applyFont="1" applyBorder="1" applyAlignment="1">
      <alignment horizontal="left" vertical="top" wrapText="1"/>
    </xf>
    <xf numFmtId="0" fontId="9" fillId="0" borderId="3" xfId="3603" applyFont="1" applyBorder="1" applyAlignment="1">
      <alignment horizontal="left" vertical="top" wrapText="1"/>
    </xf>
    <xf numFmtId="0" fontId="10" fillId="0" borderId="4" xfId="3603" applyFont="1" applyBorder="1" applyAlignment="1">
      <alignment horizontal="left" vertical="top" wrapText="1"/>
    </xf>
    <xf numFmtId="0" fontId="10" fillId="0" borderId="0" xfId="3603" applyFont="1" applyAlignment="1">
      <alignment horizontal="left" vertical="top" wrapText="1"/>
    </xf>
    <xf numFmtId="0" fontId="10" fillId="0" borderId="6" xfId="3603" applyFont="1" applyBorder="1" applyAlignment="1">
      <alignment horizontal="left" vertical="top" wrapText="1"/>
    </xf>
    <xf numFmtId="0" fontId="10" fillId="0" borderId="7" xfId="3603" applyFont="1" applyBorder="1" applyAlignment="1">
      <alignment horizontal="left" vertical="top" wrapText="1"/>
    </xf>
    <xf numFmtId="0" fontId="1" fillId="0" borderId="0" xfId="3603" applyFont="1" applyAlignment="1">
      <alignment horizontal="left" vertical="top" wrapText="1"/>
    </xf>
    <xf numFmtId="0" fontId="1" fillId="0" borderId="5" xfId="3603" applyFont="1" applyBorder="1" applyAlignment="1">
      <alignment horizontal="left" vertical="top" wrapText="1"/>
    </xf>
    <xf numFmtId="0" fontId="1" fillId="0" borderId="7" xfId="3603" applyFont="1" applyBorder="1" applyAlignment="1">
      <alignment horizontal="left" vertical="top" wrapText="1"/>
    </xf>
    <xf numFmtId="0" fontId="1" fillId="0" borderId="8" xfId="3603" applyFont="1" applyBorder="1" applyAlignment="1">
      <alignment horizontal="left" vertical="top" wrapText="1"/>
    </xf>
    <xf numFmtId="0" fontId="7" fillId="0" borderId="10" xfId="3603" applyFont="1" applyBorder="1" applyAlignment="1">
      <alignment horizontal="center"/>
    </xf>
    <xf numFmtId="0" fontId="7" fillId="0" borderId="11" xfId="3603" applyFont="1" applyBorder="1" applyAlignment="1">
      <alignment horizontal="center"/>
    </xf>
    <xf numFmtId="0" fontId="7" fillId="0" borderId="12" xfId="3603" applyFont="1" applyBorder="1" applyAlignment="1">
      <alignment horizontal="center"/>
    </xf>
    <xf numFmtId="0" fontId="3" fillId="0" borderId="6" xfId="3603" applyFont="1" applyBorder="1" applyAlignment="1">
      <alignment horizontal="left" vertical="center"/>
    </xf>
    <xf numFmtId="0" fontId="3" fillId="0" borderId="7" xfId="3603" applyFont="1" applyBorder="1" applyAlignment="1">
      <alignment horizontal="left" vertical="center"/>
    </xf>
    <xf numFmtId="195" fontId="12" fillId="0" borderId="7" xfId="3603" quotePrefix="1" applyNumberFormat="1" applyFont="1" applyBorder="1" applyAlignment="1">
      <alignment horizontal="center" vertical="center"/>
    </xf>
    <xf numFmtId="195" fontId="12" fillId="0" borderId="7" xfId="3603" applyNumberFormat="1" applyFont="1" applyBorder="1" applyAlignment="1">
      <alignment horizontal="center" vertical="center"/>
    </xf>
    <xf numFmtId="195" fontId="12" fillId="0" borderId="8" xfId="3603" applyNumberFormat="1" applyFont="1" applyBorder="1" applyAlignment="1">
      <alignment horizontal="center" vertical="center"/>
    </xf>
    <xf numFmtId="0" fontId="3" fillId="0" borderId="20" xfId="3603" applyFont="1" applyBorder="1" applyAlignment="1">
      <alignment horizontal="left" vertical="center"/>
    </xf>
    <xf numFmtId="0" fontId="3" fillId="0" borderId="0" xfId="3603" applyFont="1" applyAlignment="1">
      <alignment horizontal="left" vertical="top"/>
    </xf>
    <xf numFmtId="0" fontId="3" fillId="0" borderId="8" xfId="3603" applyFont="1" applyBorder="1" applyAlignment="1">
      <alignment horizontal="left" vertical="center"/>
    </xf>
    <xf numFmtId="0" fontId="7" fillId="0" borderId="1" xfId="3603" applyFont="1" applyBorder="1" applyAlignment="1">
      <alignment horizontal="left" vertical="top"/>
    </xf>
    <xf numFmtId="0" fontId="7" fillId="0" borderId="3" xfId="3603" applyFont="1" applyBorder="1" applyAlignment="1">
      <alignment horizontal="left" vertical="top"/>
    </xf>
    <xf numFmtId="0" fontId="7" fillId="0" borderId="2" xfId="3603" applyFont="1" applyBorder="1" applyAlignment="1">
      <alignment horizontal="left" vertical="top"/>
    </xf>
    <xf numFmtId="0" fontId="7" fillId="0" borderId="17" xfId="3603" applyFont="1" applyBorder="1" applyAlignment="1">
      <alignment horizontal="left" vertical="top"/>
    </xf>
    <xf numFmtId="0" fontId="7" fillId="0" borderId="9" xfId="3603" applyFont="1" applyBorder="1" applyAlignment="1">
      <alignment horizontal="center"/>
    </xf>
    <xf numFmtId="0" fontId="7" fillId="0" borderId="9" xfId="3603" applyFont="1" applyBorder="1" applyAlignment="1">
      <alignment horizontal="center" vertical="top"/>
    </xf>
    <xf numFmtId="0" fontId="3" fillId="0" borderId="18" xfId="3603" applyFont="1" applyBorder="1" applyAlignment="1">
      <alignment horizontal="left" vertical="top"/>
    </xf>
    <xf numFmtId="0" fontId="3" fillId="0" borderId="18" xfId="3603" applyFont="1" applyBorder="1" applyAlignment="1">
      <alignment horizontal="left"/>
    </xf>
    <xf numFmtId="0" fontId="3" fillId="0" borderId="18" xfId="3603" applyFont="1" applyBorder="1" applyAlignment="1">
      <alignment horizontal="center" vertical="top"/>
    </xf>
    <xf numFmtId="0" fontId="1" fillId="0" borderId="4" xfId="3603" applyFont="1" applyBorder="1" applyAlignment="1">
      <alignment horizontal="left" vertical="top"/>
    </xf>
    <xf numFmtId="0" fontId="3" fillId="0" borderId="5" xfId="3603" applyFont="1" applyBorder="1" applyAlignment="1">
      <alignment horizontal="left" vertical="top"/>
    </xf>
    <xf numFmtId="0" fontId="3" fillId="0" borderId="4" xfId="3603" applyFont="1" applyBorder="1" applyAlignment="1">
      <alignment horizontal="left" vertical="top"/>
    </xf>
    <xf numFmtId="229" fontId="3" fillId="0" borderId="4" xfId="3607" applyFont="1" applyBorder="1" applyAlignment="1">
      <alignment horizontal="left" vertical="top"/>
    </xf>
    <xf numFmtId="229" fontId="3" fillId="0" borderId="0" xfId="3607" applyFont="1" applyAlignment="1">
      <alignment horizontal="left" vertical="top"/>
    </xf>
    <xf numFmtId="229" fontId="3" fillId="0" borderId="5" xfId="3607" applyFont="1" applyBorder="1" applyAlignment="1">
      <alignment horizontal="left" vertical="top"/>
    </xf>
    <xf numFmtId="229" fontId="3" fillId="0" borderId="4" xfId="3607" applyFont="1" applyBorder="1" applyAlignment="1">
      <alignment horizontal="center" vertical="top"/>
    </xf>
    <xf numFmtId="229" fontId="3" fillId="0" borderId="0" xfId="3607" applyFont="1" applyAlignment="1">
      <alignment horizontal="center" vertical="top"/>
    </xf>
    <xf numFmtId="229" fontId="3" fillId="0" borderId="5" xfId="3607" applyFont="1" applyBorder="1" applyAlignment="1">
      <alignment horizontal="center" vertical="top"/>
    </xf>
    <xf numFmtId="229" fontId="3" fillId="0" borderId="6" xfId="3607" applyFont="1" applyBorder="1" applyAlignment="1">
      <alignment horizontal="center" vertical="top"/>
    </xf>
    <xf numFmtId="229" fontId="3" fillId="0" borderId="7" xfId="3607" applyFont="1" applyBorder="1" applyAlignment="1">
      <alignment horizontal="center" vertical="top"/>
    </xf>
    <xf numFmtId="14" fontId="7" fillId="0" borderId="7" xfId="3607" quotePrefix="1" applyNumberFormat="1" applyFont="1" applyBorder="1" applyAlignment="1">
      <alignment horizontal="center" vertical="top"/>
    </xf>
    <xf numFmtId="14" fontId="7" fillId="0" borderId="7" xfId="3607" applyNumberFormat="1" applyFont="1" applyBorder="1" applyAlignment="1">
      <alignment horizontal="center" vertical="top"/>
    </xf>
    <xf numFmtId="14" fontId="7" fillId="0" borderId="8" xfId="3607" applyNumberFormat="1" applyFont="1" applyBorder="1" applyAlignment="1">
      <alignment horizontal="center" vertical="top"/>
    </xf>
    <xf numFmtId="14" fontId="7" fillId="0" borderId="7" xfId="3607" applyNumberFormat="1" applyFont="1" applyBorder="1" applyAlignment="1">
      <alignment horizontal="center" vertical="center"/>
    </xf>
    <xf numFmtId="14" fontId="7" fillId="0" borderId="8" xfId="3607" applyNumberFormat="1" applyFont="1" applyBorder="1" applyAlignment="1">
      <alignment horizontal="center" vertical="center"/>
    </xf>
    <xf numFmtId="229" fontId="3" fillId="0" borderId="8" xfId="3607" applyFont="1" applyBorder="1" applyAlignment="1">
      <alignment horizontal="center" vertical="top"/>
    </xf>
    <xf numFmtId="229" fontId="7" fillId="0" borderId="4" xfId="3607" applyFont="1" applyBorder="1" applyAlignment="1">
      <alignment horizontal="center" vertical="center"/>
    </xf>
    <xf numFmtId="229" fontId="7" fillId="0" borderId="0" xfId="3607" applyFont="1" applyAlignment="1">
      <alignment horizontal="center" vertical="center"/>
    </xf>
    <xf numFmtId="229" fontId="7" fillId="0" borderId="5" xfId="3607" applyFont="1" applyBorder="1" applyAlignment="1">
      <alignment horizontal="center" vertical="center"/>
    </xf>
    <xf numFmtId="229" fontId="10" fillId="0" borderId="6" xfId="3607" applyFont="1" applyBorder="1" applyAlignment="1">
      <alignment vertical="center" wrapText="1"/>
    </xf>
    <xf numFmtId="229" fontId="10" fillId="0" borderId="7" xfId="3607" applyFont="1" applyBorder="1" applyAlignment="1">
      <alignment vertical="center" wrapText="1"/>
    </xf>
    <xf numFmtId="229" fontId="10" fillId="0" borderId="8" xfId="3607" applyFont="1" applyBorder="1" applyAlignment="1">
      <alignment vertical="center" wrapText="1"/>
    </xf>
    <xf numFmtId="229" fontId="10" fillId="0" borderId="10" xfId="3607" applyFont="1" applyBorder="1" applyAlignment="1">
      <alignment horizontal="left" vertical="top" wrapText="1"/>
    </xf>
    <xf numFmtId="229" fontId="10" fillId="0" borderId="11" xfId="3607" applyFont="1" applyBorder="1" applyAlignment="1">
      <alignment horizontal="left" vertical="top" wrapText="1"/>
    </xf>
    <xf numFmtId="229" fontId="10" fillId="0" borderId="12" xfId="3607" applyFont="1" applyBorder="1" applyAlignment="1">
      <alignment horizontal="left" vertical="top" wrapText="1"/>
    </xf>
    <xf numFmtId="229" fontId="7" fillId="0" borderId="10" xfId="3607" applyFont="1" applyBorder="1" applyAlignment="1">
      <alignment horizontal="left" vertical="top"/>
    </xf>
    <xf numFmtId="229" fontId="7" fillId="0" borderId="11" xfId="3607" applyFont="1" applyBorder="1" applyAlignment="1">
      <alignment horizontal="left" vertical="top"/>
    </xf>
    <xf numFmtId="229" fontId="7" fillId="0" borderId="12" xfId="3607" applyFont="1" applyBorder="1" applyAlignment="1">
      <alignment horizontal="left" vertical="top"/>
    </xf>
    <xf numFmtId="229" fontId="3" fillId="0" borderId="1" xfId="3607" applyFont="1" applyBorder="1" applyAlignment="1">
      <alignment horizontal="left" vertical="top"/>
    </xf>
    <xf numFmtId="229" fontId="3" fillId="0" borderId="3" xfId="3607" applyFont="1" applyBorder="1" applyAlignment="1">
      <alignment horizontal="left" vertical="top"/>
    </xf>
    <xf numFmtId="229" fontId="3" fillId="0" borderId="2" xfId="3607" applyFont="1" applyBorder="1" applyAlignment="1">
      <alignment horizontal="left" vertical="top"/>
    </xf>
    <xf numFmtId="49" fontId="0" fillId="0" borderId="15" xfId="3607" applyNumberFormat="1" applyFont="1" applyBorder="1" applyAlignment="1">
      <alignment horizontal="center" vertical="center" wrapText="1"/>
    </xf>
    <xf numFmtId="49" fontId="0" fillId="0" borderId="16" xfId="3607" applyNumberFormat="1" applyFont="1" applyBorder="1" applyAlignment="1">
      <alignment horizontal="center" vertical="center" wrapText="1"/>
    </xf>
    <xf numFmtId="49" fontId="0" fillId="0" borderId="19" xfId="3607" applyNumberFormat="1" applyFont="1" applyBorder="1" applyAlignment="1">
      <alignment horizontal="center" vertical="center" wrapText="1"/>
    </xf>
    <xf numFmtId="49" fontId="13" fillId="0" borderId="15" xfId="3607" applyNumberFormat="1" applyBorder="1" applyAlignment="1">
      <alignment horizontal="center" vertical="center" wrapText="1"/>
    </xf>
    <xf numFmtId="49" fontId="18" fillId="0" borderId="15" xfId="3609" applyNumberFormat="1" applyFont="1" applyBorder="1" applyAlignment="1">
      <alignment horizontal="center" vertical="center" wrapText="1"/>
    </xf>
    <xf numFmtId="49" fontId="18" fillId="0" borderId="19" xfId="3609" applyNumberFormat="1" applyFont="1" applyBorder="1" applyAlignment="1">
      <alignment horizontal="center" vertical="center" wrapText="1"/>
    </xf>
    <xf numFmtId="49" fontId="18" fillId="0" borderId="15" xfId="3608" applyNumberFormat="1" applyFont="1" applyBorder="1" applyAlignment="1">
      <alignment horizontal="center" vertical="center" wrapText="1"/>
    </xf>
    <xf numFmtId="49" fontId="18" fillId="0" borderId="16" xfId="3608" applyNumberFormat="1" applyFont="1" applyBorder="1" applyAlignment="1">
      <alignment horizontal="center" vertical="center" wrapText="1"/>
    </xf>
    <xf numFmtId="49" fontId="18" fillId="0" borderId="19" xfId="3608" applyNumberFormat="1" applyFont="1" applyBorder="1" applyAlignment="1">
      <alignment horizontal="center" vertical="center" wrapText="1"/>
    </xf>
    <xf numFmtId="49" fontId="0" fillId="0" borderId="15" xfId="3607" quotePrefix="1" applyNumberFormat="1" applyFont="1" applyBorder="1" applyAlignment="1">
      <alignment horizontal="center" vertical="center" wrapText="1"/>
    </xf>
    <xf numFmtId="49" fontId="13" fillId="0" borderId="15" xfId="3607" quotePrefix="1" applyNumberFormat="1" applyBorder="1" applyAlignment="1">
      <alignment horizontal="center" vertical="center" wrapText="1"/>
    </xf>
    <xf numFmtId="49" fontId="3" fillId="0" borderId="10" xfId="3607" applyNumberFormat="1" applyFont="1" applyBorder="1" applyAlignment="1">
      <alignment horizontal="center" vertical="top" wrapText="1"/>
    </xf>
    <xf numFmtId="49" fontId="3" fillId="0" borderId="11" xfId="3607" applyNumberFormat="1" applyFont="1" applyBorder="1" applyAlignment="1">
      <alignment horizontal="center" vertical="top" wrapText="1"/>
    </xf>
    <xf numFmtId="49" fontId="3" fillId="0" borderId="12" xfId="3607" applyNumberFormat="1" applyFont="1" applyBorder="1" applyAlignment="1">
      <alignment horizontal="center" vertical="top" wrapText="1"/>
    </xf>
    <xf numFmtId="49" fontId="13" fillId="0" borderId="95" xfId="3607" applyNumberFormat="1" applyBorder="1" applyAlignment="1">
      <alignment horizontal="center" vertical="center" wrapText="1"/>
    </xf>
    <xf numFmtId="49" fontId="0" fillId="0" borderId="101" xfId="3607" applyNumberFormat="1" applyFont="1" applyBorder="1" applyAlignment="1">
      <alignment horizontal="center" vertical="center" wrapText="1"/>
    </xf>
    <xf numFmtId="49" fontId="0" fillId="0" borderId="96" xfId="3607" applyNumberFormat="1" applyFont="1" applyBorder="1" applyAlignment="1">
      <alignment horizontal="center" vertical="center" wrapText="1"/>
    </xf>
    <xf numFmtId="49" fontId="18" fillId="0" borderId="95" xfId="3609" applyNumberFormat="1" applyFont="1" applyBorder="1" applyAlignment="1">
      <alignment horizontal="center" vertical="center" wrapText="1"/>
    </xf>
    <xf numFmtId="49" fontId="18" fillId="0" borderId="96" xfId="3609" applyNumberFormat="1" applyFont="1" applyBorder="1" applyAlignment="1">
      <alignment horizontal="center" vertical="center"/>
    </xf>
    <xf numFmtId="49" fontId="18" fillId="0" borderId="95" xfId="3608" applyNumberFormat="1" applyFont="1" applyBorder="1" applyAlignment="1">
      <alignment horizontal="center" vertical="center" wrapText="1"/>
    </xf>
    <xf numFmtId="49" fontId="18" fillId="0" borderId="101" xfId="3608" applyNumberFormat="1" applyFont="1" applyBorder="1" applyAlignment="1">
      <alignment horizontal="center" vertical="center" wrapText="1"/>
    </xf>
    <xf numFmtId="49" fontId="18" fillId="0" borderId="96" xfId="3608" applyNumberFormat="1" applyFont="1" applyBorder="1" applyAlignment="1">
      <alignment horizontal="center" vertical="center" wrapText="1"/>
    </xf>
    <xf numFmtId="49" fontId="6" fillId="0" borderId="10" xfId="3608" applyNumberFormat="1" applyFont="1" applyBorder="1" applyAlignment="1">
      <alignment vertical="center" wrapText="1"/>
    </xf>
    <xf numFmtId="49" fontId="6" fillId="0" borderId="11" xfId="3608" applyNumberFormat="1" applyFont="1" applyBorder="1" applyAlignment="1">
      <alignment vertical="center" wrapText="1"/>
    </xf>
    <xf numFmtId="49" fontId="6" fillId="0" borderId="12" xfId="3608" applyNumberFormat="1" applyFont="1" applyBorder="1" applyAlignment="1">
      <alignment vertical="center" wrapText="1"/>
    </xf>
    <xf numFmtId="49" fontId="1" fillId="0" borderId="10" xfId="3608" applyNumberFormat="1" applyFont="1" applyBorder="1" applyAlignment="1">
      <alignment horizontal="center" vertical="center" wrapText="1"/>
    </xf>
    <xf numFmtId="49" fontId="1" fillId="0" borderId="12" xfId="3608" applyNumberFormat="1" applyFont="1" applyBorder="1" applyAlignment="1">
      <alignment horizontal="center" vertical="center" wrapText="1"/>
    </xf>
    <xf numFmtId="49" fontId="13" fillId="0" borderId="10" xfId="3608" applyNumberFormat="1" applyFont="1" applyBorder="1" applyAlignment="1">
      <alignment horizontal="center" vertical="center" wrapText="1"/>
    </xf>
    <xf numFmtId="49" fontId="0" fillId="0" borderId="11" xfId="3608" applyNumberFormat="1" applyFont="1" applyBorder="1" applyAlignment="1">
      <alignment horizontal="center" vertical="center" wrapText="1"/>
    </xf>
    <xf numFmtId="49" fontId="0" fillId="0" borderId="12" xfId="3608" applyNumberFormat="1" applyFont="1" applyBorder="1" applyAlignment="1">
      <alignment horizontal="center" vertical="center" wrapText="1"/>
    </xf>
    <xf numFmtId="49" fontId="13" fillId="0" borderId="10" xfId="3608" applyNumberFormat="1" applyFont="1" applyBorder="1" applyAlignment="1">
      <alignment horizontal="center" vertical="center"/>
    </xf>
    <xf numFmtId="49" fontId="0" fillId="0" borderId="12" xfId="3608" applyNumberFormat="1" applyFont="1" applyBorder="1" applyAlignment="1">
      <alignment horizontal="center" vertical="center"/>
    </xf>
    <xf numFmtId="49" fontId="6" fillId="0" borderId="10" xfId="3608" applyNumberFormat="1" applyFont="1" applyBorder="1" applyAlignment="1">
      <alignment horizontal="left" vertical="center" wrapText="1"/>
    </xf>
    <xf numFmtId="49" fontId="6" fillId="0" borderId="11" xfId="3608" applyNumberFormat="1" applyFont="1" applyBorder="1" applyAlignment="1">
      <alignment horizontal="left" vertical="center" wrapText="1"/>
    </xf>
    <xf numFmtId="49" fontId="6" fillId="0" borderId="12" xfId="3608" applyNumberFormat="1" applyFont="1" applyBorder="1" applyAlignment="1">
      <alignment horizontal="left" vertical="center" wrapText="1"/>
    </xf>
    <xf numFmtId="49" fontId="0" fillId="0" borderId="10" xfId="3608" applyNumberFormat="1" applyFont="1" applyBorder="1" applyAlignment="1">
      <alignment horizontal="center" vertical="center" wrapText="1"/>
    </xf>
    <xf numFmtId="49" fontId="0" fillId="0" borderId="11" xfId="3608" applyNumberFormat="1" applyFont="1" applyBorder="1" applyAlignment="1">
      <alignment horizontal="center" vertical="center"/>
    </xf>
    <xf numFmtId="49" fontId="6" fillId="0" borderId="10" xfId="3608" applyNumberFormat="1" applyFont="1" applyBorder="1" applyAlignment="1">
      <alignment horizontal="left" vertical="top" wrapText="1"/>
    </xf>
    <xf numFmtId="49" fontId="6" fillId="0" borderId="11" xfId="3608" applyNumberFormat="1" applyFont="1" applyBorder="1" applyAlignment="1">
      <alignment horizontal="left" vertical="top" wrapText="1"/>
    </xf>
    <xf numFmtId="49" fontId="6" fillId="0" borderId="12" xfId="3608" applyNumberFormat="1" applyFont="1" applyBorder="1" applyAlignment="1">
      <alignment horizontal="left" vertical="top" wrapText="1"/>
    </xf>
    <xf numFmtId="49" fontId="6" fillId="0" borderId="10" xfId="3608" applyNumberFormat="1" applyFont="1" applyBorder="1" applyAlignment="1">
      <alignment vertical="center"/>
    </xf>
    <xf numFmtId="49" fontId="6" fillId="0" borderId="11" xfId="3608" applyNumberFormat="1" applyFont="1" applyBorder="1" applyAlignment="1">
      <alignment vertical="center"/>
    </xf>
    <xf numFmtId="49" fontId="6" fillId="0" borderId="12" xfId="3608" applyNumberFormat="1" applyFont="1" applyBorder="1" applyAlignment="1">
      <alignment vertical="center"/>
    </xf>
    <xf numFmtId="49" fontId="0" fillId="0" borderId="10" xfId="3608" applyNumberFormat="1" applyFont="1" applyBorder="1" applyAlignment="1">
      <alignment horizontal="center" vertical="center"/>
    </xf>
    <xf numFmtId="49" fontId="6" fillId="0" borderId="1" xfId="3608" applyNumberFormat="1" applyFont="1" applyBorder="1" applyAlignment="1">
      <alignment horizontal="left" vertical="center" wrapText="1"/>
    </xf>
    <xf numFmtId="49" fontId="6" fillId="0" borderId="3" xfId="3608" applyNumberFormat="1" applyFont="1" applyBorder="1" applyAlignment="1">
      <alignment horizontal="left" vertical="center" wrapText="1"/>
    </xf>
    <xf numFmtId="49" fontId="6" fillId="0" borderId="2" xfId="3608" applyNumberFormat="1" applyFont="1" applyBorder="1" applyAlignment="1">
      <alignment horizontal="left" vertical="center" wrapText="1"/>
    </xf>
    <xf numFmtId="49" fontId="6" fillId="0" borderId="6" xfId="3608" applyNumberFormat="1" applyFont="1" applyBorder="1" applyAlignment="1">
      <alignment horizontal="left" vertical="center" wrapText="1"/>
    </xf>
    <xf numFmtId="49" fontId="6" fillId="0" borderId="7" xfId="3608" applyNumberFormat="1" applyFont="1" applyBorder="1" applyAlignment="1">
      <alignment horizontal="left" vertical="center" wrapText="1"/>
    </xf>
    <xf numFmtId="49" fontId="6" fillId="0" borderId="8" xfId="3608" applyNumberFormat="1" applyFont="1" applyBorder="1" applyAlignment="1">
      <alignment horizontal="left" vertical="center" wrapText="1"/>
    </xf>
    <xf numFmtId="49" fontId="0" fillId="0" borderId="1" xfId="3608" applyNumberFormat="1" applyFont="1" applyBorder="1" applyAlignment="1">
      <alignment horizontal="left" vertical="center"/>
    </xf>
    <xf numFmtId="49" fontId="0" fillId="0" borderId="3" xfId="3608" applyNumberFormat="1" applyFont="1" applyBorder="1" applyAlignment="1">
      <alignment horizontal="left" vertical="center"/>
    </xf>
    <xf numFmtId="49" fontId="0" fillId="0" borderId="2" xfId="3608" applyNumberFormat="1" applyFont="1" applyBorder="1" applyAlignment="1">
      <alignment horizontal="left" vertical="center"/>
    </xf>
    <xf numFmtId="49" fontId="168" fillId="0" borderId="6" xfId="3608" applyNumberFormat="1" applyFont="1" applyBorder="1" applyAlignment="1">
      <alignment horizontal="center" vertical="center"/>
    </xf>
    <xf numFmtId="49" fontId="168" fillId="0" borderId="7" xfId="3608" applyNumberFormat="1" applyFont="1" applyBorder="1" applyAlignment="1">
      <alignment horizontal="center" vertical="center"/>
    </xf>
    <xf numFmtId="49" fontId="168" fillId="0" borderId="8" xfId="3608" applyNumberFormat="1" applyFont="1" applyBorder="1" applyAlignment="1">
      <alignment horizontal="center" vertical="center"/>
    </xf>
    <xf numFmtId="49" fontId="7" fillId="0" borderId="6" xfId="3608" applyNumberFormat="1" applyFont="1" applyBorder="1" applyAlignment="1">
      <alignment horizontal="center" vertical="center"/>
    </xf>
    <xf numFmtId="49" fontId="7" fillId="0" borderId="7" xfId="3608" applyNumberFormat="1" applyFont="1" applyBorder="1" applyAlignment="1">
      <alignment horizontal="center" vertical="center"/>
    </xf>
    <xf numFmtId="49" fontId="7" fillId="0" borderId="8" xfId="3608" applyNumberFormat="1" applyFont="1" applyBorder="1" applyAlignment="1">
      <alignment horizontal="center" vertical="center"/>
    </xf>
    <xf numFmtId="49" fontId="6" fillId="0" borderId="10" xfId="3608" applyNumberFormat="1" applyFont="1" applyBorder="1" applyAlignment="1">
      <alignment vertical="top" wrapText="1"/>
    </xf>
    <xf numFmtId="49" fontId="6" fillId="0" borderId="11" xfId="3608" applyNumberFormat="1" applyFont="1" applyBorder="1" applyAlignment="1">
      <alignment vertical="top" wrapText="1"/>
    </xf>
    <xf numFmtId="49" fontId="6" fillId="0" borderId="12" xfId="3608" applyNumberFormat="1" applyFont="1" applyBorder="1" applyAlignment="1">
      <alignment vertical="top" wrapText="1"/>
    </xf>
    <xf numFmtId="229" fontId="168" fillId="0" borderId="4" xfId="3608" applyFont="1" applyBorder="1" applyAlignment="1">
      <alignment horizontal="center" vertical="center" wrapText="1"/>
    </xf>
    <xf numFmtId="229" fontId="168" fillId="0" borderId="0" xfId="3608" applyFont="1" applyAlignment="1">
      <alignment horizontal="center" vertical="center" wrapText="1"/>
    </xf>
    <xf numFmtId="229" fontId="168" fillId="0" borderId="5" xfId="3608" applyFont="1" applyBorder="1" applyAlignment="1">
      <alignment horizontal="center" vertical="center" wrapText="1"/>
    </xf>
    <xf numFmtId="229" fontId="1" fillId="0" borderId="4" xfId="3608" applyFont="1" applyBorder="1" applyAlignment="1">
      <alignment horizontal="left" vertical="top"/>
    </xf>
    <xf numFmtId="229" fontId="1" fillId="0" borderId="0" xfId="3608" applyFont="1" applyAlignment="1">
      <alignment horizontal="left" vertical="top"/>
    </xf>
    <xf numFmtId="229" fontId="1" fillId="0" borderId="5" xfId="3608" applyFont="1" applyBorder="1" applyAlignment="1">
      <alignment horizontal="left" vertical="top"/>
    </xf>
    <xf numFmtId="229" fontId="162" fillId="38" borderId="6" xfId="3608" applyFont="1" applyFill="1" applyBorder="1" applyAlignment="1">
      <alignment horizontal="center" vertical="center" wrapText="1"/>
    </xf>
    <xf numFmtId="229" fontId="162" fillId="38" borderId="7" xfId="3608" applyFont="1" applyFill="1" applyBorder="1" applyAlignment="1">
      <alignment horizontal="center" vertical="center" wrapText="1"/>
    </xf>
    <xf numFmtId="229" fontId="162" fillId="38" borderId="8" xfId="3608" applyFont="1" applyFill="1" applyBorder="1" applyAlignment="1">
      <alignment horizontal="center" vertical="center" wrapText="1"/>
    </xf>
    <xf numFmtId="229" fontId="6" fillId="0" borderId="6" xfId="3608" applyFont="1" applyBorder="1" applyAlignment="1">
      <alignment horizontal="left" vertical="center" wrapText="1"/>
    </xf>
    <xf numFmtId="229" fontId="6" fillId="0" borderId="7" xfId="3608" applyFont="1" applyBorder="1" applyAlignment="1">
      <alignment horizontal="left" vertical="center" wrapText="1"/>
    </xf>
    <xf numFmtId="229" fontId="6" fillId="0" borderId="8" xfId="3608" applyFont="1" applyBorder="1" applyAlignment="1">
      <alignment horizontal="left" vertical="center" wrapText="1"/>
    </xf>
    <xf numFmtId="229" fontId="7" fillId="0" borderId="6" xfId="3608" applyFont="1" applyBorder="1" applyAlignment="1">
      <alignment horizontal="center" vertical="center" wrapText="1"/>
    </xf>
    <xf numFmtId="229" fontId="7" fillId="0" borderId="7" xfId="3608" applyFont="1" applyBorder="1" applyAlignment="1">
      <alignment horizontal="center" vertical="center" wrapText="1"/>
    </xf>
    <xf numFmtId="229" fontId="7" fillId="0" borderId="8" xfId="3608" applyFont="1" applyBorder="1" applyAlignment="1">
      <alignment horizontal="center" vertical="center" wrapText="1"/>
    </xf>
    <xf numFmtId="229" fontId="6" fillId="0" borderId="1" xfId="3608" applyFont="1" applyBorder="1" applyAlignment="1">
      <alignment horizontal="left" vertical="center"/>
    </xf>
    <xf numFmtId="229" fontId="6" fillId="0" borderId="3" xfId="3608" applyFont="1" applyBorder="1" applyAlignment="1">
      <alignment horizontal="left" vertical="center"/>
    </xf>
    <xf numFmtId="229" fontId="6" fillId="0" borderId="2" xfId="3608" applyFont="1" applyBorder="1" applyAlignment="1">
      <alignment horizontal="left" vertical="center"/>
    </xf>
    <xf numFmtId="229" fontId="6" fillId="0" borderId="1" xfId="3607" applyFont="1" applyBorder="1" applyAlignment="1">
      <alignment vertical="top" wrapText="1"/>
    </xf>
    <xf numFmtId="229" fontId="6" fillId="0" borderId="3" xfId="3607" applyFont="1" applyBorder="1" applyAlignment="1">
      <alignment vertical="top" wrapText="1"/>
    </xf>
    <xf numFmtId="229" fontId="6" fillId="0" borderId="2" xfId="3607" applyFont="1" applyBorder="1" applyAlignment="1">
      <alignment vertical="top" wrapText="1"/>
    </xf>
    <xf numFmtId="229" fontId="7" fillId="0" borderId="6" xfId="3607" applyFont="1" applyBorder="1" applyAlignment="1">
      <alignment horizontal="center" vertical="top" wrapText="1"/>
    </xf>
    <xf numFmtId="229" fontId="7" fillId="0" borderId="7" xfId="3607" applyFont="1" applyBorder="1" applyAlignment="1">
      <alignment horizontal="center" vertical="top" wrapText="1"/>
    </xf>
    <xf numFmtId="229" fontId="7" fillId="0" borderId="8" xfId="3607" applyFont="1" applyBorder="1" applyAlignment="1">
      <alignment horizontal="center" vertical="top" wrapText="1"/>
    </xf>
    <xf numFmtId="229" fontId="168" fillId="0" borderId="6" xfId="3607" applyFont="1" applyBorder="1" applyAlignment="1">
      <alignment horizontal="center" vertical="top" wrapText="1"/>
    </xf>
    <xf numFmtId="229" fontId="168" fillId="0" borderId="7" xfId="3607" applyFont="1" applyBorder="1" applyAlignment="1">
      <alignment horizontal="center" vertical="top" wrapText="1"/>
    </xf>
    <xf numFmtId="229" fontId="168" fillId="0" borderId="8" xfId="3607" applyFont="1" applyBorder="1" applyAlignment="1">
      <alignment horizontal="center" vertical="top" wrapText="1"/>
    </xf>
    <xf numFmtId="229" fontId="6" fillId="0" borderId="1" xfId="3608" applyFont="1" applyBorder="1" applyAlignment="1">
      <alignment horizontal="left" vertical="top" wrapText="1"/>
    </xf>
    <xf numFmtId="229" fontId="6" fillId="0" borderId="3" xfId="3608" applyFont="1" applyBorder="1" applyAlignment="1">
      <alignment horizontal="left" vertical="top" wrapText="1"/>
    </xf>
    <xf numFmtId="229" fontId="6" fillId="0" borderId="2" xfId="3608" applyFont="1" applyBorder="1" applyAlignment="1">
      <alignment horizontal="left" vertical="top" wrapText="1"/>
    </xf>
    <xf numFmtId="229" fontId="6" fillId="0" borderId="1" xfId="3608" applyFont="1" applyBorder="1" applyAlignment="1">
      <alignment horizontal="left" vertical="top"/>
    </xf>
    <xf numFmtId="229" fontId="6" fillId="0" borderId="3" xfId="3608" applyFont="1" applyBorder="1" applyAlignment="1">
      <alignment horizontal="left" vertical="top"/>
    </xf>
    <xf numFmtId="229" fontId="6" fillId="0" borderId="2" xfId="3608" applyFont="1" applyBorder="1" applyAlignment="1">
      <alignment horizontal="left" vertical="top"/>
    </xf>
    <xf numFmtId="229" fontId="0" fillId="0" borderId="1" xfId="3608" applyFont="1" applyBorder="1" applyAlignment="1">
      <alignment horizontal="left" vertical="top" wrapText="1"/>
    </xf>
    <xf numFmtId="229" fontId="0" fillId="0" borderId="3" xfId="3608" applyFont="1" applyBorder="1" applyAlignment="1">
      <alignment horizontal="left" vertical="top" wrapText="1"/>
    </xf>
    <xf numFmtId="229" fontId="0" fillId="0" borderId="2" xfId="3608" applyFont="1" applyBorder="1" applyAlignment="1">
      <alignment horizontal="left" vertical="top" wrapText="1"/>
    </xf>
    <xf numFmtId="229" fontId="6" fillId="0" borderId="6" xfId="3607" applyFont="1" applyBorder="1" applyAlignment="1">
      <alignment horizontal="center" vertical="top" wrapText="1"/>
    </xf>
    <xf numFmtId="229" fontId="6" fillId="0" borderId="7" xfId="3607" applyFont="1" applyBorder="1" applyAlignment="1">
      <alignment horizontal="center" vertical="top" wrapText="1"/>
    </xf>
    <xf numFmtId="229" fontId="6" fillId="0" borderId="8" xfId="3607" applyFont="1" applyBorder="1" applyAlignment="1">
      <alignment horizontal="center" vertical="top" wrapText="1"/>
    </xf>
    <xf numFmtId="14" fontId="168" fillId="0" borderId="6" xfId="3607" quotePrefix="1" applyNumberFormat="1" applyFont="1" applyBorder="1" applyAlignment="1">
      <alignment horizontal="center" vertical="top" wrapText="1"/>
    </xf>
    <xf numFmtId="14" fontId="168" fillId="0" borderId="7" xfId="3607" applyNumberFormat="1" applyFont="1" applyBorder="1" applyAlignment="1">
      <alignment horizontal="center" vertical="top" wrapText="1"/>
    </xf>
    <xf numFmtId="14" fontId="168" fillId="0" borderId="8" xfId="3607" applyNumberFormat="1" applyFont="1" applyBorder="1" applyAlignment="1">
      <alignment horizontal="center" vertical="top" wrapText="1"/>
    </xf>
    <xf numFmtId="229" fontId="6" fillId="0" borderId="1" xfId="3607" applyFont="1" applyBorder="1" applyAlignment="1">
      <alignment horizontal="left" vertical="top" wrapText="1"/>
    </xf>
    <xf numFmtId="229" fontId="6" fillId="0" borderId="3" xfId="3607" applyFont="1" applyBorder="1" applyAlignment="1">
      <alignment horizontal="left" vertical="top" wrapText="1"/>
    </xf>
    <xf numFmtId="229" fontId="6" fillId="0" borderId="2" xfId="3607" applyFont="1" applyBorder="1" applyAlignment="1">
      <alignment horizontal="left" vertical="top" wrapText="1"/>
    </xf>
    <xf numFmtId="229" fontId="10" fillId="0" borderId="1" xfId="3607" applyFont="1" applyBorder="1" applyAlignment="1">
      <alignment vertical="top" wrapText="1"/>
    </xf>
    <xf numFmtId="229" fontId="10" fillId="0" borderId="2" xfId="3607" applyFont="1" applyBorder="1" applyAlignment="1">
      <alignment vertical="top" wrapText="1"/>
    </xf>
    <xf numFmtId="229" fontId="10" fillId="0" borderId="4" xfId="3607" applyFont="1" applyBorder="1" applyAlignment="1">
      <alignment vertical="top" wrapText="1"/>
    </xf>
    <xf numFmtId="229" fontId="10" fillId="0" borderId="5" xfId="3607" applyFont="1" applyBorder="1" applyAlignment="1">
      <alignment vertical="top" wrapText="1"/>
    </xf>
    <xf numFmtId="229" fontId="10" fillId="0" borderId="6" xfId="3607" applyFont="1" applyBorder="1" applyAlignment="1">
      <alignment vertical="top" wrapText="1"/>
    </xf>
    <xf numFmtId="229" fontId="10" fillId="0" borderId="8" xfId="3607" applyFont="1" applyBorder="1" applyAlignment="1">
      <alignment vertical="top" wrapText="1"/>
    </xf>
    <xf numFmtId="229" fontId="4" fillId="0" borderId="1" xfId="3607" applyFont="1" applyBorder="1" applyAlignment="1">
      <alignment horizontal="center" wrapText="1"/>
    </xf>
    <xf numFmtId="229" fontId="4" fillId="0" borderId="3" xfId="3607" applyFont="1" applyBorder="1" applyAlignment="1">
      <alignment horizontal="center" wrapText="1"/>
    </xf>
    <xf numFmtId="229" fontId="4" fillId="0" borderId="2" xfId="3607" applyFont="1" applyBorder="1" applyAlignment="1">
      <alignment horizontal="center" wrapText="1"/>
    </xf>
    <xf numFmtId="229" fontId="3" fillId="0" borderId="1" xfId="3607" applyFont="1" applyBorder="1" applyAlignment="1">
      <alignment horizontal="left" vertical="top" wrapText="1"/>
    </xf>
    <xf numFmtId="229" fontId="5" fillId="0" borderId="3" xfId="3607" applyFont="1" applyBorder="1" applyAlignment="1">
      <alignment horizontal="left" vertical="top" wrapText="1"/>
    </xf>
    <xf numFmtId="229" fontId="5" fillId="0" borderId="2" xfId="3607" applyFont="1" applyBorder="1" applyAlignment="1">
      <alignment horizontal="left" vertical="top" wrapText="1"/>
    </xf>
    <xf numFmtId="229" fontId="5" fillId="0" borderId="4" xfId="3607" applyFont="1" applyBorder="1" applyAlignment="1">
      <alignment horizontal="center" wrapText="1"/>
    </xf>
    <xf numFmtId="229" fontId="5" fillId="0" borderId="0" xfId="3607" applyFont="1" applyAlignment="1">
      <alignment horizontal="center" wrapText="1"/>
    </xf>
    <xf numFmtId="229" fontId="5" fillId="0" borderId="5" xfId="3607" applyFont="1" applyBorder="1" applyAlignment="1">
      <alignment horizontal="center" wrapText="1"/>
    </xf>
    <xf numFmtId="229" fontId="168" fillId="0" borderId="4" xfId="3607" applyFont="1" applyBorder="1" applyAlignment="1">
      <alignment horizontal="center" wrapText="1"/>
    </xf>
    <xf numFmtId="229" fontId="168" fillId="0" borderId="0" xfId="3607" applyFont="1" applyAlignment="1">
      <alignment horizontal="center" wrapText="1"/>
    </xf>
    <xf numFmtId="229" fontId="168" fillId="0" borderId="5" xfId="3607" applyFont="1" applyBorder="1" applyAlignment="1">
      <alignment horizontal="center" wrapText="1"/>
    </xf>
    <xf numFmtId="229" fontId="6" fillId="0" borderId="4" xfId="3607" applyFont="1" applyBorder="1" applyAlignment="1">
      <alignment horizontal="center" wrapText="1"/>
    </xf>
    <xf numFmtId="229" fontId="6" fillId="0" borderId="0" xfId="3607" applyFont="1" applyAlignment="1">
      <alignment horizontal="center" wrapText="1"/>
    </xf>
    <xf numFmtId="229" fontId="6" fillId="0" borderId="5" xfId="3607" applyFont="1" applyBorder="1" applyAlignment="1">
      <alignment horizontal="center" wrapText="1"/>
    </xf>
    <xf numFmtId="229" fontId="6" fillId="0" borderId="4" xfId="3607" applyFont="1" applyBorder="1" applyAlignment="1">
      <alignment horizontal="left" wrapText="1"/>
    </xf>
    <xf numFmtId="229" fontId="6" fillId="0" borderId="0" xfId="3607" applyFont="1" applyAlignment="1">
      <alignment horizontal="left" wrapText="1"/>
    </xf>
    <xf numFmtId="229" fontId="6" fillId="0" borderId="5" xfId="3607" applyFont="1" applyBorder="1" applyAlignment="1">
      <alignment horizontal="left" wrapText="1"/>
    </xf>
    <xf numFmtId="229" fontId="0" fillId="0" borderId="4" xfId="3607" applyFont="1" applyBorder="1" applyAlignment="1">
      <alignment horizontal="center"/>
    </xf>
    <xf numFmtId="229" fontId="0" fillId="0" borderId="0" xfId="3607" applyFont="1" applyAlignment="1">
      <alignment horizontal="center"/>
    </xf>
    <xf numFmtId="229" fontId="0" fillId="0" borderId="5" xfId="3607" applyFont="1" applyBorder="1" applyAlignment="1">
      <alignment horizontal="center"/>
    </xf>
    <xf numFmtId="229" fontId="1" fillId="0" borderId="4" xfId="3607" applyFont="1" applyBorder="1" applyAlignment="1">
      <alignment horizontal="left" vertical="center" wrapText="1"/>
    </xf>
    <xf numFmtId="229" fontId="1" fillId="0" borderId="0" xfId="3607" applyFont="1" applyAlignment="1">
      <alignment horizontal="left" vertical="center" wrapText="1"/>
    </xf>
    <xf numFmtId="229" fontId="1" fillId="0" borderId="5" xfId="3607" applyFont="1" applyBorder="1" applyAlignment="1">
      <alignment horizontal="left" vertical="center" wrapText="1"/>
    </xf>
    <xf numFmtId="229" fontId="1" fillId="0" borderId="4" xfId="3607" applyFont="1" applyBorder="1" applyAlignment="1">
      <alignment horizontal="left" vertical="top" wrapText="1"/>
    </xf>
    <xf numFmtId="229" fontId="1" fillId="0" borderId="0" xfId="3607" applyFont="1" applyAlignment="1">
      <alignment horizontal="left" vertical="top" wrapText="1"/>
    </xf>
    <xf numFmtId="229" fontId="1" fillId="0" borderId="5" xfId="3607" applyFont="1" applyBorder="1" applyAlignment="1">
      <alignment horizontal="left" vertical="top" wrapText="1"/>
    </xf>
    <xf numFmtId="0" fontId="33" fillId="0" borderId="88" xfId="3610" quotePrefix="1" applyFont="1" applyBorder="1" applyAlignment="1">
      <alignment horizontal="center" vertical="center"/>
    </xf>
    <xf numFmtId="0" fontId="33" fillId="0" borderId="90" xfId="3610" quotePrefix="1" applyFont="1" applyBorder="1" applyAlignment="1">
      <alignment horizontal="center" vertical="center"/>
    </xf>
    <xf numFmtId="49" fontId="7" fillId="0" borderId="80" xfId="3614" applyNumberFormat="1" applyFont="1" applyBorder="1" applyAlignment="1">
      <alignment horizontal="center" vertical="center" wrapText="1"/>
    </xf>
    <xf numFmtId="0" fontId="7" fillId="2" borderId="80" xfId="3614" applyFont="1" applyFill="1" applyBorder="1" applyAlignment="1">
      <alignment horizontal="center" vertical="center" wrapText="1"/>
    </xf>
    <xf numFmtId="0" fontId="180" fillId="0" borderId="0" xfId="3610" applyFont="1" applyAlignment="1">
      <alignment horizontal="left"/>
    </xf>
    <xf numFmtId="1" fontId="7" fillId="3" borderId="7" xfId="3601" applyNumberFormat="1" applyFont="1" applyFill="1" applyBorder="1" applyAlignment="1">
      <alignment horizontal="center" vertical="center"/>
    </xf>
    <xf numFmtId="0" fontId="13" fillId="2" borderId="80" xfId="3601" applyFill="1" applyBorder="1" applyAlignment="1">
      <alignment horizontal="center" wrapText="1"/>
    </xf>
    <xf numFmtId="0" fontId="7" fillId="4" borderId="80" xfId="3601" applyFont="1" applyFill="1" applyBorder="1" applyAlignment="1">
      <alignment horizontal="left" wrapText="1"/>
    </xf>
    <xf numFmtId="0" fontId="13" fillId="2" borderId="94" xfId="3601" applyFill="1" applyBorder="1" applyAlignment="1">
      <alignment horizontal="left" wrapText="1"/>
    </xf>
    <xf numFmtId="0" fontId="13" fillId="2" borderId="20" xfId="3601" applyFill="1" applyBorder="1" applyAlignment="1">
      <alignment horizontal="left" wrapText="1"/>
    </xf>
    <xf numFmtId="0" fontId="13" fillId="4" borderId="88" xfId="3614" applyFill="1" applyBorder="1" applyAlignment="1">
      <alignment horizontal="center" vertical="top"/>
    </xf>
    <xf numFmtId="0" fontId="13" fillId="4" borderId="89" xfId="3614" applyFill="1" applyBorder="1" applyAlignment="1">
      <alignment horizontal="center" vertical="top"/>
    </xf>
    <xf numFmtId="0" fontId="7" fillId="2" borderId="88" xfId="3615" applyFont="1" applyFill="1" applyBorder="1" applyAlignment="1">
      <alignment horizontal="left" vertical="center" wrapText="1"/>
    </xf>
    <xf numFmtId="0" fontId="7" fillId="2" borderId="89" xfId="3615" applyFont="1" applyFill="1" applyBorder="1" applyAlignment="1">
      <alignment horizontal="left" vertical="center" wrapText="1"/>
    </xf>
    <xf numFmtId="0" fontId="14" fillId="0" borderId="92" xfId="3610" applyFont="1" applyBorder="1" applyAlignment="1">
      <alignment horizontal="center" vertical="center" wrapText="1"/>
    </xf>
    <xf numFmtId="0" fontId="14" fillId="0" borderId="3" xfId="3610" applyFont="1" applyBorder="1" applyAlignment="1">
      <alignment horizontal="center" vertical="center" wrapText="1"/>
    </xf>
    <xf numFmtId="0" fontId="14" fillId="0" borderId="2" xfId="3610" applyFont="1" applyBorder="1" applyAlignment="1">
      <alignment horizontal="center" vertical="center" wrapText="1"/>
    </xf>
    <xf numFmtId="0" fontId="6" fillId="0" borderId="3" xfId="3610" applyFont="1" applyBorder="1" applyAlignment="1">
      <alignment horizontal="left" vertical="top" wrapText="1"/>
    </xf>
    <xf numFmtId="0" fontId="6" fillId="0" borderId="2" xfId="3610" applyFont="1" applyBorder="1" applyAlignment="1">
      <alignment horizontal="left" vertical="top" wrapText="1"/>
    </xf>
    <xf numFmtId="0" fontId="36" fillId="0" borderId="4" xfId="3610" applyFont="1" applyBorder="1" applyAlignment="1">
      <alignment horizontal="center" vertical="top"/>
    </xf>
    <xf numFmtId="0" fontId="36" fillId="0" borderId="0" xfId="3610" applyFont="1" applyAlignment="1">
      <alignment horizontal="center" vertical="top"/>
    </xf>
    <xf numFmtId="0" fontId="36" fillId="0" borderId="5" xfId="3610" applyFont="1" applyBorder="1" applyAlignment="1">
      <alignment horizontal="center" vertical="top"/>
    </xf>
    <xf numFmtId="0" fontId="6" fillId="0" borderId="4" xfId="3610" applyFont="1" applyBorder="1" applyAlignment="1">
      <alignment horizontal="center" vertical="center" wrapText="1"/>
    </xf>
    <xf numFmtId="0" fontId="6" fillId="0" borderId="0" xfId="3610" applyFont="1" applyAlignment="1">
      <alignment horizontal="center" vertical="center" wrapText="1"/>
    </xf>
    <xf numFmtId="0" fontId="6" fillId="0" borderId="5" xfId="3610" applyFont="1" applyBorder="1" applyAlignment="1">
      <alignment horizontal="center" vertical="center" wrapText="1"/>
    </xf>
    <xf numFmtId="0" fontId="37" fillId="0" borderId="0" xfId="3611" applyFont="1" applyAlignment="1">
      <alignment horizontal="left" vertical="top" wrapText="1"/>
    </xf>
    <xf numFmtId="0" fontId="37" fillId="0" borderId="5" xfId="3611" applyFont="1" applyBorder="1" applyAlignment="1">
      <alignment horizontal="left" vertical="top" wrapText="1"/>
    </xf>
    <xf numFmtId="0" fontId="5" fillId="0" borderId="4" xfId="3610" applyFont="1" applyBorder="1" applyAlignment="1">
      <alignment horizontal="center" vertical="center" wrapText="1"/>
    </xf>
    <xf numFmtId="0" fontId="5" fillId="0" borderId="0" xfId="3610" applyFont="1" applyAlignment="1">
      <alignment horizontal="center" vertical="center" wrapText="1"/>
    </xf>
    <xf numFmtId="0" fontId="5" fillId="0" borderId="5" xfId="3610" applyFont="1" applyBorder="1" applyAlignment="1">
      <alignment horizontal="center" vertical="center" wrapText="1"/>
    </xf>
    <xf numFmtId="0" fontId="37" fillId="0" borderId="4" xfId="3611" applyFont="1" applyBorder="1" applyAlignment="1">
      <alignment horizontal="left" vertical="top" wrapText="1"/>
    </xf>
    <xf numFmtId="0" fontId="34" fillId="0" borderId="92" xfId="2567" applyFont="1" applyBorder="1" applyAlignment="1">
      <alignment horizontal="left" vertical="top" wrapText="1"/>
    </xf>
    <xf numFmtId="0" fontId="34" fillId="0" borderId="3" xfId="2567" applyFont="1" applyBorder="1" applyAlignment="1">
      <alignment horizontal="left" vertical="top" wrapText="1"/>
    </xf>
    <xf numFmtId="0" fontId="34" fillId="0" borderId="2" xfId="2567" applyFont="1" applyBorder="1" applyAlignment="1">
      <alignment horizontal="left" vertical="top" wrapText="1"/>
    </xf>
    <xf numFmtId="0" fontId="33" fillId="0" borderId="6" xfId="2567" applyFont="1" applyBorder="1" applyAlignment="1">
      <alignment horizontal="center" vertical="top" wrapText="1"/>
    </xf>
    <xf numFmtId="0" fontId="33" fillId="0" borderId="7" xfId="2567" applyFont="1" applyBorder="1" applyAlignment="1">
      <alignment horizontal="center" vertical="top" wrapText="1"/>
    </xf>
    <xf numFmtId="0" fontId="168" fillId="0" borderId="6" xfId="2567" applyFont="1" applyBorder="1" applyAlignment="1">
      <alignment horizontal="center" vertical="center" wrapText="1"/>
    </xf>
    <xf numFmtId="0" fontId="168" fillId="0" borderId="7" xfId="2567" applyFont="1" applyBorder="1" applyAlignment="1">
      <alignment horizontal="center" vertical="center" wrapText="1"/>
    </xf>
    <xf numFmtId="0" fontId="168" fillId="0" borderId="8" xfId="2567" applyFont="1" applyBorder="1" applyAlignment="1">
      <alignment horizontal="center" vertical="center" wrapText="1"/>
    </xf>
    <xf numFmtId="0" fontId="33" fillId="0" borderId="3" xfId="2567" applyFont="1" applyBorder="1" applyAlignment="1">
      <alignment horizontal="center" vertical="center" wrapText="1"/>
    </xf>
    <xf numFmtId="0" fontId="33" fillId="0" borderId="2" xfId="2567" applyFont="1" applyBorder="1" applyAlignment="1">
      <alignment horizontal="center" vertical="center" wrapText="1"/>
    </xf>
    <xf numFmtId="0" fontId="34" fillId="0" borderId="94" xfId="2567" applyFont="1" applyBorder="1" applyAlignment="1">
      <alignment horizontal="left" vertical="top" wrapText="1"/>
    </xf>
    <xf numFmtId="0" fontId="36" fillId="0" borderId="6" xfId="3610" applyFont="1" applyBorder="1" applyAlignment="1">
      <alignment horizontal="center" vertical="top"/>
    </xf>
    <xf numFmtId="0" fontId="36" fillId="0" borderId="7" xfId="3610" applyFont="1" applyBorder="1" applyAlignment="1">
      <alignment horizontal="center" vertical="top"/>
    </xf>
    <xf numFmtId="0" fontId="36" fillId="0" borderId="8" xfId="3610" applyFont="1" applyBorder="1" applyAlignment="1">
      <alignment horizontal="center" vertical="top"/>
    </xf>
    <xf numFmtId="0" fontId="6" fillId="0" borderId="6" xfId="3610" applyFont="1" applyBorder="1" applyAlignment="1">
      <alignment horizontal="center" vertical="center" wrapText="1"/>
    </xf>
    <xf numFmtId="0" fontId="6" fillId="0" borderId="7" xfId="3610" applyFont="1" applyBorder="1" applyAlignment="1">
      <alignment horizontal="center" vertical="center" wrapText="1"/>
    </xf>
    <xf numFmtId="0" fontId="6" fillId="0" borderId="8" xfId="3610" applyFont="1" applyBorder="1" applyAlignment="1">
      <alignment horizontal="center" vertical="center" wrapText="1"/>
    </xf>
    <xf numFmtId="14" fontId="168" fillId="0" borderId="7" xfId="3611" applyNumberFormat="1" applyFont="1" applyBorder="1" applyAlignment="1">
      <alignment horizontal="left" vertical="top" wrapText="1"/>
    </xf>
    <xf numFmtId="0" fontId="168" fillId="0" borderId="7" xfId="3611" applyFont="1" applyBorder="1" applyAlignment="1">
      <alignment horizontal="left" vertical="top" wrapText="1"/>
    </xf>
    <xf numFmtId="0" fontId="168" fillId="0" borderId="8" xfId="3611" applyFont="1" applyBorder="1" applyAlignment="1">
      <alignment horizontal="left" vertical="top" wrapText="1"/>
    </xf>
    <xf numFmtId="0" fontId="182" fillId="0" borderId="92" xfId="3612" applyFont="1" applyBorder="1" applyAlignment="1">
      <alignment horizontal="left" vertical="center"/>
    </xf>
    <xf numFmtId="0" fontId="182" fillId="0" borderId="3" xfId="3612" applyFont="1" applyBorder="1" applyAlignment="1">
      <alignment horizontal="left" vertical="center"/>
    </xf>
    <xf numFmtId="0" fontId="182" fillId="0" borderId="2" xfId="3612" applyFont="1" applyBorder="1" applyAlignment="1">
      <alignment horizontal="left" vertical="center"/>
    </xf>
    <xf numFmtId="0" fontId="182" fillId="0" borderId="92" xfId="3612" applyFont="1" applyBorder="1" applyAlignment="1">
      <alignment horizontal="left" vertical="center" wrapText="1"/>
    </xf>
    <xf numFmtId="0" fontId="182" fillId="0" borderId="3" xfId="3612" applyFont="1" applyBorder="1" applyAlignment="1">
      <alignment horizontal="left" vertical="center" wrapText="1"/>
    </xf>
    <xf numFmtId="0" fontId="182" fillId="0" borderId="2" xfId="3612" applyFont="1" applyBorder="1" applyAlignment="1">
      <alignment horizontal="left" vertical="center" wrapText="1"/>
    </xf>
    <xf numFmtId="0" fontId="197" fillId="0" borderId="6" xfId="3612" applyFont="1" applyBorder="1" applyAlignment="1">
      <alignment horizontal="center" vertical="center"/>
    </xf>
    <xf numFmtId="0" fontId="197" fillId="0" borderId="7" xfId="3612" applyFont="1" applyBorder="1" applyAlignment="1">
      <alignment horizontal="center" vertical="center"/>
    </xf>
    <xf numFmtId="0" fontId="197" fillId="0" borderId="8" xfId="3612" applyFont="1" applyBorder="1" applyAlignment="1">
      <alignment horizontal="center" vertical="center"/>
    </xf>
    <xf numFmtId="0" fontId="197" fillId="0" borderId="6" xfId="3612" applyFont="1" applyBorder="1" applyAlignment="1">
      <alignment horizontal="center" vertical="center" wrapText="1"/>
    </xf>
    <xf numFmtId="0" fontId="197" fillId="0" borderId="7" xfId="3612" applyFont="1" applyBorder="1" applyAlignment="1">
      <alignment horizontal="center" vertical="center" wrapText="1"/>
    </xf>
    <xf numFmtId="0" fontId="197" fillId="0" borderId="8" xfId="3612" applyFont="1" applyBorder="1" applyAlignment="1">
      <alignment horizontal="center" vertical="center" wrapText="1"/>
    </xf>
    <xf numFmtId="0" fontId="34" fillId="0" borderId="88" xfId="3610" applyFont="1" applyBorder="1" applyAlignment="1">
      <alignment horizontal="left" vertical="center" wrapText="1"/>
    </xf>
    <xf numFmtId="0" fontId="34" fillId="0" borderId="89" xfId="3610" applyFont="1" applyBorder="1" applyAlignment="1">
      <alignment horizontal="left" vertical="center" wrapText="1"/>
    </xf>
    <xf numFmtId="0" fontId="34" fillId="0" borderId="90" xfId="3610" applyFont="1" applyBorder="1" applyAlignment="1">
      <alignment horizontal="left" vertical="center" wrapText="1"/>
    </xf>
    <xf numFmtId="0" fontId="34" fillId="0" borderId="88" xfId="3613" applyFont="1" applyBorder="1" applyAlignment="1" applyProtection="1">
      <alignment horizontal="center" vertical="center"/>
    </xf>
    <xf numFmtId="0" fontId="34" fillId="0" borderId="90" xfId="3613" applyFont="1" applyBorder="1" applyAlignment="1" applyProtection="1">
      <alignment horizontal="center" vertical="center"/>
    </xf>
    <xf numFmtId="0" fontId="33" fillId="0" borderId="6" xfId="3610" applyFont="1" applyBorder="1" applyAlignment="1">
      <alignment horizontal="center" vertical="center" wrapText="1"/>
    </xf>
    <xf numFmtId="0" fontId="33" fillId="0" borderId="7" xfId="3610" applyFont="1" applyBorder="1" applyAlignment="1">
      <alignment horizontal="center" vertical="center" wrapText="1"/>
    </xf>
    <xf numFmtId="0" fontId="33" fillId="0" borderId="8" xfId="3610" applyFont="1" applyBorder="1" applyAlignment="1">
      <alignment horizontal="center" vertical="center" wrapText="1"/>
    </xf>
    <xf numFmtId="0" fontId="34" fillId="0" borderId="88" xfId="3610" applyFont="1" applyBorder="1" applyAlignment="1">
      <alignment horizontal="left" vertical="center"/>
    </xf>
    <xf numFmtId="0" fontId="34" fillId="0" borderId="89" xfId="3610" applyFont="1" applyBorder="1" applyAlignment="1">
      <alignment horizontal="left" vertical="center"/>
    </xf>
    <xf numFmtId="0" fontId="34" fillId="0" borderId="90" xfId="3610" applyFont="1" applyBorder="1" applyAlignment="1">
      <alignment horizontal="left" vertical="center"/>
    </xf>
    <xf numFmtId="0" fontId="34" fillId="0" borderId="88" xfId="3610" applyFont="1" applyBorder="1" applyAlignment="1">
      <alignment horizontal="left" vertical="top" wrapText="1"/>
    </xf>
    <xf numFmtId="0" fontId="34" fillId="0" borderId="89" xfId="3610" applyFont="1" applyBorder="1" applyAlignment="1">
      <alignment horizontal="left" vertical="top" wrapText="1"/>
    </xf>
    <xf numFmtId="0" fontId="34" fillId="0" borderId="90" xfId="3610" applyFont="1" applyBorder="1" applyAlignment="1">
      <alignment horizontal="left" vertical="top" wrapText="1"/>
    </xf>
    <xf numFmtId="0" fontId="34" fillId="0" borderId="6" xfId="2567" applyFont="1" applyBorder="1" applyAlignment="1">
      <alignment horizontal="center" vertical="top" wrapText="1"/>
    </xf>
    <xf numFmtId="0" fontId="34" fillId="0" borderId="7" xfId="2567" applyFont="1" applyBorder="1" applyAlignment="1">
      <alignment horizontal="center" vertical="top" wrapText="1"/>
    </xf>
    <xf numFmtId="0" fontId="33" fillId="0" borderId="8" xfId="2567" applyFont="1" applyBorder="1" applyAlignment="1">
      <alignment horizontal="center" vertical="top" wrapText="1"/>
    </xf>
    <xf numFmtId="0" fontId="168" fillId="0" borderId="6" xfId="2567" applyFont="1" applyBorder="1" applyAlignment="1">
      <alignment horizontal="center" vertical="top" wrapText="1"/>
    </xf>
    <xf numFmtId="0" fontId="168" fillId="0" borderId="7" xfId="2567" applyFont="1" applyBorder="1" applyAlignment="1">
      <alignment horizontal="center" vertical="top" wrapText="1"/>
    </xf>
    <xf numFmtId="0" fontId="168" fillId="0" borderId="8" xfId="2567" applyFont="1" applyBorder="1" applyAlignment="1">
      <alignment horizontal="center" vertical="top" wrapText="1"/>
    </xf>
    <xf numFmtId="0" fontId="34" fillId="0" borderId="92" xfId="3610" applyFont="1" applyBorder="1" applyAlignment="1">
      <alignment horizontal="left" vertical="top" wrapText="1"/>
    </xf>
    <xf numFmtId="0" fontId="34" fillId="0" borderId="3" xfId="3610" applyFont="1" applyBorder="1" applyAlignment="1">
      <alignment horizontal="left" vertical="top" wrapText="1"/>
    </xf>
    <xf numFmtId="0" fontId="34" fillId="0" borderId="2" xfId="3610" applyFont="1" applyBorder="1" applyAlignment="1">
      <alignment horizontal="left" vertical="top" wrapText="1"/>
    </xf>
    <xf numFmtId="0" fontId="34" fillId="0" borderId="80" xfId="3610" applyFont="1" applyBorder="1" applyAlignment="1">
      <alignment horizontal="center" vertical="top" wrapText="1"/>
    </xf>
    <xf numFmtId="222" fontId="34" fillId="0" borderId="88" xfId="3613" applyNumberFormat="1" applyFont="1" applyBorder="1" applyAlignment="1" applyProtection="1">
      <alignment horizontal="center" vertical="center"/>
    </xf>
    <xf numFmtId="222" fontId="34" fillId="0" borderId="90" xfId="3613" applyNumberFormat="1" applyFont="1" applyBorder="1" applyAlignment="1" applyProtection="1">
      <alignment horizontal="center" vertical="center"/>
    </xf>
    <xf numFmtId="0" fontId="31" fillId="0" borderId="88" xfId="3610" applyFont="1" applyBorder="1" applyAlignment="1">
      <alignment horizontal="left"/>
    </xf>
    <xf numFmtId="0" fontId="31" fillId="0" borderId="89" xfId="3610" applyFont="1" applyBorder="1" applyAlignment="1">
      <alignment horizontal="left"/>
    </xf>
    <xf numFmtId="0" fontId="31" fillId="0" borderId="88" xfId="3610" applyFont="1" applyBorder="1"/>
    <xf numFmtId="0" fontId="31" fillId="0" borderId="89" xfId="3610" applyFont="1" applyBorder="1"/>
    <xf numFmtId="0" fontId="31" fillId="0" borderId="90" xfId="3610" applyFont="1" applyBorder="1" applyAlignment="1">
      <alignment horizontal="left"/>
    </xf>
    <xf numFmtId="0" fontId="34" fillId="0" borderId="15" xfId="3610" quotePrefix="1" applyFont="1" applyBorder="1" applyAlignment="1">
      <alignment horizontal="center" vertical="center"/>
    </xf>
    <xf numFmtId="0" fontId="34" fillId="0" borderId="16" xfId="3610" applyFont="1" applyBorder="1" applyAlignment="1">
      <alignment horizontal="center" vertical="center"/>
    </xf>
    <xf numFmtId="0" fontId="34" fillId="0" borderId="19" xfId="3610" applyFont="1" applyBorder="1" applyAlignment="1">
      <alignment horizontal="center" vertical="center"/>
    </xf>
    <xf numFmtId="0" fontId="34" fillId="0" borderId="109" xfId="3610" quotePrefix="1" applyFont="1" applyBorder="1" applyAlignment="1">
      <alignment horizontal="center" vertical="center"/>
    </xf>
    <xf numFmtId="0" fontId="34" fillId="0" borderId="52" xfId="3610" applyFont="1" applyBorder="1" applyAlignment="1">
      <alignment horizontal="center" vertical="center"/>
    </xf>
    <xf numFmtId="0" fontId="34" fillId="0" borderId="110" xfId="3610" applyFont="1" applyBorder="1" applyAlignment="1">
      <alignment horizontal="center" vertical="center"/>
    </xf>
    <xf numFmtId="0" fontId="36" fillId="0" borderId="0" xfId="3610" applyFont="1" applyAlignment="1">
      <alignment horizontal="left"/>
    </xf>
    <xf numFmtId="14" fontId="31" fillId="0" borderId="7" xfId="3610" quotePrefix="1" applyNumberFormat="1" applyFont="1" applyBorder="1" applyAlignment="1">
      <alignment horizontal="left"/>
    </xf>
    <xf numFmtId="14" fontId="31" fillId="0" borderId="8" xfId="3610" quotePrefix="1" applyNumberFormat="1" applyFont="1" applyBorder="1" applyAlignment="1">
      <alignment horizontal="left"/>
    </xf>
    <xf numFmtId="0" fontId="36" fillId="0" borderId="6" xfId="3610" applyFont="1" applyBorder="1" applyAlignment="1">
      <alignment horizontal="left"/>
    </xf>
    <xf numFmtId="0" fontId="36" fillId="0" borderId="7" xfId="3610" applyFont="1" applyBorder="1" applyAlignment="1">
      <alignment horizontal="left"/>
    </xf>
    <xf numFmtId="0" fontId="36" fillId="0" borderId="8" xfId="3610" applyFont="1" applyBorder="1" applyAlignment="1">
      <alignment horizontal="left"/>
    </xf>
    <xf numFmtId="0" fontId="36" fillId="0" borderId="0" xfId="3610" applyFont="1" applyAlignment="1">
      <alignment horizontal="center"/>
    </xf>
    <xf numFmtId="0" fontId="34" fillId="0" borderId="3" xfId="3610" applyFont="1" applyBorder="1" applyAlignment="1">
      <alignment horizontal="center"/>
    </xf>
    <xf numFmtId="0" fontId="33" fillId="0" borderId="4" xfId="3610" applyFont="1" applyBorder="1" applyAlignment="1">
      <alignment horizontal="center" vertical="center"/>
    </xf>
    <xf numFmtId="0" fontId="33" fillId="0" borderId="0" xfId="3610" applyFont="1" applyAlignment="1">
      <alignment horizontal="center" vertical="center"/>
    </xf>
    <xf numFmtId="0" fontId="33" fillId="0" borderId="5" xfId="3610" applyFont="1" applyBorder="1" applyAlignment="1">
      <alignment horizontal="center" vertical="center"/>
    </xf>
    <xf numFmtId="0" fontId="36" fillId="0" borderId="4" xfId="3610" applyFont="1" applyBorder="1" applyAlignment="1">
      <alignment horizontal="center" vertical="center"/>
    </xf>
    <xf numFmtId="0" fontId="36" fillId="0" borderId="0" xfId="3610" applyFont="1" applyAlignment="1">
      <alignment horizontal="center" vertical="center"/>
    </xf>
    <xf numFmtId="0" fontId="36" fillId="0" borderId="5" xfId="3610" applyFont="1" applyBorder="1" applyAlignment="1">
      <alignment horizontal="center" vertical="center"/>
    </xf>
    <xf numFmtId="0" fontId="36" fillId="0" borderId="4" xfId="3610" applyFont="1" applyBorder="1" applyAlignment="1">
      <alignment horizontal="left" vertical="center"/>
    </xf>
    <xf numFmtId="0" fontId="36" fillId="0" borderId="0" xfId="3610" applyFont="1" applyAlignment="1">
      <alignment horizontal="left" vertical="center"/>
    </xf>
    <xf numFmtId="0" fontId="36" fillId="0" borderId="4" xfId="3610" applyFont="1" applyBorder="1" applyAlignment="1">
      <alignment horizontal="left"/>
    </xf>
    <xf numFmtId="0" fontId="36" fillId="0" borderId="5" xfId="3610" applyFont="1" applyBorder="1" applyAlignment="1">
      <alignment horizontal="left"/>
    </xf>
    <xf numFmtId="0" fontId="37" fillId="0" borderId="92" xfId="3610" applyFont="1" applyBorder="1" applyAlignment="1">
      <alignment horizontal="left"/>
    </xf>
    <xf numFmtId="0" fontId="37" fillId="0" borderId="3" xfId="3610" applyFont="1" applyBorder="1" applyAlignment="1">
      <alignment horizontal="left"/>
    </xf>
    <xf numFmtId="0" fontId="36" fillId="0" borderId="92" xfId="3610" applyFont="1" applyBorder="1" applyAlignment="1">
      <alignment horizontal="left"/>
    </xf>
    <xf numFmtId="0" fontId="36" fillId="0" borderId="3" xfId="3610" applyFont="1" applyBorder="1" applyAlignment="1">
      <alignment horizontal="left"/>
    </xf>
    <xf numFmtId="0" fontId="33" fillId="0" borderId="111" xfId="3610" applyFont="1" applyBorder="1" applyAlignment="1">
      <alignment horizontal="center" vertical="center"/>
    </xf>
    <xf numFmtId="0" fontId="34" fillId="0" borderId="108" xfId="3610" applyFont="1" applyBorder="1" applyAlignment="1">
      <alignment horizontal="center" vertical="center"/>
    </xf>
    <xf numFmtId="0" fontId="34" fillId="0" borderId="112" xfId="3610" applyFont="1" applyBorder="1" applyAlignment="1">
      <alignment horizontal="center" vertical="center"/>
    </xf>
    <xf numFmtId="0" fontId="36" fillId="0" borderId="88" xfId="3610" applyFont="1" applyBorder="1" applyAlignment="1">
      <alignment horizontal="left" vertical="center" wrapText="1"/>
    </xf>
    <xf numFmtId="0" fontId="36" fillId="0" borderId="89" xfId="3610" applyFont="1" applyBorder="1" applyAlignment="1">
      <alignment horizontal="left" vertical="center"/>
    </xf>
    <xf numFmtId="0" fontId="36" fillId="0" borderId="90" xfId="3610" applyFont="1" applyBorder="1" applyAlignment="1">
      <alignment horizontal="left" vertical="center"/>
    </xf>
    <xf numFmtId="0" fontId="33" fillId="0" borderId="111" xfId="3610" applyFont="1" applyBorder="1" applyAlignment="1">
      <alignment horizontal="left" vertical="center"/>
    </xf>
    <xf numFmtId="0" fontId="34" fillId="0" borderId="108" xfId="3610" applyFont="1" applyBorder="1" applyAlignment="1">
      <alignment horizontal="left" vertical="center"/>
    </xf>
    <xf numFmtId="0" fontId="34" fillId="0" borderId="16" xfId="3610" quotePrefix="1" applyFont="1" applyBorder="1" applyAlignment="1">
      <alignment horizontal="center" vertical="center"/>
    </xf>
    <xf numFmtId="0" fontId="34" fillId="0" borderId="19" xfId="3610" quotePrefix="1" applyFont="1" applyBorder="1" applyAlignment="1">
      <alignment horizontal="center" vertical="center"/>
    </xf>
    <xf numFmtId="0" fontId="34" fillId="0" borderId="94" xfId="3610" applyFont="1" applyBorder="1" applyAlignment="1">
      <alignment horizontal="left" vertical="top" textRotation="180" wrapText="1"/>
    </xf>
    <xf numFmtId="0" fontId="34" fillId="0" borderId="20" xfId="3610" applyFont="1" applyBorder="1" applyAlignment="1">
      <alignment horizontal="left" vertical="top" textRotation="180" wrapText="1"/>
    </xf>
    <xf numFmtId="0" fontId="34" fillId="0" borderId="94" xfId="3610" applyFont="1" applyBorder="1" applyAlignment="1">
      <alignment horizontal="center" vertical="top" wrapText="1"/>
    </xf>
    <xf numFmtId="0" fontId="34" fillId="0" borderId="20" xfId="3610" applyFont="1" applyBorder="1" applyAlignment="1">
      <alignment horizontal="center" vertical="top" wrapText="1"/>
    </xf>
    <xf numFmtId="0" fontId="34" fillId="0" borderId="15" xfId="3610" applyFont="1" applyBorder="1" applyAlignment="1">
      <alignment horizontal="center" vertical="center" wrapText="1"/>
    </xf>
    <xf numFmtId="0" fontId="13" fillId="0" borderId="88" xfId="3613" applyFont="1" applyBorder="1" applyAlignment="1" applyProtection="1">
      <alignment horizontal="center" vertical="center"/>
    </xf>
    <xf numFmtId="0" fontId="13" fillId="0" borderId="90" xfId="3613" applyFont="1" applyBorder="1" applyAlignment="1" applyProtection="1">
      <alignment horizontal="center" vertical="center"/>
    </xf>
    <xf numFmtId="0" fontId="36" fillId="0" borderId="88" xfId="3610" applyFont="1" applyBorder="1" applyAlignment="1">
      <alignment horizontal="left" vertical="center"/>
    </xf>
    <xf numFmtId="0" fontId="33" fillId="0" borderId="89" xfId="3610" applyFont="1" applyBorder="1" applyAlignment="1">
      <alignment horizontal="center" vertical="center"/>
    </xf>
    <xf numFmtId="0" fontId="33" fillId="0" borderId="90" xfId="3610" applyFont="1" applyBorder="1" applyAlignment="1">
      <alignment horizontal="center" vertical="center"/>
    </xf>
    <xf numFmtId="0" fontId="34" fillId="0" borderId="92" xfId="3610" applyFont="1" applyBorder="1" applyAlignment="1">
      <alignment horizontal="center" vertical="top" wrapText="1"/>
    </xf>
    <xf numFmtId="0" fontId="34" fillId="0" borderId="3" xfId="3610" applyFont="1" applyBorder="1" applyAlignment="1">
      <alignment horizontal="center" vertical="top" wrapText="1"/>
    </xf>
    <xf numFmtId="0" fontId="34" fillId="0" borderId="2" xfId="3610" applyFont="1" applyBorder="1" applyAlignment="1">
      <alignment horizontal="center" vertical="top" wrapText="1"/>
    </xf>
    <xf numFmtId="0" fontId="34" fillId="0" borderId="6" xfId="3610" applyFont="1" applyBorder="1" applyAlignment="1">
      <alignment horizontal="center" vertical="top" wrapText="1"/>
    </xf>
    <xf numFmtId="0" fontId="34" fillId="0" borderId="7" xfId="3610" applyFont="1" applyBorder="1" applyAlignment="1">
      <alignment horizontal="center" vertical="top" wrapText="1"/>
    </xf>
    <xf numFmtId="0" fontId="34" fillId="0" borderId="8" xfId="3610" applyFont="1" applyBorder="1" applyAlignment="1">
      <alignment horizontal="center" vertical="top" wrapText="1"/>
    </xf>
    <xf numFmtId="0" fontId="3" fillId="0" borderId="4" xfId="3597" applyFont="1" applyBorder="1" applyAlignment="1">
      <alignment horizontal="left" vertical="top"/>
    </xf>
    <xf numFmtId="0" fontId="3" fillId="0" borderId="0" xfId="3597" applyFont="1" applyAlignment="1">
      <alignment horizontal="left" vertical="top"/>
    </xf>
    <xf numFmtId="0" fontId="3" fillId="0" borderId="5" xfId="3597" applyFont="1" applyBorder="1" applyAlignment="1">
      <alignment horizontal="left" vertical="top"/>
    </xf>
    <xf numFmtId="0" fontId="3" fillId="0" borderId="6" xfId="3597" applyFont="1" applyBorder="1" applyAlignment="1">
      <alignment horizontal="left" vertical="top"/>
    </xf>
    <xf numFmtId="0" fontId="3" fillId="0" borderId="7" xfId="3597" applyFont="1" applyBorder="1" applyAlignment="1">
      <alignment horizontal="left" vertical="top"/>
    </xf>
    <xf numFmtId="228" fontId="7" fillId="0" borderId="7" xfId="3597" quotePrefix="1" applyNumberFormat="1" applyFont="1" applyBorder="1" applyAlignment="1">
      <alignment horizontal="center" vertical="top"/>
    </xf>
    <xf numFmtId="228" fontId="7" fillId="0" borderId="7" xfId="3597" applyNumberFormat="1" applyFont="1" applyBorder="1" applyAlignment="1">
      <alignment horizontal="center" vertical="top"/>
    </xf>
    <xf numFmtId="228" fontId="7" fillId="0" borderId="8" xfId="3597" applyNumberFormat="1" applyFont="1" applyBorder="1" applyAlignment="1">
      <alignment horizontal="center" vertical="top"/>
    </xf>
    <xf numFmtId="0" fontId="3" fillId="0" borderId="7" xfId="3597" applyFont="1" applyBorder="1" applyAlignment="1">
      <alignment horizontal="center" vertical="top"/>
    </xf>
    <xf numFmtId="0" fontId="3" fillId="0" borderId="8" xfId="3597" applyFont="1" applyBorder="1" applyAlignment="1">
      <alignment horizontal="center" vertical="top"/>
    </xf>
    <xf numFmtId="0" fontId="7" fillId="0" borderId="0" xfId="3597" applyFont="1" applyAlignment="1">
      <alignment horizontal="center" vertical="top"/>
    </xf>
    <xf numFmtId="0" fontId="7" fillId="0" borderId="5" xfId="3597" applyFont="1" applyBorder="1" applyAlignment="1">
      <alignment horizontal="center" vertical="top"/>
    </xf>
    <xf numFmtId="0" fontId="10" fillId="0" borderId="88" xfId="3597" applyFont="1" applyBorder="1" applyAlignment="1">
      <alignment vertical="center" wrapText="1"/>
    </xf>
    <xf numFmtId="0" fontId="1" fillId="0" borderId="89" xfId="3597" applyFont="1" applyBorder="1" applyAlignment="1">
      <alignment vertical="center" wrapText="1"/>
    </xf>
    <xf numFmtId="0" fontId="1" fillId="0" borderId="90" xfId="3597" applyFont="1" applyBorder="1" applyAlignment="1">
      <alignment vertical="center" wrapText="1"/>
    </xf>
    <xf numFmtId="0" fontId="10" fillId="0" borderId="6" xfId="3597" applyFont="1" applyBorder="1" applyAlignment="1">
      <alignment horizontal="left" vertical="top" wrapText="1"/>
    </xf>
    <xf numFmtId="0" fontId="1" fillId="0" borderId="7" xfId="3597" applyFont="1" applyBorder="1" applyAlignment="1">
      <alignment horizontal="left" vertical="top" wrapText="1"/>
    </xf>
    <xf numFmtId="0" fontId="1" fillId="0" borderId="8" xfId="3597" applyFont="1" applyBorder="1" applyAlignment="1">
      <alignment horizontal="left" vertical="top" wrapText="1"/>
    </xf>
    <xf numFmtId="0" fontId="7" fillId="0" borderId="92" xfId="3597" applyFont="1" applyBorder="1" applyAlignment="1">
      <alignment horizontal="left" vertical="top"/>
    </xf>
    <xf numFmtId="0" fontId="7" fillId="0" borderId="3" xfId="3597" applyFont="1" applyBorder="1" applyAlignment="1">
      <alignment horizontal="left" vertical="top"/>
    </xf>
    <xf numFmtId="0" fontId="7" fillId="0" borderId="2" xfId="3597" applyFont="1" applyBorder="1" applyAlignment="1">
      <alignment horizontal="left" vertical="top"/>
    </xf>
    <xf numFmtId="0" fontId="18" fillId="2" borderId="109" xfId="3617" quotePrefix="1" applyNumberFormat="1" applyFont="1" applyFill="1" applyBorder="1" applyAlignment="1">
      <alignment horizontal="center" vertical="center" wrapText="1"/>
    </xf>
    <xf numFmtId="0" fontId="18" fillId="2" borderId="52" xfId="3617" applyNumberFormat="1" applyFont="1" applyFill="1" applyBorder="1" applyAlignment="1">
      <alignment horizontal="center" vertical="center" wrapText="1"/>
    </xf>
    <xf numFmtId="0" fontId="18" fillId="2" borderId="110" xfId="3617" applyNumberFormat="1" applyFont="1" applyFill="1" applyBorder="1" applyAlignment="1">
      <alignment horizontal="center" vertical="center" wrapText="1"/>
    </xf>
    <xf numFmtId="0" fontId="18" fillId="0" borderId="134" xfId="3615" applyFont="1" applyBorder="1" applyAlignment="1">
      <alignment horizontal="center" vertical="center" wrapText="1"/>
    </xf>
    <xf numFmtId="0" fontId="18" fillId="0" borderId="109" xfId="3615" applyFont="1" applyBorder="1" applyAlignment="1">
      <alignment horizontal="center" vertical="center" wrapText="1"/>
    </xf>
    <xf numFmtId="0" fontId="18" fillId="0" borderId="110" xfId="3615" applyFont="1" applyBorder="1" applyAlignment="1">
      <alignment horizontal="center" vertical="center" wrapText="1"/>
    </xf>
    <xf numFmtId="1" fontId="18" fillId="0" borderId="134" xfId="3597" applyNumberFormat="1" applyFont="1" applyBorder="1" applyAlignment="1">
      <alignment horizontal="center" vertical="center" wrapText="1"/>
    </xf>
    <xf numFmtId="0" fontId="17" fillId="0" borderId="80" xfId="3615" applyFont="1" applyBorder="1" applyAlignment="1">
      <alignment horizontal="center" vertical="center" wrapText="1"/>
    </xf>
    <xf numFmtId="0" fontId="18" fillId="2" borderId="15" xfId="3617" quotePrefix="1" applyNumberFormat="1" applyFont="1" applyFill="1" applyBorder="1" applyAlignment="1">
      <alignment horizontal="center" vertical="center" wrapText="1"/>
    </xf>
    <xf numFmtId="0" fontId="18" fillId="2" borderId="16" xfId="3617" applyNumberFormat="1" applyFont="1" applyFill="1" applyBorder="1" applyAlignment="1">
      <alignment horizontal="center" vertical="center" wrapText="1"/>
    </xf>
    <xf numFmtId="0" fontId="18" fillId="2" borderId="19" xfId="3617" applyNumberFormat="1" applyFont="1" applyFill="1" applyBorder="1" applyAlignment="1">
      <alignment horizontal="center" vertical="center" wrapText="1"/>
    </xf>
    <xf numFmtId="0" fontId="18" fillId="0" borderId="14" xfId="3615" applyFont="1" applyBorder="1" applyAlignment="1">
      <alignment horizontal="center" vertical="center" wrapText="1"/>
    </xf>
    <xf numFmtId="0" fontId="18" fillId="0" borderId="15" xfId="3615" applyFont="1" applyBorder="1" applyAlignment="1">
      <alignment horizontal="center" vertical="center" wrapText="1"/>
    </xf>
    <xf numFmtId="0" fontId="18" fillId="0" borderId="19" xfId="3615" applyFont="1" applyBorder="1" applyAlignment="1">
      <alignment horizontal="center" vertical="center" wrapText="1"/>
    </xf>
    <xf numFmtId="1" fontId="18" fillId="0" borderId="14" xfId="3597" applyNumberFormat="1" applyFont="1" applyBorder="1" applyAlignment="1">
      <alignment horizontal="center" vertical="center" wrapText="1"/>
    </xf>
    <xf numFmtId="0" fontId="18" fillId="2" borderId="95" xfId="3617" applyNumberFormat="1" applyFont="1" applyFill="1" applyBorder="1" applyAlignment="1">
      <alignment horizontal="center" vertical="center" wrapText="1"/>
    </xf>
    <xf numFmtId="0" fontId="18" fillId="2" borderId="101" xfId="3617" applyNumberFormat="1" applyFont="1" applyFill="1" applyBorder="1" applyAlignment="1">
      <alignment horizontal="center" vertical="center" wrapText="1"/>
    </xf>
    <xf numFmtId="0" fontId="18" fillId="2" borderId="96" xfId="3617" applyNumberFormat="1" applyFont="1" applyFill="1" applyBorder="1" applyAlignment="1">
      <alignment horizontal="center" vertical="center" wrapText="1"/>
    </xf>
    <xf numFmtId="0" fontId="6" fillId="3" borderId="92" xfId="3597" applyFont="1" applyFill="1" applyBorder="1" applyAlignment="1">
      <alignment horizontal="left" vertical="top" wrapText="1"/>
    </xf>
    <xf numFmtId="0" fontId="6" fillId="3" borderId="3" xfId="3597" applyFont="1" applyFill="1" applyBorder="1" applyAlignment="1">
      <alignment horizontal="left" vertical="top"/>
    </xf>
    <xf numFmtId="0" fontId="6" fillId="3" borderId="2" xfId="3597" applyFont="1" applyFill="1" applyBorder="1" applyAlignment="1">
      <alignment horizontal="left" vertical="top"/>
    </xf>
    <xf numFmtId="0" fontId="6" fillId="0" borderId="88" xfId="3597" applyFont="1" applyBorder="1" applyAlignment="1">
      <alignment horizontal="left" vertical="top" wrapText="1"/>
    </xf>
    <xf numFmtId="0" fontId="6" fillId="0" borderId="89" xfId="3597" applyFont="1" applyBorder="1" applyAlignment="1">
      <alignment horizontal="left" vertical="top" wrapText="1"/>
    </xf>
    <xf numFmtId="0" fontId="6" fillId="0" borderId="90" xfId="3597" applyFont="1" applyBorder="1" applyAlignment="1">
      <alignment horizontal="left" vertical="top" wrapText="1"/>
    </xf>
    <xf numFmtId="49" fontId="13" fillId="0" borderId="80" xfId="3597" applyNumberFormat="1" applyBorder="1" applyAlignment="1">
      <alignment horizontal="center" vertical="center"/>
    </xf>
    <xf numFmtId="49" fontId="13" fillId="0" borderId="88" xfId="3597" applyNumberFormat="1" applyBorder="1" applyAlignment="1">
      <alignment horizontal="center" vertical="center"/>
    </xf>
    <xf numFmtId="49" fontId="13" fillId="0" borderId="90" xfId="3597" applyNumberFormat="1" applyBorder="1" applyAlignment="1">
      <alignment horizontal="center" vertical="center"/>
    </xf>
    <xf numFmtId="0" fontId="6" fillId="0" borderId="89" xfId="3597" applyFont="1" applyBorder="1" applyAlignment="1">
      <alignment horizontal="left" vertical="top"/>
    </xf>
    <xf numFmtId="0" fontId="6" fillId="0" borderId="90" xfId="3597" applyFont="1" applyBorder="1" applyAlignment="1">
      <alignment horizontal="left" vertical="top"/>
    </xf>
    <xf numFmtId="0" fontId="3" fillId="0" borderId="80" xfId="3597" applyFont="1" applyBorder="1" applyAlignment="1">
      <alignment horizontal="center" vertical="top" wrapText="1"/>
    </xf>
    <xf numFmtId="0" fontId="1" fillId="0" borderId="80" xfId="3597" applyFont="1" applyBorder="1" applyAlignment="1">
      <alignment horizontal="center" vertical="top" wrapText="1"/>
    </xf>
    <xf numFmtId="0" fontId="13" fillId="0" borderId="89" xfId="3597" applyBorder="1" applyAlignment="1">
      <alignment horizontal="center" vertical="center"/>
    </xf>
    <xf numFmtId="0" fontId="13" fillId="0" borderId="90" xfId="3597" applyBorder="1" applyAlignment="1">
      <alignment horizontal="center" vertical="center"/>
    </xf>
    <xf numFmtId="0" fontId="13" fillId="0" borderId="88" xfId="3597" applyBorder="1" applyAlignment="1">
      <alignment horizontal="center" vertical="center"/>
    </xf>
    <xf numFmtId="0" fontId="195" fillId="3" borderId="6" xfId="3597" applyFont="1" applyFill="1" applyBorder="1" applyAlignment="1">
      <alignment horizontal="center"/>
    </xf>
    <xf numFmtId="0" fontId="195" fillId="3" borderId="7" xfId="3597" applyFont="1" applyFill="1" applyBorder="1" applyAlignment="1">
      <alignment horizontal="center"/>
    </xf>
    <xf numFmtId="0" fontId="195" fillId="3" borderId="8" xfId="3597" applyFont="1" applyFill="1" applyBorder="1" applyAlignment="1">
      <alignment horizontal="center"/>
    </xf>
    <xf numFmtId="0" fontId="6" fillId="2" borderId="92" xfId="3597" applyFont="1" applyFill="1" applyBorder="1" applyAlignment="1">
      <alignment horizontal="center" vertical="top" wrapText="1"/>
    </xf>
    <xf numFmtId="0" fontId="6" fillId="2" borderId="3" xfId="3597" applyFont="1" applyFill="1" applyBorder="1" applyAlignment="1">
      <alignment horizontal="center" vertical="top" wrapText="1"/>
    </xf>
    <xf numFmtId="0" fontId="6" fillId="2" borderId="2" xfId="3597" applyFont="1" applyFill="1" applyBorder="1" applyAlignment="1">
      <alignment horizontal="center" vertical="top" wrapText="1"/>
    </xf>
    <xf numFmtId="0" fontId="6" fillId="2" borderId="6" xfId="3597" applyFont="1" applyFill="1" applyBorder="1" applyAlignment="1">
      <alignment horizontal="center" vertical="top" wrapText="1"/>
    </xf>
    <xf numFmtId="0" fontId="6" fillId="2" borderId="7" xfId="3597" applyFont="1" applyFill="1" applyBorder="1" applyAlignment="1">
      <alignment horizontal="center" vertical="top" wrapText="1"/>
    </xf>
    <xf numFmtId="0" fontId="6" fillId="2" borderId="8" xfId="3597" applyFont="1" applyFill="1" applyBorder="1" applyAlignment="1">
      <alignment horizontal="center" vertical="top" wrapText="1"/>
    </xf>
    <xf numFmtId="0" fontId="13" fillId="0" borderId="89" xfId="3597" applyBorder="1" applyAlignment="1">
      <alignment horizontal="center" vertical="top" wrapText="1"/>
    </xf>
    <xf numFmtId="0" fontId="13" fillId="0" borderId="90" xfId="3597" applyBorder="1" applyAlignment="1">
      <alignment horizontal="center" vertical="top" wrapText="1"/>
    </xf>
    <xf numFmtId="0" fontId="13" fillId="0" borderId="88" xfId="3597" applyBorder="1" applyAlignment="1">
      <alignment horizontal="center" vertical="top" wrapText="1"/>
    </xf>
    <xf numFmtId="0" fontId="6" fillId="0" borderId="88" xfId="3597" applyFont="1" applyBorder="1" applyAlignment="1">
      <alignment vertical="center" wrapText="1"/>
    </xf>
    <xf numFmtId="0" fontId="6" fillId="0" borderId="89" xfId="3597" applyFont="1" applyBorder="1" applyAlignment="1">
      <alignment vertical="center" wrapText="1"/>
    </xf>
    <xf numFmtId="0" fontId="6" fillId="0" borderId="90" xfId="3597" applyFont="1" applyBorder="1" applyAlignment="1">
      <alignment vertical="center" wrapText="1"/>
    </xf>
    <xf numFmtId="49" fontId="13" fillId="0" borderId="88" xfId="3597" quotePrefix="1" applyNumberFormat="1" applyBorder="1" applyAlignment="1">
      <alignment horizontal="center" vertical="center" wrapText="1"/>
    </xf>
    <xf numFmtId="49" fontId="13" fillId="0" borderId="89" xfId="3597" applyNumberFormat="1" applyBorder="1" applyAlignment="1">
      <alignment horizontal="center" vertical="center" wrapText="1"/>
    </xf>
    <xf numFmtId="49" fontId="13" fillId="0" borderId="90" xfId="3597" applyNumberFormat="1" applyBorder="1" applyAlignment="1">
      <alignment horizontal="center" vertical="center" wrapText="1"/>
    </xf>
    <xf numFmtId="49" fontId="13" fillId="0" borderId="88" xfId="3597" applyNumberFormat="1" applyBorder="1" applyAlignment="1">
      <alignment horizontal="center" vertical="center" wrapText="1"/>
    </xf>
    <xf numFmtId="0" fontId="13" fillId="0" borderId="92" xfId="3597" applyBorder="1" applyAlignment="1">
      <alignment horizontal="left"/>
    </xf>
    <xf numFmtId="0" fontId="13" fillId="0" borderId="3" xfId="3597" applyBorder="1" applyAlignment="1">
      <alignment horizontal="left"/>
    </xf>
    <xf numFmtId="0" fontId="13" fillId="0" borderId="2" xfId="3597" applyBorder="1" applyAlignment="1">
      <alignment horizontal="left"/>
    </xf>
    <xf numFmtId="0" fontId="6" fillId="0" borderId="6" xfId="3597" applyFont="1" applyBorder="1" applyAlignment="1">
      <alignment vertical="center" wrapText="1"/>
    </xf>
    <xf numFmtId="0" fontId="13" fillId="0" borderId="7" xfId="3597" applyBorder="1" applyAlignment="1">
      <alignment vertical="center" wrapText="1"/>
    </xf>
    <xf numFmtId="0" fontId="13" fillId="0" borderId="8" xfId="3597" applyBorder="1" applyAlignment="1">
      <alignment vertical="center" wrapText="1"/>
    </xf>
    <xf numFmtId="0" fontId="7" fillId="0" borderId="6" xfId="3597" applyFont="1" applyBorder="1" applyAlignment="1">
      <alignment horizontal="center" vertical="center"/>
    </xf>
    <xf numFmtId="0" fontId="7" fillId="0" borderId="7" xfId="3597" applyFont="1" applyBorder="1" applyAlignment="1">
      <alignment horizontal="center" vertical="center"/>
    </xf>
    <xf numFmtId="0" fontId="7" fillId="0" borderId="8" xfId="3597" applyFont="1" applyBorder="1" applyAlignment="1">
      <alignment horizontal="center" vertical="center"/>
    </xf>
    <xf numFmtId="0" fontId="6" fillId="0" borderId="92" xfId="3597" applyFont="1" applyBorder="1" applyAlignment="1">
      <alignment horizontal="left" vertical="top"/>
    </xf>
    <xf numFmtId="0" fontId="6" fillId="0" borderId="3" xfId="3597" applyFont="1" applyBorder="1" applyAlignment="1">
      <alignment horizontal="left" vertical="top"/>
    </xf>
    <xf numFmtId="0" fontId="6" fillId="0" borderId="2" xfId="3597" applyFont="1" applyBorder="1" applyAlignment="1">
      <alignment horizontal="left" vertical="top"/>
    </xf>
    <xf numFmtId="0" fontId="13" fillId="0" borderId="88" xfId="3597" applyBorder="1" applyAlignment="1">
      <alignment horizontal="center" vertical="top"/>
    </xf>
    <xf numFmtId="0" fontId="13" fillId="0" borderId="89" xfId="3597" applyBorder="1" applyAlignment="1">
      <alignment horizontal="center" vertical="top"/>
    </xf>
    <xf numFmtId="0" fontId="13" fillId="0" borderId="90" xfId="3597" applyBorder="1" applyAlignment="1">
      <alignment horizontal="center" vertical="top"/>
    </xf>
    <xf numFmtId="0" fontId="13" fillId="0" borderId="6" xfId="3597" applyBorder="1" applyAlignment="1">
      <alignment horizontal="center" vertical="top" wrapText="1"/>
    </xf>
    <xf numFmtId="0" fontId="13" fillId="0" borderId="8" xfId="3597" applyBorder="1" applyAlignment="1">
      <alignment horizontal="center" vertical="top" wrapText="1"/>
    </xf>
    <xf numFmtId="0" fontId="13" fillId="0" borderId="7" xfId="3597" applyBorder="1" applyAlignment="1">
      <alignment horizontal="center" vertical="top" wrapText="1"/>
    </xf>
    <xf numFmtId="0" fontId="7" fillId="0" borderId="6" xfId="3597" applyFont="1" applyBorder="1" applyAlignment="1">
      <alignment horizontal="center" vertical="top"/>
    </xf>
    <xf numFmtId="0" fontId="7" fillId="0" borderId="7" xfId="3597" applyFont="1" applyBorder="1" applyAlignment="1">
      <alignment horizontal="center" vertical="top"/>
    </xf>
    <xf numFmtId="0" fontId="7" fillId="0" borderId="8" xfId="3597" applyFont="1" applyBorder="1" applyAlignment="1">
      <alignment horizontal="center" vertical="top"/>
    </xf>
    <xf numFmtId="0" fontId="7" fillId="0" borderId="6" xfId="3597" applyFont="1" applyBorder="1" applyAlignment="1">
      <alignment horizontal="center" vertical="top" wrapText="1"/>
    </xf>
    <xf numFmtId="0" fontId="7" fillId="0" borderId="7" xfId="3597" applyFont="1" applyBorder="1" applyAlignment="1">
      <alignment horizontal="center" vertical="top" wrapText="1"/>
    </xf>
    <xf numFmtId="0" fontId="7" fillId="0" borderId="8" xfId="3597" applyFont="1" applyBorder="1" applyAlignment="1">
      <alignment horizontal="center" vertical="top" wrapText="1"/>
    </xf>
    <xf numFmtId="0" fontId="33" fillId="3" borderId="6" xfId="2567" applyFont="1" applyFill="1" applyBorder="1" applyAlignment="1">
      <alignment horizontal="center" vertical="center" wrapText="1"/>
    </xf>
    <xf numFmtId="0" fontId="33" fillId="3" borderId="7" xfId="2567" applyFont="1" applyFill="1" applyBorder="1" applyAlignment="1">
      <alignment horizontal="center" vertical="center" wrapText="1"/>
    </xf>
    <xf numFmtId="0" fontId="33" fillId="3" borderId="8" xfId="2567" applyFont="1" applyFill="1" applyBorder="1" applyAlignment="1">
      <alignment horizontal="center" vertical="center" wrapText="1"/>
    </xf>
    <xf numFmtId="0" fontId="6" fillId="0" borderId="92" xfId="3597" applyFont="1" applyBorder="1" applyAlignment="1">
      <alignment vertical="top" wrapText="1"/>
    </xf>
    <xf numFmtId="0" fontId="6" fillId="0" borderId="3" xfId="3597" applyFont="1" applyBorder="1" applyAlignment="1">
      <alignment vertical="top" wrapText="1"/>
    </xf>
    <xf numFmtId="0" fontId="6" fillId="0" borderId="2" xfId="3597" applyFont="1" applyBorder="1" applyAlignment="1">
      <alignment vertical="top" wrapText="1"/>
    </xf>
    <xf numFmtId="0" fontId="13" fillId="0" borderId="4" xfId="3597" applyBorder="1" applyAlignment="1">
      <alignment horizontal="left" vertical="top" wrapText="1"/>
    </xf>
    <xf numFmtId="0" fontId="13" fillId="0" borderId="0" xfId="3597" applyAlignment="1">
      <alignment horizontal="left" vertical="top" wrapText="1"/>
    </xf>
    <xf numFmtId="0" fontId="13" fillId="0" borderId="5" xfId="3597" applyBorder="1" applyAlignment="1">
      <alignment horizontal="left" vertical="top" wrapText="1"/>
    </xf>
    <xf numFmtId="0" fontId="7" fillId="0" borderId="4" xfId="3597" applyFont="1" applyBorder="1" applyAlignment="1">
      <alignment horizontal="center" vertical="top" wrapText="1"/>
    </xf>
    <xf numFmtId="0" fontId="7" fillId="0" borderId="0" xfId="3597" applyFont="1" applyAlignment="1">
      <alignment horizontal="center" vertical="top" wrapText="1"/>
    </xf>
    <xf numFmtId="0" fontId="7" fillId="0" borderId="5" xfId="3597" applyFont="1" applyBorder="1" applyAlignment="1">
      <alignment horizontal="center" vertical="top" wrapText="1"/>
    </xf>
    <xf numFmtId="0" fontId="3" fillId="0" borderId="6" xfId="3597" applyFont="1" applyBorder="1" applyAlignment="1">
      <alignment horizontal="center" vertical="center" wrapText="1"/>
    </xf>
    <xf numFmtId="0" fontId="3" fillId="0" borderId="7" xfId="3597" applyFont="1" applyBorder="1" applyAlignment="1">
      <alignment horizontal="center" vertical="center" wrapText="1"/>
    </xf>
    <xf numFmtId="0" fontId="3" fillId="0" borderId="8" xfId="3597" applyFont="1" applyBorder="1" applyAlignment="1">
      <alignment horizontal="center" vertical="center" wrapText="1"/>
    </xf>
    <xf numFmtId="228" fontId="7" fillId="0" borderId="6" xfId="3597" quotePrefix="1" applyNumberFormat="1" applyFont="1" applyBorder="1" applyAlignment="1">
      <alignment horizontal="center" vertical="center" wrapText="1"/>
    </xf>
    <xf numFmtId="228" fontId="7" fillId="0" borderId="7" xfId="3597" applyNumberFormat="1" applyFont="1" applyBorder="1" applyAlignment="1">
      <alignment horizontal="center" vertical="center" wrapText="1"/>
    </xf>
    <xf numFmtId="228" fontId="7" fillId="0" borderId="8" xfId="3597" applyNumberFormat="1" applyFont="1" applyBorder="1" applyAlignment="1">
      <alignment horizontal="center" vertical="center" wrapText="1"/>
    </xf>
    <xf numFmtId="0" fontId="6" fillId="0" borderId="92" xfId="3597" applyFont="1" applyBorder="1" applyAlignment="1">
      <alignment horizontal="left" vertical="top" wrapText="1"/>
    </xf>
    <xf numFmtId="0" fontId="6" fillId="0" borderId="3" xfId="3597" applyFont="1" applyBorder="1" applyAlignment="1">
      <alignment horizontal="left" vertical="top" wrapText="1"/>
    </xf>
    <xf numFmtId="0" fontId="6" fillId="0" borderId="2" xfId="3597" applyFont="1" applyBorder="1" applyAlignment="1">
      <alignment horizontal="left" vertical="top" wrapText="1"/>
    </xf>
    <xf numFmtId="0" fontId="10" fillId="0" borderId="92" xfId="3597" applyFont="1" applyBorder="1" applyAlignment="1">
      <alignment vertical="top" wrapText="1"/>
    </xf>
    <xf numFmtId="0" fontId="10" fillId="0" borderId="2" xfId="3597" applyFont="1" applyBorder="1" applyAlignment="1">
      <alignment vertical="top" wrapText="1"/>
    </xf>
    <xf numFmtId="0" fontId="10" fillId="0" borderId="4" xfId="3597" applyFont="1" applyBorder="1" applyAlignment="1">
      <alignment vertical="top" wrapText="1"/>
    </xf>
    <xf numFmtId="0" fontId="10" fillId="0" borderId="5" xfId="3597" applyFont="1" applyBorder="1" applyAlignment="1">
      <alignment vertical="top" wrapText="1"/>
    </xf>
    <xf numFmtId="0" fontId="4" fillId="0" borderId="92" xfId="3597" applyFont="1" applyBorder="1" applyAlignment="1">
      <alignment horizontal="center" wrapText="1"/>
    </xf>
    <xf numFmtId="0" fontId="4" fillId="0" borderId="3" xfId="3597" applyFont="1" applyBorder="1" applyAlignment="1">
      <alignment horizontal="center" wrapText="1"/>
    </xf>
    <xf numFmtId="0" fontId="4" fillId="0" borderId="2" xfId="3597" applyFont="1" applyBorder="1" applyAlignment="1">
      <alignment horizontal="center" wrapText="1"/>
    </xf>
    <xf numFmtId="0" fontId="5" fillId="0" borderId="92" xfId="3597" applyFont="1" applyBorder="1" applyAlignment="1">
      <alignment horizontal="left" vertical="top" wrapText="1"/>
    </xf>
    <xf numFmtId="0" fontId="5" fillId="0" borderId="3" xfId="3597" applyFont="1" applyBorder="1" applyAlignment="1">
      <alignment horizontal="left" vertical="top" wrapText="1"/>
    </xf>
    <xf numFmtId="0" fontId="5" fillId="0" borderId="2" xfId="3597" applyFont="1" applyBorder="1" applyAlignment="1">
      <alignment horizontal="left" vertical="top" wrapText="1"/>
    </xf>
    <xf numFmtId="0" fontId="5" fillId="0" borderId="4" xfId="3597" applyFont="1" applyBorder="1" applyAlignment="1">
      <alignment horizontal="center" vertical="top" wrapText="1"/>
    </xf>
    <xf numFmtId="0" fontId="5" fillId="0" borderId="0" xfId="3597" applyFont="1" applyAlignment="1">
      <alignment horizontal="center" vertical="top" wrapText="1"/>
    </xf>
    <xf numFmtId="0" fontId="5" fillId="0" borderId="5" xfId="3597" applyFont="1" applyBorder="1" applyAlignment="1">
      <alignment horizontal="center" vertical="top" wrapText="1"/>
    </xf>
    <xf numFmtId="0" fontId="7" fillId="0" borderId="4" xfId="3597" applyFont="1" applyBorder="1" applyAlignment="1">
      <alignment horizontal="center" wrapText="1"/>
    </xf>
    <xf numFmtId="0" fontId="7" fillId="0" borderId="0" xfId="3597" applyFont="1" applyAlignment="1">
      <alignment horizontal="center" wrapText="1"/>
    </xf>
    <xf numFmtId="0" fontId="7" fillId="0" borderId="5" xfId="3597" applyFont="1" applyBorder="1" applyAlignment="1">
      <alignment horizontal="center" wrapText="1"/>
    </xf>
    <xf numFmtId="0" fontId="6" fillId="0" borderId="4" xfId="3597" applyFont="1" applyBorder="1" applyAlignment="1">
      <alignment horizontal="center" vertical="top" wrapText="1"/>
    </xf>
    <xf numFmtId="0" fontId="6" fillId="0" borderId="0" xfId="3597" applyFont="1" applyAlignment="1">
      <alignment horizontal="center" vertical="top" wrapText="1"/>
    </xf>
    <xf numFmtId="0" fontId="6" fillId="0" borderId="5" xfId="3597" applyFont="1" applyBorder="1" applyAlignment="1">
      <alignment horizontal="center" vertical="top" wrapText="1"/>
    </xf>
    <xf numFmtId="0" fontId="6" fillId="0" borderId="4" xfId="3597" applyFont="1" applyBorder="1" applyAlignment="1">
      <alignment horizontal="left" wrapText="1"/>
    </xf>
    <xf numFmtId="0" fontId="13" fillId="0" borderId="0" xfId="3597" applyAlignment="1">
      <alignment horizontal="left" wrapText="1"/>
    </xf>
    <xf numFmtId="0" fontId="13" fillId="0" borderId="5" xfId="3597" applyBorder="1" applyAlignment="1">
      <alignment horizontal="left" wrapText="1"/>
    </xf>
    <xf numFmtId="0" fontId="13" fillId="0" borderId="4" xfId="3597" applyBorder="1" applyAlignment="1">
      <alignment horizontal="left" wrapText="1"/>
    </xf>
    <xf numFmtId="0" fontId="18" fillId="0" borderId="18" xfId="3601" applyFont="1" applyBorder="1" applyProtection="1">
      <protection locked="0"/>
    </xf>
    <xf numFmtId="0" fontId="18" fillId="0" borderId="18" xfId="3601" applyFont="1" applyBorder="1" applyAlignment="1" applyProtection="1">
      <alignment wrapText="1"/>
      <protection locked="0"/>
    </xf>
    <xf numFmtId="0" fontId="18" fillId="0" borderId="20" xfId="3601" applyFont="1" applyBorder="1" applyProtection="1">
      <protection locked="0"/>
    </xf>
    <xf numFmtId="0" fontId="18" fillId="0" borderId="20" xfId="3601" applyFont="1" applyBorder="1" applyAlignment="1" applyProtection="1">
      <alignment wrapText="1"/>
      <protection locked="0"/>
    </xf>
    <xf numFmtId="0" fontId="28" fillId="0" borderId="94" xfId="3601" applyFont="1" applyBorder="1" applyAlignment="1" applyProtection="1">
      <alignment vertical="center" wrapText="1"/>
      <protection locked="0"/>
    </xf>
    <xf numFmtId="0" fontId="28" fillId="0" borderId="18" xfId="3601" applyFont="1" applyBorder="1" applyAlignment="1" applyProtection="1">
      <alignment vertical="center" wrapText="1"/>
      <protection locked="0"/>
    </xf>
    <xf numFmtId="0" fontId="19" fillId="0" borderId="18" xfId="3601" applyFont="1" applyBorder="1" applyAlignment="1" applyProtection="1">
      <alignment vertical="center" wrapText="1"/>
      <protection locked="0"/>
    </xf>
    <xf numFmtId="0" fontId="204" fillId="0" borderId="18" xfId="3601" applyFont="1" applyBorder="1" applyAlignment="1" applyProtection="1">
      <alignment vertical="center" wrapText="1"/>
      <protection locked="0"/>
    </xf>
    <xf numFmtId="0" fontId="17" fillId="0" borderId="80" xfId="3601" applyFont="1" applyBorder="1" applyAlignment="1" applyProtection="1">
      <alignment horizontal="center" vertical="center"/>
      <protection locked="0"/>
    </xf>
    <xf numFmtId="0" fontId="17" fillId="0" borderId="80" xfId="3601" applyFont="1" applyBorder="1" applyAlignment="1" applyProtection="1">
      <alignment horizontal="center" vertical="center" wrapText="1"/>
      <protection locked="0"/>
    </xf>
    <xf numFmtId="0" fontId="18" fillId="0" borderId="14" xfId="3621" applyFont="1" applyBorder="1" applyAlignment="1" applyProtection="1">
      <alignment horizontal="center" vertical="center" wrapText="1"/>
      <protection locked="0"/>
    </xf>
    <xf numFmtId="49" fontId="18" fillId="0" borderId="15" xfId="3601" applyNumberFormat="1" applyFont="1" applyBorder="1" applyAlignment="1" applyProtection="1">
      <alignment horizontal="center" vertical="center"/>
      <protection locked="0"/>
    </xf>
    <xf numFmtId="49" fontId="18" fillId="0" borderId="16" xfId="3601" applyNumberFormat="1" applyFont="1" applyBorder="1" applyAlignment="1" applyProtection="1">
      <alignment horizontal="center" vertical="center"/>
      <protection locked="0"/>
    </xf>
    <xf numFmtId="49" fontId="18" fillId="0" borderId="19" xfId="3601" applyNumberFormat="1" applyFont="1" applyBorder="1" applyAlignment="1" applyProtection="1">
      <alignment horizontal="center" vertical="center"/>
      <protection locked="0"/>
    </xf>
    <xf numFmtId="49" fontId="18" fillId="2" borderId="14" xfId="3601" applyNumberFormat="1" applyFont="1" applyFill="1" applyBorder="1" applyAlignment="1" applyProtection="1">
      <alignment horizontal="center" vertical="center"/>
      <protection locked="0"/>
    </xf>
    <xf numFmtId="3" fontId="18" fillId="0" borderId="14" xfId="3601" applyNumberFormat="1" applyFont="1" applyBorder="1" applyAlignment="1" applyProtection="1">
      <alignment horizontal="center" vertical="center" wrapText="1"/>
      <protection locked="0"/>
    </xf>
    <xf numFmtId="0" fontId="18" fillId="0" borderId="14" xfId="3601" applyFont="1" applyBorder="1" applyAlignment="1" applyProtection="1">
      <alignment horizontal="center" vertical="center" wrapText="1"/>
      <protection locked="0"/>
    </xf>
    <xf numFmtId="0" fontId="18" fillId="0" borderId="14" xfId="3601" applyFont="1" applyBorder="1" applyAlignment="1" applyProtection="1">
      <alignment horizontal="center" vertical="center"/>
      <protection locked="0"/>
    </xf>
    <xf numFmtId="0" fontId="13" fillId="2" borderId="88" xfId="3597" applyFill="1" applyBorder="1" applyAlignment="1" applyProtection="1">
      <alignment horizontal="center" vertical="center"/>
      <protection locked="0"/>
    </xf>
    <xf numFmtId="0" fontId="13" fillId="2" borderId="89" xfId="3597" applyFill="1" applyBorder="1" applyAlignment="1" applyProtection="1">
      <alignment horizontal="center" vertical="center"/>
      <protection locked="0"/>
    </xf>
    <xf numFmtId="0" fontId="13" fillId="2" borderId="90" xfId="3597" applyFill="1" applyBorder="1" applyAlignment="1" applyProtection="1">
      <alignment horizontal="center" vertical="center"/>
      <protection locked="0"/>
    </xf>
    <xf numFmtId="0" fontId="13" fillId="2" borderId="92" xfId="3597" applyFill="1" applyBorder="1" applyAlignment="1" applyProtection="1">
      <alignment horizontal="center" vertical="center"/>
      <protection locked="0"/>
    </xf>
    <xf numFmtId="0" fontId="13" fillId="2" borderId="2" xfId="3597" applyFill="1" applyBorder="1" applyAlignment="1" applyProtection="1">
      <alignment horizontal="center" vertical="center"/>
      <protection locked="0"/>
    </xf>
    <xf numFmtId="0" fontId="17" fillId="2" borderId="80" xfId="3597" applyFont="1" applyFill="1" applyBorder="1" applyAlignment="1" applyProtection="1">
      <alignment horizontal="center" vertical="center"/>
      <protection locked="0"/>
    </xf>
    <xf numFmtId="0" fontId="18" fillId="0" borderId="80" xfId="3597" applyFont="1" applyBorder="1" applyAlignment="1" applyProtection="1">
      <alignment horizontal="center" vertical="center"/>
      <protection locked="0"/>
    </xf>
    <xf numFmtId="0" fontId="17" fillId="2" borderId="88" xfId="3597" applyFont="1" applyFill="1" applyBorder="1" applyAlignment="1" applyProtection="1">
      <alignment horizontal="center" vertical="center"/>
      <protection locked="0"/>
    </xf>
    <xf numFmtId="0" fontId="17" fillId="2" borderId="90" xfId="3597" applyFont="1" applyFill="1" applyBorder="1" applyAlignment="1" applyProtection="1">
      <alignment horizontal="center" vertical="center"/>
      <protection locked="0"/>
    </xf>
    <xf numFmtId="0" fontId="18" fillId="2" borderId="88" xfId="3597" applyFont="1" applyFill="1" applyBorder="1" applyAlignment="1" applyProtection="1">
      <alignment horizontal="center" vertical="center"/>
      <protection locked="0"/>
    </xf>
    <xf numFmtId="0" fontId="18" fillId="2" borderId="90" xfId="3597" applyFont="1" applyFill="1" applyBorder="1" applyAlignment="1" applyProtection="1">
      <alignment horizontal="center" vertical="center"/>
      <protection locked="0"/>
    </xf>
    <xf numFmtId="0" fontId="18" fillId="0" borderId="88" xfId="3597" applyFont="1" applyBorder="1" applyAlignment="1" applyProtection="1">
      <alignment horizontal="center" vertical="center"/>
      <protection locked="0"/>
    </xf>
    <xf numFmtId="0" fontId="18" fillId="0" borderId="89" xfId="3597" applyFont="1" applyBorder="1" applyAlignment="1" applyProtection="1">
      <alignment horizontal="center" vertical="center"/>
      <protection locked="0"/>
    </xf>
    <xf numFmtId="0" fontId="18" fillId="0" borderId="90" xfId="3597" applyFont="1" applyBorder="1" applyAlignment="1" applyProtection="1">
      <alignment horizontal="center" vertical="center"/>
      <protection locked="0"/>
    </xf>
    <xf numFmtId="0" fontId="19" fillId="2" borderId="88" xfId="3597" applyFont="1" applyFill="1" applyBorder="1" applyAlignment="1" applyProtection="1">
      <alignment horizontal="center" vertical="center" wrapText="1"/>
      <protection locked="0"/>
    </xf>
    <xf numFmtId="0" fontId="19" fillId="2" borderId="90" xfId="3597" applyFont="1" applyFill="1" applyBorder="1" applyAlignment="1" applyProtection="1">
      <alignment horizontal="center" vertical="center" wrapText="1"/>
      <protection locked="0"/>
    </xf>
    <xf numFmtId="0" fontId="18" fillId="0" borderId="88" xfId="3597" quotePrefix="1" applyFont="1" applyBorder="1" applyAlignment="1" applyProtection="1">
      <alignment horizontal="center" vertical="center"/>
      <protection locked="0"/>
    </xf>
    <xf numFmtId="0" fontId="196" fillId="0" borderId="88" xfId="3597" applyFont="1" applyBorder="1" applyAlignment="1" applyProtection="1">
      <alignment horizontal="center" vertical="center"/>
      <protection locked="0"/>
    </xf>
    <xf numFmtId="0" fontId="196" fillId="0" borderId="90" xfId="3597" applyFont="1" applyBorder="1" applyAlignment="1" applyProtection="1">
      <alignment horizontal="center" vertical="center"/>
      <protection locked="0"/>
    </xf>
    <xf numFmtId="0" fontId="18" fillId="0" borderId="80" xfId="3597" applyFont="1" applyBorder="1" applyAlignment="1" applyProtection="1">
      <alignment horizontal="center" vertical="center" wrapText="1"/>
      <protection locked="0"/>
    </xf>
    <xf numFmtId="0" fontId="17" fillId="0" borderId="88" xfId="3597" applyFont="1" applyBorder="1" applyAlignment="1" applyProtection="1">
      <alignment horizontal="center" vertical="center"/>
      <protection locked="0"/>
    </xf>
    <xf numFmtId="0" fontId="17" fillId="0" borderId="90" xfId="3597" applyFont="1" applyBorder="1" applyAlignment="1" applyProtection="1">
      <alignment horizontal="center" vertical="center"/>
      <protection locked="0"/>
    </xf>
    <xf numFmtId="0" fontId="196" fillId="2" borderId="88" xfId="3597" applyFont="1" applyFill="1" applyBorder="1" applyAlignment="1" applyProtection="1">
      <alignment horizontal="center" vertical="center"/>
      <protection locked="0"/>
    </xf>
    <xf numFmtId="0" fontId="196" fillId="2" borderId="90" xfId="3597" applyFont="1" applyFill="1" applyBorder="1" applyAlignment="1" applyProtection="1">
      <alignment horizontal="center" vertical="center"/>
      <protection locked="0"/>
    </xf>
    <xf numFmtId="0" fontId="196" fillId="0" borderId="89" xfId="3597" applyFont="1" applyBorder="1" applyAlignment="1" applyProtection="1">
      <alignment horizontal="center" vertical="center"/>
      <protection locked="0"/>
    </xf>
    <xf numFmtId="0" fontId="196" fillId="0" borderId="88" xfId="3597" quotePrefix="1" applyFont="1" applyBorder="1" applyAlignment="1" applyProtection="1">
      <alignment horizontal="center" vertical="center"/>
      <protection locked="0"/>
    </xf>
    <xf numFmtId="0" fontId="7" fillId="0" borderId="80" xfId="3601" applyFont="1" applyBorder="1" applyAlignment="1" applyProtection="1">
      <alignment vertical="center"/>
      <protection locked="0"/>
    </xf>
    <xf numFmtId="228" fontId="7" fillId="0" borderId="89" xfId="3601" quotePrefix="1" applyNumberFormat="1" applyFont="1" applyBorder="1" applyAlignment="1" applyProtection="1">
      <alignment horizontal="left" vertical="center"/>
      <protection locked="0"/>
    </xf>
    <xf numFmtId="228" fontId="7" fillId="0" borderId="89" xfId="3601" applyNumberFormat="1" applyFont="1" applyBorder="1" applyAlignment="1" applyProtection="1">
      <alignment horizontal="left" vertical="center"/>
      <protection locked="0"/>
    </xf>
    <xf numFmtId="228" fontId="7" fillId="0" borderId="90" xfId="3601" applyNumberFormat="1" applyFont="1" applyBorder="1" applyAlignment="1" applyProtection="1">
      <alignment horizontal="left" vertical="center"/>
      <protection locked="0"/>
    </xf>
    <xf numFmtId="0" fontId="17" fillId="0" borderId="92" xfId="3601" applyFont="1" applyBorder="1" applyAlignment="1" applyProtection="1">
      <alignment horizontal="center" vertical="center"/>
      <protection locked="0"/>
    </xf>
    <xf numFmtId="0" fontId="17" fillId="0" borderId="2" xfId="3601" applyFont="1" applyBorder="1" applyAlignment="1" applyProtection="1">
      <alignment horizontal="center" vertical="center"/>
      <protection locked="0"/>
    </xf>
    <xf numFmtId="0" fontId="17" fillId="0" borderId="4" xfId="3601" applyFont="1" applyBorder="1" applyAlignment="1" applyProtection="1">
      <alignment horizontal="center" vertical="center"/>
      <protection locked="0"/>
    </xf>
    <xf numFmtId="0" fontId="17" fillId="0" borderId="5" xfId="3601" applyFont="1" applyBorder="1" applyAlignment="1" applyProtection="1">
      <alignment horizontal="center" vertical="center"/>
      <protection locked="0"/>
    </xf>
    <xf numFmtId="0" fontId="202" fillId="0" borderId="80" xfId="3601" applyFont="1" applyBorder="1" applyAlignment="1" applyProtection="1">
      <alignment horizontal="center" vertical="center" wrapText="1"/>
      <protection locked="0"/>
    </xf>
    <xf numFmtId="0" fontId="202" fillId="0" borderId="92" xfId="3601" applyFont="1" applyBorder="1" applyAlignment="1" applyProtection="1">
      <alignment horizontal="center" vertical="center" wrapText="1"/>
      <protection locked="0"/>
    </xf>
    <xf numFmtId="0" fontId="203" fillId="0" borderId="3" xfId="3601" applyFont="1" applyBorder="1" applyProtection="1">
      <protection locked="0"/>
    </xf>
    <xf numFmtId="0" fontId="203" fillId="0" borderId="2" xfId="3601" applyFont="1" applyBorder="1" applyProtection="1">
      <protection locked="0"/>
    </xf>
    <xf numFmtId="0" fontId="203" fillId="0" borderId="4" xfId="3601" applyFont="1" applyBorder="1" applyProtection="1">
      <protection locked="0"/>
    </xf>
    <xf numFmtId="0" fontId="203" fillId="0" borderId="0" xfId="3601" applyFont="1" applyProtection="1">
      <protection locked="0"/>
    </xf>
    <xf numFmtId="0" fontId="203" fillId="0" borderId="5" xfId="3601" applyFont="1" applyBorder="1" applyProtection="1">
      <protection locked="0"/>
    </xf>
    <xf numFmtId="0" fontId="202" fillId="0" borderId="3" xfId="3601" applyFont="1" applyBorder="1" applyAlignment="1" applyProtection="1">
      <alignment horizontal="center" vertical="center" wrapText="1"/>
      <protection locked="0"/>
    </xf>
    <xf numFmtId="0" fontId="202" fillId="0" borderId="2" xfId="3601" applyFont="1" applyBorder="1" applyAlignment="1" applyProtection="1">
      <alignment horizontal="center" vertical="center" wrapText="1"/>
      <protection locked="0"/>
    </xf>
    <xf numFmtId="0" fontId="202" fillId="0" borderId="4" xfId="3601" applyFont="1" applyBorder="1" applyAlignment="1" applyProtection="1">
      <alignment horizontal="center" vertical="center" wrapText="1"/>
      <protection locked="0"/>
    </xf>
    <xf numFmtId="0" fontId="202" fillId="0" borderId="0" xfId="3601" applyFont="1" applyAlignment="1" applyProtection="1">
      <alignment horizontal="center" vertical="center" wrapText="1"/>
      <protection locked="0"/>
    </xf>
    <xf numFmtId="0" fontId="202" fillId="0" borderId="5" xfId="3601" applyFont="1" applyBorder="1" applyAlignment="1" applyProtection="1">
      <alignment horizontal="center" vertical="center" wrapText="1"/>
      <protection locked="0"/>
    </xf>
    <xf numFmtId="0" fontId="17" fillId="0" borderId="88" xfId="3601" applyFont="1" applyBorder="1" applyAlignment="1" applyProtection="1">
      <alignment horizontal="center" vertical="center" wrapText="1"/>
      <protection locked="0"/>
    </xf>
    <xf numFmtId="0" fontId="17" fillId="0" borderId="89" xfId="3601" applyFont="1" applyBorder="1" applyAlignment="1" applyProtection="1">
      <alignment horizontal="center" vertical="center" wrapText="1"/>
      <protection locked="0"/>
    </xf>
    <xf numFmtId="0" fontId="17" fillId="0" borderId="90" xfId="3601" applyFont="1" applyBorder="1" applyAlignment="1" applyProtection="1">
      <alignment horizontal="center" vertical="center" wrapText="1"/>
      <protection locked="0"/>
    </xf>
    <xf numFmtId="0" fontId="7" fillId="0" borderId="88" xfId="3601" applyFont="1" applyBorder="1" applyAlignment="1" applyProtection="1">
      <alignment vertical="center"/>
      <protection locked="0"/>
    </xf>
    <xf numFmtId="0" fontId="7" fillId="0" borderId="89" xfId="3601" applyFont="1" applyBorder="1" applyAlignment="1" applyProtection="1">
      <alignment vertical="center"/>
      <protection locked="0"/>
    </xf>
    <xf numFmtId="0" fontId="7" fillId="0" borderId="90" xfId="3601" applyFont="1" applyBorder="1" applyAlignment="1" applyProtection="1">
      <alignment vertical="center"/>
      <protection locked="0"/>
    </xf>
    <xf numFmtId="0" fontId="17" fillId="0" borderId="80" xfId="3601" applyFont="1" applyBorder="1" applyAlignment="1" applyProtection="1">
      <alignment vertical="center"/>
      <protection locked="0"/>
    </xf>
    <xf numFmtId="0" fontId="200" fillId="0" borderId="80" xfId="3601" applyFont="1" applyBorder="1" applyAlignment="1" applyProtection="1">
      <alignment horizontal="justify" vertical="top" wrapText="1"/>
      <protection locked="0"/>
    </xf>
    <xf numFmtId="0" fontId="188" fillId="0" borderId="92" xfId="3601" applyFont="1" applyBorder="1" applyAlignment="1" applyProtection="1">
      <alignment horizontal="center" vertical="center" wrapText="1"/>
      <protection locked="0"/>
    </xf>
    <xf numFmtId="0" fontId="188" fillId="0" borderId="3" xfId="3601" applyFont="1" applyBorder="1" applyAlignment="1" applyProtection="1">
      <alignment horizontal="center" vertical="center" wrapText="1"/>
      <protection locked="0"/>
    </xf>
    <xf numFmtId="0" fontId="188" fillId="0" borderId="2" xfId="3601" applyFont="1" applyBorder="1" applyAlignment="1" applyProtection="1">
      <alignment horizontal="center" vertical="center" wrapText="1"/>
      <protection locked="0"/>
    </xf>
    <xf numFmtId="0" fontId="188" fillId="0" borderId="4" xfId="3601" applyFont="1" applyBorder="1" applyAlignment="1" applyProtection="1">
      <alignment horizontal="center" vertical="center" wrapText="1"/>
      <protection locked="0"/>
    </xf>
    <xf numFmtId="0" fontId="188" fillId="0" borderId="0" xfId="3601" applyFont="1" applyAlignment="1" applyProtection="1">
      <alignment horizontal="center" vertical="center" wrapText="1"/>
      <protection locked="0"/>
    </xf>
    <xf numFmtId="0" fontId="188" fillId="0" borderId="5" xfId="3601" applyFont="1" applyBorder="1" applyAlignment="1" applyProtection="1">
      <alignment horizontal="center" vertical="center" wrapText="1"/>
      <protection locked="0"/>
    </xf>
    <xf numFmtId="0" fontId="188" fillId="0" borderId="6" xfId="3601" applyFont="1" applyBorder="1" applyAlignment="1" applyProtection="1">
      <alignment horizontal="center" vertical="center" wrapText="1"/>
      <protection locked="0"/>
    </xf>
    <xf numFmtId="0" fontId="188" fillId="0" borderId="7" xfId="3601" applyFont="1" applyBorder="1" applyAlignment="1" applyProtection="1">
      <alignment horizontal="center" vertical="center" wrapText="1"/>
      <protection locked="0"/>
    </xf>
    <xf numFmtId="0" fontId="188" fillId="0" borderId="8" xfId="3601" applyFont="1" applyBorder="1" applyAlignment="1" applyProtection="1">
      <alignment horizontal="center" vertical="center" wrapText="1"/>
      <protection locked="0"/>
    </xf>
    <xf numFmtId="0" fontId="18" fillId="0" borderId="92" xfId="3601" applyFont="1" applyBorder="1" applyAlignment="1" applyProtection="1">
      <alignment horizontal="left" vertical="top" wrapText="1"/>
      <protection locked="0"/>
    </xf>
    <xf numFmtId="0" fontId="18" fillId="0" borderId="3" xfId="3601" applyFont="1" applyBorder="1" applyAlignment="1" applyProtection="1">
      <alignment horizontal="left" vertical="top" wrapText="1"/>
      <protection locked="0"/>
    </xf>
    <xf numFmtId="0" fontId="18" fillId="0" borderId="2" xfId="3601" applyFont="1" applyBorder="1" applyAlignment="1" applyProtection="1">
      <alignment horizontal="left" vertical="top" wrapText="1"/>
      <protection locked="0"/>
    </xf>
    <xf numFmtId="0" fontId="211" fillId="0" borderId="20" xfId="3601" quotePrefix="1" applyFont="1" applyBorder="1" applyAlignment="1" applyProtection="1">
      <alignment horizontal="center" vertical="center" wrapText="1"/>
      <protection locked="0"/>
    </xf>
    <xf numFmtId="0" fontId="211" fillId="0" borderId="20" xfId="3601" applyFont="1" applyBorder="1" applyAlignment="1" applyProtection="1">
      <alignment horizontal="center" vertical="center" wrapText="1"/>
      <protection locked="0"/>
    </xf>
    <xf numFmtId="0" fontId="211" fillId="0" borderId="94" xfId="3601" applyFont="1" applyBorder="1" applyAlignment="1" applyProtection="1">
      <alignment horizontal="center" vertical="center" wrapText="1"/>
      <protection locked="0"/>
    </xf>
    <xf numFmtId="0" fontId="20" fillId="0" borderId="4" xfId="3601" applyFont="1" applyBorder="1" applyAlignment="1" applyProtection="1">
      <alignment horizontal="left" vertical="center"/>
      <protection locked="0"/>
    </xf>
    <xf numFmtId="0" fontId="20" fillId="0" borderId="0" xfId="3601" applyFont="1" applyAlignment="1" applyProtection="1">
      <alignment horizontal="left" vertical="center"/>
      <protection locked="0"/>
    </xf>
    <xf numFmtId="0" fontId="20" fillId="0" borderId="5" xfId="3601" applyFont="1" applyBorder="1" applyAlignment="1" applyProtection="1">
      <alignment horizontal="left" vertical="center"/>
      <protection locked="0"/>
    </xf>
    <xf numFmtId="0" fontId="20" fillId="0" borderId="6" xfId="3601" applyFont="1" applyBorder="1" applyAlignment="1" applyProtection="1">
      <alignment horizontal="left" vertical="center"/>
      <protection locked="0"/>
    </xf>
    <xf numFmtId="0" fontId="20" fillId="0" borderId="7" xfId="3601" applyFont="1" applyBorder="1" applyAlignment="1" applyProtection="1">
      <alignment horizontal="left" vertical="center"/>
      <protection locked="0"/>
    </xf>
    <xf numFmtId="0" fontId="20" fillId="0" borderId="8" xfId="3601" applyFont="1" applyBorder="1" applyAlignment="1" applyProtection="1">
      <alignment horizontal="left" vertical="center"/>
      <protection locked="0"/>
    </xf>
    <xf numFmtId="0" fontId="7" fillId="0" borderId="80" xfId="3601" applyFont="1" applyBorder="1" applyAlignment="1" applyProtection="1">
      <alignment vertical="center" wrapText="1"/>
      <protection locked="0"/>
    </xf>
    <xf numFmtId="0" fontId="17" fillId="0" borderId="88" xfId="3618" applyFont="1" applyBorder="1" applyAlignment="1">
      <alignment horizontal="justify" vertical="center"/>
    </xf>
    <xf numFmtId="0" fontId="17" fillId="0" borderId="89" xfId="3618" applyFont="1" applyBorder="1" applyAlignment="1">
      <alignment horizontal="justify" vertical="center"/>
    </xf>
    <xf numFmtId="14" fontId="168" fillId="0" borderId="89" xfId="3618" quotePrefix="1" applyNumberFormat="1" applyFont="1" applyBorder="1" applyAlignment="1">
      <alignment horizontal="justify" vertical="center"/>
    </xf>
    <xf numFmtId="0" fontId="168" fillId="0" borderId="89" xfId="3618" applyFont="1" applyBorder="1" applyAlignment="1">
      <alignment horizontal="justify" vertical="center"/>
    </xf>
    <xf numFmtId="0" fontId="168" fillId="0" borderId="90" xfId="3618" applyFont="1" applyBorder="1" applyAlignment="1">
      <alignment horizontal="justify" vertical="center"/>
    </xf>
    <xf numFmtId="0" fontId="180" fillId="0" borderId="89" xfId="3619" applyFont="1" applyBorder="1" applyAlignment="1">
      <alignment horizontal="left" vertical="center" wrapText="1"/>
    </xf>
    <xf numFmtId="0" fontId="180" fillId="0" borderId="90" xfId="3619" applyFont="1" applyBorder="1" applyAlignment="1">
      <alignment horizontal="left" vertical="center" wrapText="1"/>
    </xf>
    <xf numFmtId="0" fontId="20" fillId="0" borderId="0" xfId="3618" applyFont="1" applyAlignment="1">
      <alignment horizontal="justify" wrapText="1"/>
    </xf>
    <xf numFmtId="0" fontId="17" fillId="0" borderId="90" xfId="3618" applyFont="1" applyBorder="1" applyAlignment="1">
      <alignment horizontal="justify" vertical="center"/>
    </xf>
    <xf numFmtId="0" fontId="180" fillId="0" borderId="89" xfId="3618" applyFont="1" applyBorder="1" applyAlignment="1">
      <alignment horizontal="left" vertical="center" wrapText="1"/>
    </xf>
    <xf numFmtId="0" fontId="180" fillId="0" borderId="90" xfId="3618" applyFont="1" applyBorder="1" applyAlignment="1">
      <alignment horizontal="left" vertical="center" wrapText="1"/>
    </xf>
    <xf numFmtId="0" fontId="20" fillId="0" borderId="80" xfId="3618" applyFont="1" applyBorder="1" applyAlignment="1">
      <alignment horizontal="center" wrapText="1"/>
    </xf>
    <xf numFmtId="0" fontId="20" fillId="0" borderId="88" xfId="3618" applyFont="1" applyBorder="1" applyAlignment="1">
      <alignment horizontal="center"/>
    </xf>
    <xf numFmtId="0" fontId="20" fillId="0" borderId="90" xfId="3618" applyFont="1" applyBorder="1" applyAlignment="1">
      <alignment horizontal="center"/>
    </xf>
    <xf numFmtId="0" fontId="206" fillId="0" borderId="94" xfId="3618" applyFont="1" applyBorder="1" applyAlignment="1">
      <alignment horizontal="justify" vertical="top" wrapText="1"/>
    </xf>
    <xf numFmtId="0" fontId="206" fillId="0" borderId="18" xfId="3618" applyFont="1" applyBorder="1" applyAlignment="1">
      <alignment horizontal="justify" vertical="top" wrapText="1"/>
    </xf>
    <xf numFmtId="0" fontId="206" fillId="0" borderId="20" xfId="3618" applyFont="1" applyBorder="1" applyAlignment="1">
      <alignment horizontal="justify" vertical="top" wrapText="1"/>
    </xf>
    <xf numFmtId="0" fontId="188" fillId="0" borderId="94" xfId="3618" applyFont="1" applyBorder="1" applyAlignment="1">
      <alignment horizontal="center" vertical="top" wrapText="1"/>
    </xf>
    <xf numFmtId="0" fontId="18" fillId="0" borderId="94" xfId="3618" applyFont="1" applyBorder="1" applyAlignment="1">
      <alignment horizontal="justify" vertical="top" wrapText="1"/>
    </xf>
    <xf numFmtId="0" fontId="206" fillId="0" borderId="18" xfId="3618" applyFont="1" applyBorder="1" applyAlignment="1">
      <alignment horizontal="center" vertical="top" wrapText="1"/>
    </xf>
    <xf numFmtId="0" fontId="168" fillId="0" borderId="4" xfId="3618" applyFont="1" applyBorder="1" applyAlignment="1">
      <alignment horizontal="center" vertical="center" wrapText="1"/>
    </xf>
    <xf numFmtId="0" fontId="168" fillId="0" borderId="0" xfId="3618" applyFont="1" applyAlignment="1">
      <alignment horizontal="center" vertical="center" wrapText="1"/>
    </xf>
    <xf numFmtId="0" fontId="168" fillId="0" borderId="5" xfId="3618" applyFont="1" applyBorder="1" applyAlignment="1">
      <alignment horizontal="center" vertical="center" wrapText="1"/>
    </xf>
    <xf numFmtId="0" fontId="43" fillId="0" borderId="18" xfId="3618" applyBorder="1" applyAlignment="1">
      <alignment vertical="top" wrapText="1"/>
    </xf>
    <xf numFmtId="0" fontId="18" fillId="0" borderId="18" xfId="3618" applyFont="1" applyBorder="1" applyAlignment="1">
      <alignment horizontal="justify" vertical="top" wrapText="1"/>
    </xf>
    <xf numFmtId="0" fontId="43" fillId="0" borderId="20" xfId="3618" applyBorder="1" applyAlignment="1">
      <alignment vertical="top" wrapText="1"/>
    </xf>
    <xf numFmtId="0" fontId="18" fillId="0" borderId="20" xfId="3618" applyFont="1" applyBorder="1" applyAlignment="1">
      <alignment horizontal="justify" vertical="top" wrapText="1"/>
    </xf>
    <xf numFmtId="0" fontId="13" fillId="0" borderId="0" xfId="3601" applyAlignment="1">
      <alignment horizontal="center" vertical="center"/>
    </xf>
    <xf numFmtId="0" fontId="3" fillId="0" borderId="0" xfId="3601" applyFont="1" applyAlignment="1">
      <alignment horizontal="center" vertical="center"/>
    </xf>
    <xf numFmtId="0" fontId="177" fillId="0" borderId="103" xfId="3601" applyFont="1" applyBorder="1" applyAlignment="1">
      <alignment horizontal="left" vertical="top" wrapText="1"/>
    </xf>
    <xf numFmtId="0" fontId="10" fillId="0" borderId="80" xfId="3601" applyFont="1" applyBorder="1" applyAlignment="1">
      <alignment horizontal="left" vertical="top" wrapText="1"/>
    </xf>
    <xf numFmtId="0" fontId="10" fillId="0" borderId="103" xfId="3601" applyFont="1" applyBorder="1" applyAlignment="1">
      <alignment horizontal="left" vertical="top" wrapText="1"/>
    </xf>
    <xf numFmtId="0" fontId="10" fillId="0" borderId="80" xfId="3601" applyFont="1" applyBorder="1" applyAlignment="1">
      <alignment horizontal="center" vertical="center" wrapText="1"/>
    </xf>
    <xf numFmtId="0" fontId="10" fillId="0" borderId="106" xfId="3601" applyFont="1" applyBorder="1" applyAlignment="1">
      <alignment horizontal="center" vertical="center" wrapText="1"/>
    </xf>
    <xf numFmtId="0" fontId="178" fillId="0" borderId="107" xfId="3601" applyFont="1" applyBorder="1" applyAlignment="1">
      <alignment horizontal="left" vertical="top"/>
    </xf>
    <xf numFmtId="0" fontId="178" fillId="0" borderId="83" xfId="3601" applyFont="1" applyBorder="1" applyAlignment="1">
      <alignment horizontal="left" vertical="top"/>
    </xf>
    <xf numFmtId="0" fontId="12" fillId="0" borderId="83" xfId="3601" applyFont="1" applyBorder="1" applyAlignment="1">
      <alignment horizontal="center" vertical="center" wrapText="1"/>
    </xf>
    <xf numFmtId="49" fontId="13" fillId="0" borderId="83" xfId="3601" applyNumberFormat="1" applyBorder="1" applyAlignment="1">
      <alignment horizontal="center" vertical="top"/>
    </xf>
    <xf numFmtId="0" fontId="12" fillId="0" borderId="87" xfId="3601" applyFont="1" applyBorder="1" applyAlignment="1">
      <alignment horizontal="center" vertical="center"/>
    </xf>
    <xf numFmtId="0" fontId="3" fillId="0" borderId="85" xfId="3601" applyFont="1" applyBorder="1" applyAlignment="1">
      <alignment horizontal="center" vertical="top"/>
    </xf>
    <xf numFmtId="0" fontId="3" fillId="0" borderId="76" xfId="3601" applyFont="1" applyBorder="1" applyAlignment="1">
      <alignment horizontal="center" vertical="top"/>
    </xf>
    <xf numFmtId="0" fontId="170" fillId="0" borderId="10" xfId="3601" quotePrefix="1" applyFont="1" applyBorder="1" applyAlignment="1">
      <alignment horizontal="center" vertical="center" wrapText="1"/>
    </xf>
    <xf numFmtId="0" fontId="170" fillId="0" borderId="11" xfId="3601" applyFont="1" applyBorder="1" applyAlignment="1">
      <alignment horizontal="center" vertical="center" wrapText="1"/>
    </xf>
    <xf numFmtId="0" fontId="170" fillId="0" borderId="12" xfId="3601" applyFont="1" applyBorder="1" applyAlignment="1">
      <alignment horizontal="center" vertical="center" wrapText="1"/>
    </xf>
    <xf numFmtId="0" fontId="170" fillId="0" borderId="10" xfId="3601" applyFont="1" applyBorder="1" applyAlignment="1">
      <alignment horizontal="center" vertical="center" wrapText="1"/>
    </xf>
    <xf numFmtId="0" fontId="173" fillId="0" borderId="10" xfId="3601" applyFont="1" applyBorder="1" applyAlignment="1">
      <alignment horizontal="center" vertical="center" wrapText="1"/>
    </xf>
    <xf numFmtId="0" fontId="173" fillId="0" borderId="11" xfId="3601" applyFont="1" applyBorder="1" applyAlignment="1">
      <alignment horizontal="center" vertical="center" wrapText="1"/>
    </xf>
    <xf numFmtId="0" fontId="173" fillId="0" borderId="12" xfId="3601" applyFont="1" applyBorder="1" applyAlignment="1">
      <alignment horizontal="center" vertical="center" wrapText="1"/>
    </xf>
    <xf numFmtId="0" fontId="173" fillId="0" borderId="10" xfId="3601" applyFont="1" applyBorder="1" applyAlignment="1">
      <alignment horizontal="center" vertical="center"/>
    </xf>
    <xf numFmtId="0" fontId="173" fillId="0" borderId="11" xfId="3601" applyFont="1" applyBorder="1" applyAlignment="1">
      <alignment horizontal="center" vertical="center"/>
    </xf>
    <xf numFmtId="0" fontId="173" fillId="0" borderId="12" xfId="3601" applyFont="1" applyBorder="1" applyAlignment="1">
      <alignment horizontal="center" vertical="center"/>
    </xf>
    <xf numFmtId="0" fontId="11" fillId="0" borderId="105" xfId="3601" applyFont="1" applyBorder="1" applyAlignment="1">
      <alignment horizontal="center" vertical="center" wrapText="1"/>
    </xf>
    <xf numFmtId="0" fontId="11" fillId="0" borderId="3" xfId="3601" applyFont="1" applyBorder="1" applyAlignment="1">
      <alignment horizontal="center" vertical="center" wrapText="1"/>
    </xf>
    <xf numFmtId="0" fontId="11" fillId="0" borderId="84" xfId="3601" applyFont="1" applyBorder="1" applyAlignment="1">
      <alignment horizontal="center" vertical="center" wrapText="1"/>
    </xf>
    <xf numFmtId="0" fontId="7" fillId="0" borderId="80" xfId="3601" applyFont="1" applyBorder="1" applyAlignment="1">
      <alignment horizontal="center" vertical="center" wrapText="1"/>
    </xf>
    <xf numFmtId="0" fontId="2" fillId="0" borderId="10" xfId="3601" applyFont="1" applyBorder="1" applyAlignment="1">
      <alignment horizontal="center" vertical="center" wrapText="1"/>
    </xf>
    <xf numFmtId="0" fontId="2" fillId="0" borderId="11" xfId="3601" applyFont="1" applyBorder="1" applyAlignment="1">
      <alignment horizontal="center" vertical="center" wrapText="1"/>
    </xf>
    <xf numFmtId="0" fontId="2" fillId="0" borderId="12" xfId="3601" applyFont="1" applyBorder="1" applyAlignment="1">
      <alignment horizontal="center" vertical="center" wrapText="1"/>
    </xf>
    <xf numFmtId="0" fontId="172" fillId="0" borderId="10" xfId="3604" applyFont="1" applyBorder="1" applyAlignment="1">
      <alignment horizontal="center" vertical="center" wrapText="1"/>
    </xf>
    <xf numFmtId="0" fontId="172" fillId="0" borderId="11" xfId="3604" applyFont="1" applyBorder="1" applyAlignment="1">
      <alignment horizontal="center" vertical="center" wrapText="1"/>
    </xf>
    <xf numFmtId="0" fontId="172" fillId="0" borderId="104" xfId="3604" applyFont="1" applyBorder="1" applyAlignment="1">
      <alignment horizontal="center" vertical="center" wrapText="1"/>
    </xf>
    <xf numFmtId="49" fontId="6" fillId="0" borderId="103" xfId="3601" applyNumberFormat="1" applyFont="1" applyBorder="1" applyAlignment="1">
      <alignment horizontal="center" vertical="center" wrapText="1"/>
    </xf>
    <xf numFmtId="49" fontId="6" fillId="0" borderId="80" xfId="3601" applyNumberFormat="1" applyFont="1" applyBorder="1" applyAlignment="1">
      <alignment horizontal="center" vertical="center" wrapText="1"/>
    </xf>
    <xf numFmtId="0" fontId="6" fillId="0" borderId="80" xfId="3601" applyFont="1" applyBorder="1" applyAlignment="1">
      <alignment horizontal="center" vertical="center" wrapText="1"/>
    </xf>
    <xf numFmtId="0" fontId="180" fillId="0" borderId="80" xfId="3601" applyFont="1" applyBorder="1" applyAlignment="1">
      <alignment horizontal="center" vertical="center" wrapText="1"/>
    </xf>
    <xf numFmtId="0" fontId="2" fillId="0" borderId="80" xfId="3604" applyFont="1" applyBorder="1" applyAlignment="1">
      <alignment horizontal="center" vertical="center" wrapText="1"/>
    </xf>
    <xf numFmtId="0" fontId="180" fillId="0" borderId="80" xfId="3604" applyFont="1" applyBorder="1" applyAlignment="1">
      <alignment horizontal="center" vertical="center" wrapText="1"/>
    </xf>
    <xf numFmtId="14" fontId="180" fillId="0" borderId="10" xfId="3604" quotePrefix="1" applyNumberFormat="1" applyFont="1" applyBorder="1" applyAlignment="1">
      <alignment horizontal="center" vertical="center" wrapText="1"/>
    </xf>
    <xf numFmtId="0" fontId="180" fillId="0" borderId="11" xfId="3604" applyFont="1" applyBorder="1" applyAlignment="1">
      <alignment horizontal="center" vertical="center" wrapText="1"/>
    </xf>
    <xf numFmtId="0" fontId="180" fillId="0" borderId="104" xfId="3604" applyFont="1" applyBorder="1" applyAlignment="1">
      <alignment horizontal="center" vertical="center" wrapText="1"/>
    </xf>
    <xf numFmtId="49" fontId="13" fillId="0" borderId="103" xfId="3601" applyNumberFormat="1" applyBorder="1" applyAlignment="1">
      <alignment horizontal="center" vertical="center" wrapText="1"/>
    </xf>
    <xf numFmtId="49" fontId="13" fillId="0" borderId="80" xfId="3601" applyNumberFormat="1" applyBorder="1" applyAlignment="1">
      <alignment horizontal="center" vertical="center" wrapText="1"/>
    </xf>
    <xf numFmtId="0" fontId="13" fillId="0" borderId="80" xfId="3601" applyBorder="1" applyAlignment="1">
      <alignment horizontal="center" vertical="center" wrapText="1"/>
    </xf>
    <xf numFmtId="0" fontId="170" fillId="0" borderId="80" xfId="3604" applyFont="1" applyBorder="1" applyAlignment="1">
      <alignment horizontal="center" vertical="center" wrapText="1"/>
    </xf>
    <xf numFmtId="0" fontId="172" fillId="0" borderId="80" xfId="3604" applyFont="1" applyBorder="1" applyAlignment="1">
      <alignment horizontal="center" vertical="center" wrapText="1"/>
    </xf>
    <xf numFmtId="0" fontId="23" fillId="0" borderId="40" xfId="3601" applyFont="1" applyBorder="1" applyAlignment="1">
      <alignment horizontal="center" vertical="center" wrapText="1"/>
    </xf>
    <xf numFmtId="0" fontId="23" fillId="0" borderId="41" xfId="3601" applyFont="1" applyBorder="1" applyAlignment="1">
      <alignment horizontal="center" vertical="center" wrapText="1"/>
    </xf>
    <xf numFmtId="0" fontId="23" fillId="0" borderId="32" xfId="3601" applyFont="1" applyBorder="1" applyAlignment="1">
      <alignment horizontal="center" vertical="center" wrapText="1"/>
    </xf>
    <xf numFmtId="0" fontId="23" fillId="0" borderId="31" xfId="3601" applyFont="1" applyBorder="1" applyAlignment="1">
      <alignment horizontal="center" vertical="center" wrapText="1"/>
    </xf>
    <xf numFmtId="0" fontId="23" fillId="0" borderId="50" xfId="3601" applyFont="1" applyBorder="1" applyAlignment="1">
      <alignment horizontal="center" vertical="center" wrapText="1"/>
    </xf>
    <xf numFmtId="0" fontId="1" fillId="0" borderId="102" xfId="3601" applyFont="1" applyBorder="1" applyAlignment="1">
      <alignment horizontal="center" vertical="center" wrapText="1"/>
    </xf>
    <xf numFmtId="0" fontId="1" fillId="0" borderId="0" xfId="3601" applyFont="1" applyAlignment="1">
      <alignment horizontal="center" vertical="center" wrapText="1"/>
    </xf>
    <xf numFmtId="0" fontId="1" fillId="0" borderId="5" xfId="3601" applyFont="1" applyBorder="1" applyAlignment="1">
      <alignment horizontal="center" vertical="center" wrapText="1"/>
    </xf>
    <xf numFmtId="0" fontId="13" fillId="0" borderId="10" xfId="3601" applyBorder="1" applyAlignment="1">
      <alignment horizontal="center" vertical="center" wrapText="1"/>
    </xf>
    <xf numFmtId="0" fontId="13" fillId="0" borderId="11" xfId="3601" applyBorder="1" applyAlignment="1">
      <alignment horizontal="center" vertical="center" wrapText="1"/>
    </xf>
    <xf numFmtId="0" fontId="13" fillId="0" borderId="12" xfId="3601" applyBorder="1" applyAlignment="1">
      <alignment horizontal="center" vertical="center" wrapText="1"/>
    </xf>
    <xf numFmtId="0" fontId="171" fillId="0" borderId="1" xfId="3601" applyFont="1" applyBorder="1" applyAlignment="1">
      <alignment horizontal="center" vertical="center" wrapText="1"/>
    </xf>
    <xf numFmtId="0" fontId="171" fillId="0" borderId="3" xfId="3601" applyFont="1" applyBorder="1" applyAlignment="1">
      <alignment horizontal="center" vertical="center" wrapText="1"/>
    </xf>
    <xf numFmtId="0" fontId="171" fillId="0" borderId="2" xfId="3601" applyFont="1" applyBorder="1" applyAlignment="1">
      <alignment horizontal="center" vertical="center" wrapText="1"/>
    </xf>
    <xf numFmtId="0" fontId="171" fillId="0" borderId="4" xfId="3601" applyFont="1" applyBorder="1" applyAlignment="1">
      <alignment horizontal="center" vertical="center" wrapText="1"/>
    </xf>
    <xf numFmtId="0" fontId="171" fillId="0" borderId="0" xfId="3601" applyFont="1" applyAlignment="1">
      <alignment horizontal="center" vertical="center" wrapText="1"/>
    </xf>
    <xf numFmtId="0" fontId="171" fillId="0" borderId="5" xfId="3601" applyFont="1" applyBorder="1" applyAlignment="1">
      <alignment horizontal="center" vertical="center" wrapText="1"/>
    </xf>
    <xf numFmtId="0" fontId="172" fillId="0" borderId="1" xfId="3604" applyFont="1" applyBorder="1" applyAlignment="1">
      <alignment horizontal="center" vertical="center" wrapText="1"/>
    </xf>
    <xf numFmtId="0" fontId="172" fillId="0" borderId="3" xfId="3604" applyFont="1" applyBorder="1" applyAlignment="1">
      <alignment horizontal="center" vertical="center" wrapText="1"/>
    </xf>
    <xf numFmtId="0" fontId="172" fillId="0" borderId="84" xfId="3604" applyFont="1" applyBorder="1" applyAlignment="1">
      <alignment horizontal="center" vertical="center" wrapText="1"/>
    </xf>
    <xf numFmtId="0" fontId="179" fillId="0" borderId="1" xfId="3601" applyFont="1" applyBorder="1" applyAlignment="1">
      <alignment horizontal="center" vertical="center" wrapText="1"/>
    </xf>
    <xf numFmtId="0" fontId="179" fillId="0" borderId="3" xfId="3601" applyFont="1" applyBorder="1" applyAlignment="1">
      <alignment horizontal="center" vertical="center" wrapText="1"/>
    </xf>
    <xf numFmtId="0" fontId="179" fillId="0" borderId="2" xfId="3601" applyFont="1" applyBorder="1" applyAlignment="1">
      <alignment horizontal="center" vertical="center" wrapText="1"/>
    </xf>
    <xf numFmtId="0" fontId="162" fillId="0" borderId="6" xfId="3604" applyFont="1" applyBorder="1" applyAlignment="1">
      <alignment horizontal="center" vertical="center" wrapText="1"/>
    </xf>
    <xf numFmtId="0" fontId="162" fillId="0" borderId="7" xfId="3604" applyFont="1" applyBorder="1" applyAlignment="1">
      <alignment horizontal="center" vertical="center" wrapText="1"/>
    </xf>
    <xf numFmtId="0" fontId="162" fillId="0" borderId="73" xfId="3604" applyFont="1" applyBorder="1" applyAlignment="1">
      <alignment horizontal="center" vertical="center" wrapText="1"/>
    </xf>
    <xf numFmtId="0" fontId="3" fillId="0" borderId="15" xfId="3597" applyFont="1" applyBorder="1" applyAlignment="1">
      <alignment horizontal="center" vertical="top" wrapText="1"/>
    </xf>
    <xf numFmtId="0" fontId="3" fillId="0" borderId="16" xfId="3597" applyFont="1" applyBorder="1" applyAlignment="1">
      <alignment horizontal="center" vertical="top" wrapText="1"/>
    </xf>
    <xf numFmtId="0" fontId="3" fillId="0" borderId="19" xfId="3597" applyFont="1" applyBorder="1" applyAlignment="1">
      <alignment horizontal="center" vertical="top" wrapText="1"/>
    </xf>
    <xf numFmtId="0" fontId="1" fillId="0" borderId="15" xfId="3597" applyFont="1" applyBorder="1" applyAlignment="1">
      <alignment horizontal="center" vertical="top" wrapText="1"/>
    </xf>
    <xf numFmtId="0" fontId="1" fillId="0" borderId="19" xfId="3597" applyFont="1" applyBorder="1" applyAlignment="1">
      <alignment horizontal="center" vertical="top" wrapText="1"/>
    </xf>
    <xf numFmtId="0" fontId="1" fillId="0" borderId="16" xfId="3597" applyFont="1" applyBorder="1" applyAlignment="1">
      <alignment horizontal="center" vertical="top" wrapText="1"/>
    </xf>
    <xf numFmtId="0" fontId="3" fillId="0" borderId="18" xfId="3597" applyFont="1" applyBorder="1" applyAlignment="1">
      <alignment horizontal="left" vertical="top"/>
    </xf>
    <xf numFmtId="0" fontId="10" fillId="0" borderId="88" xfId="3597" applyFont="1" applyBorder="1" applyAlignment="1">
      <alignment horizontal="left" vertical="center" wrapText="1"/>
    </xf>
    <xf numFmtId="0" fontId="10" fillId="0" borderId="89" xfId="3597" applyFont="1" applyBorder="1" applyAlignment="1">
      <alignment horizontal="left" vertical="center" wrapText="1"/>
    </xf>
    <xf numFmtId="0" fontId="10" fillId="0" borderId="90" xfId="3597" applyFont="1" applyBorder="1" applyAlignment="1">
      <alignment horizontal="left" vertical="center" wrapText="1"/>
    </xf>
    <xf numFmtId="0" fontId="7" fillId="0" borderId="94" xfId="3597" applyFont="1" applyBorder="1" applyAlignment="1">
      <alignment horizontal="left" vertical="top"/>
    </xf>
    <xf numFmtId="0" fontId="3" fillId="0" borderId="20" xfId="3597" applyFont="1" applyBorder="1" applyAlignment="1">
      <alignment horizontal="left" vertical="center"/>
    </xf>
    <xf numFmtId="0" fontId="3" fillId="0" borderId="6" xfId="3597" applyFont="1" applyBorder="1" applyAlignment="1">
      <alignment horizontal="left" vertical="center"/>
    </xf>
    <xf numFmtId="0" fontId="3" fillId="0" borderId="7" xfId="3597" applyFont="1" applyBorder="1" applyAlignment="1">
      <alignment horizontal="left" vertical="center"/>
    </xf>
    <xf numFmtId="0" fontId="3" fillId="0" borderId="8" xfId="3597" applyFont="1" applyBorder="1" applyAlignment="1">
      <alignment horizontal="left" vertical="center"/>
    </xf>
    <xf numFmtId="49" fontId="13" fillId="0" borderId="15" xfId="3597" applyNumberFormat="1" applyBorder="1" applyAlignment="1">
      <alignment horizontal="center" wrapText="1"/>
    </xf>
    <xf numFmtId="49" fontId="13" fillId="0" borderId="16" xfId="3597" applyNumberFormat="1" applyBorder="1" applyAlignment="1">
      <alignment horizontal="center" wrapText="1"/>
    </xf>
    <xf numFmtId="49" fontId="13" fillId="0" borderId="19" xfId="3597" applyNumberFormat="1" applyBorder="1" applyAlignment="1">
      <alignment horizontal="center" wrapText="1"/>
    </xf>
    <xf numFmtId="0" fontId="13" fillId="0" borderId="15" xfId="3597" applyBorder="1" applyAlignment="1">
      <alignment horizontal="center" wrapText="1"/>
    </xf>
    <xf numFmtId="0" fontId="13" fillId="0" borderId="19" xfId="3597" applyBorder="1" applyAlignment="1">
      <alignment horizontal="center" wrapText="1"/>
    </xf>
    <xf numFmtId="0" fontId="3" fillId="0" borderId="15" xfId="3597" applyFont="1" applyBorder="1" applyAlignment="1">
      <alignment horizontal="center" vertical="center" wrapText="1"/>
    </xf>
    <xf numFmtId="0" fontId="3" fillId="0" borderId="19" xfId="3597" applyFont="1" applyBorder="1" applyAlignment="1">
      <alignment horizontal="center" vertical="center" wrapText="1"/>
    </xf>
    <xf numFmtId="0" fontId="3" fillId="0" borderId="16" xfId="3597" applyFont="1" applyBorder="1" applyAlignment="1">
      <alignment horizontal="center" vertical="center" wrapText="1"/>
    </xf>
    <xf numFmtId="0" fontId="13" fillId="0" borderId="16" xfId="3597" applyBorder="1" applyAlignment="1">
      <alignment horizontal="center" wrapText="1"/>
    </xf>
    <xf numFmtId="0" fontId="3" fillId="0" borderId="95" xfId="3597" applyFont="1" applyBorder="1" applyAlignment="1">
      <alignment horizontal="center" vertical="center" wrapText="1"/>
    </xf>
    <xf numFmtId="0" fontId="3" fillId="0" borderId="96" xfId="3597" applyFont="1" applyBorder="1" applyAlignment="1">
      <alignment horizontal="center" vertical="center" wrapText="1"/>
    </xf>
    <xf numFmtId="0" fontId="13" fillId="0" borderId="95" xfId="3597" applyBorder="1" applyAlignment="1">
      <alignment horizontal="center" wrapText="1"/>
    </xf>
    <xf numFmtId="0" fontId="13" fillId="0" borderId="101" xfId="3597" applyBorder="1" applyAlignment="1">
      <alignment horizontal="center" wrapText="1"/>
    </xf>
    <xf numFmtId="0" fontId="13" fillId="0" borderId="96" xfId="3597" applyBorder="1" applyAlignment="1">
      <alignment horizontal="center" wrapText="1"/>
    </xf>
    <xf numFmtId="0" fontId="3" fillId="0" borderId="101" xfId="3597" applyFont="1" applyBorder="1" applyAlignment="1">
      <alignment horizontal="center" vertical="center" wrapText="1"/>
    </xf>
    <xf numFmtId="0" fontId="3" fillId="0" borderId="92" xfId="3597" applyFont="1" applyBorder="1" applyAlignment="1">
      <alignment horizontal="left" vertical="top" wrapText="1"/>
    </xf>
    <xf numFmtId="0" fontId="3" fillId="0" borderId="3" xfId="3597" applyFont="1" applyBorder="1" applyAlignment="1">
      <alignment horizontal="left" vertical="top" wrapText="1"/>
    </xf>
    <xf numFmtId="0" fontId="168" fillId="0" borderId="3" xfId="3597" applyFont="1" applyBorder="1" applyAlignment="1">
      <alignment horizontal="center" vertical="top" wrapText="1"/>
    </xf>
    <xf numFmtId="0" fontId="168" fillId="0" borderId="2" xfId="3597" applyFont="1" applyBorder="1" applyAlignment="1">
      <alignment horizontal="center" vertical="top" wrapText="1"/>
    </xf>
    <xf numFmtId="0" fontId="13" fillId="0" borderId="80" xfId="3597" applyBorder="1" applyAlignment="1">
      <alignment horizontal="center" vertical="top" wrapText="1"/>
    </xf>
    <xf numFmtId="0" fontId="1" fillId="0" borderId="94" xfId="3597" applyFont="1" applyBorder="1" applyAlignment="1">
      <alignment horizontal="center" vertical="center" wrapText="1"/>
    </xf>
    <xf numFmtId="0" fontId="1" fillId="0" borderId="20" xfId="3597" applyFont="1" applyBorder="1" applyAlignment="1">
      <alignment horizontal="center" vertical="center" wrapText="1"/>
    </xf>
    <xf numFmtId="0" fontId="3" fillId="0" borderId="88" xfId="3597" applyFont="1" applyBorder="1" applyAlignment="1">
      <alignment horizontal="center" vertical="top" wrapText="1"/>
    </xf>
    <xf numFmtId="0" fontId="3" fillId="0" borderId="89" xfId="3597" applyFont="1" applyBorder="1" applyAlignment="1">
      <alignment horizontal="center" vertical="top" wrapText="1"/>
    </xf>
    <xf numFmtId="0" fontId="3" fillId="0" borderId="90" xfId="3597" applyFont="1" applyBorder="1" applyAlignment="1">
      <alignment horizontal="center" vertical="top" wrapText="1"/>
    </xf>
    <xf numFmtId="0" fontId="3" fillId="0" borderId="88" xfId="3597" applyFont="1" applyBorder="1" applyAlignment="1">
      <alignment horizontal="center" vertical="center" wrapText="1"/>
    </xf>
    <xf numFmtId="0" fontId="3" fillId="0" borderId="89" xfId="3597" applyFont="1" applyBorder="1" applyAlignment="1">
      <alignment horizontal="center" vertical="center" wrapText="1"/>
    </xf>
    <xf numFmtId="0" fontId="3" fillId="0" borderId="90" xfId="3597" applyFont="1" applyBorder="1" applyAlignment="1">
      <alignment horizontal="center" vertical="center" wrapText="1"/>
    </xf>
    <xf numFmtId="0" fontId="3" fillId="0" borderId="80" xfId="3597" applyFont="1" applyBorder="1" applyAlignment="1">
      <alignment horizontal="center" vertical="center" wrapText="1"/>
    </xf>
    <xf numFmtId="0" fontId="7" fillId="0" borderId="6" xfId="3597" applyFont="1" applyBorder="1" applyAlignment="1">
      <alignment horizontal="center" vertical="center" wrapText="1"/>
    </xf>
    <xf numFmtId="0" fontId="7" fillId="0" borderId="7" xfId="3597" applyFont="1" applyBorder="1" applyAlignment="1">
      <alignment horizontal="center" vertical="center" wrapText="1"/>
    </xf>
    <xf numFmtId="0" fontId="7" fillId="0" borderId="8" xfId="3597" applyFont="1" applyBorder="1" applyAlignment="1">
      <alignment horizontal="center" vertical="center" wrapText="1"/>
    </xf>
    <xf numFmtId="0" fontId="6" fillId="0" borderId="4" xfId="3597" applyFont="1" applyBorder="1" applyAlignment="1">
      <alignment horizontal="left" vertical="top" wrapText="1"/>
    </xf>
    <xf numFmtId="0" fontId="6" fillId="0" borderId="0" xfId="3597" applyFont="1" applyAlignment="1">
      <alignment horizontal="left" vertical="top" wrapText="1"/>
    </xf>
    <xf numFmtId="0" fontId="6" fillId="0" borderId="5" xfId="3597" applyFont="1" applyBorder="1" applyAlignment="1">
      <alignment horizontal="left" vertical="top" wrapText="1"/>
    </xf>
    <xf numFmtId="0" fontId="6" fillId="0" borderId="6" xfId="3597" applyFont="1" applyBorder="1" applyAlignment="1">
      <alignment horizontal="center" vertical="top" wrapText="1"/>
    </xf>
    <xf numFmtId="0" fontId="6" fillId="0" borderId="7" xfId="3597" applyFont="1" applyBorder="1" applyAlignment="1">
      <alignment horizontal="center" vertical="top" wrapText="1"/>
    </xf>
    <xf numFmtId="0" fontId="6" fillId="0" borderId="8" xfId="3597" applyFont="1" applyBorder="1" applyAlignment="1">
      <alignment horizontal="center" vertical="top" wrapText="1"/>
    </xf>
    <xf numFmtId="0" fontId="7" fillId="0" borderId="6" xfId="3620" applyFont="1" applyBorder="1" applyAlignment="1">
      <alignment horizontal="center" vertical="top"/>
    </xf>
    <xf numFmtId="0" fontId="7" fillId="0" borderId="7" xfId="3620" applyFont="1" applyBorder="1" applyAlignment="1">
      <alignment horizontal="center" vertical="top"/>
    </xf>
    <xf numFmtId="0" fontId="7" fillId="0" borderId="8" xfId="3620" applyFont="1" applyBorder="1" applyAlignment="1">
      <alignment horizontal="center" vertical="top"/>
    </xf>
    <xf numFmtId="0" fontId="13" fillId="0" borderId="94" xfId="3597" applyBorder="1" applyAlignment="1">
      <alignment horizontal="left" vertical="top" wrapText="1"/>
    </xf>
    <xf numFmtId="0" fontId="1" fillId="0" borderId="20" xfId="3597" applyFont="1" applyBorder="1" applyAlignment="1">
      <alignment horizontal="left" vertical="top" wrapText="1"/>
    </xf>
    <xf numFmtId="0" fontId="168" fillId="0" borderId="6" xfId="3597" applyFont="1" applyBorder="1" applyAlignment="1">
      <alignment horizontal="center" vertical="top" wrapText="1"/>
    </xf>
    <xf numFmtId="0" fontId="168" fillId="0" borderId="7" xfId="3597" applyFont="1" applyBorder="1" applyAlignment="1">
      <alignment horizontal="center" vertical="top" wrapText="1"/>
    </xf>
    <xf numFmtId="0" fontId="168" fillId="0" borderId="8" xfId="3597" applyFont="1" applyBorder="1" applyAlignment="1">
      <alignment horizontal="center" vertical="top" wrapText="1"/>
    </xf>
    <xf numFmtId="0" fontId="7" fillId="0" borderId="6" xfId="3620" applyFont="1" applyBorder="1" applyAlignment="1">
      <alignment horizontal="center" vertical="center" wrapText="1"/>
    </xf>
    <xf numFmtId="0" fontId="7" fillId="0" borderId="7" xfId="3620" applyFont="1" applyBorder="1" applyAlignment="1">
      <alignment horizontal="center" vertical="center" wrapText="1"/>
    </xf>
    <xf numFmtId="0" fontId="7" fillId="0" borderId="8" xfId="3620" applyFont="1" applyBorder="1" applyAlignment="1">
      <alignment horizontal="center" vertical="center" wrapText="1"/>
    </xf>
    <xf numFmtId="228" fontId="13" fillId="0" borderId="6" xfId="3620" quotePrefix="1" applyNumberFormat="1" applyBorder="1" applyAlignment="1">
      <alignment horizontal="center" vertical="center" wrapText="1"/>
    </xf>
    <xf numFmtId="228" fontId="13" fillId="0" borderId="7" xfId="3620" applyNumberFormat="1" applyBorder="1" applyAlignment="1">
      <alignment horizontal="center" vertical="center" wrapText="1"/>
    </xf>
    <xf numFmtId="228" fontId="13" fillId="0" borderId="8" xfId="3620" applyNumberFormat="1" applyBorder="1" applyAlignment="1">
      <alignment horizontal="center" vertical="center" wrapText="1"/>
    </xf>
    <xf numFmtId="0" fontId="13" fillId="0" borderId="92" xfId="3597" applyBorder="1" applyAlignment="1">
      <alignment horizontal="left" vertical="top" wrapText="1"/>
    </xf>
    <xf numFmtId="0" fontId="13" fillId="0" borderId="3" xfId="3597" applyBorder="1" applyAlignment="1">
      <alignment horizontal="left" vertical="top" wrapText="1"/>
    </xf>
    <xf numFmtId="0" fontId="13" fillId="0" borderId="2" xfId="3597" applyBorder="1" applyAlignment="1">
      <alignment horizontal="left" vertical="top" wrapText="1"/>
    </xf>
    <xf numFmtId="0" fontId="7" fillId="0" borderId="4" xfId="3597" applyFont="1" applyBorder="1" applyAlignment="1">
      <alignment horizontal="center"/>
    </xf>
    <xf numFmtId="0" fontId="7" fillId="0" borderId="0" xfId="3597" applyFont="1" applyAlignment="1">
      <alignment horizontal="center"/>
    </xf>
    <xf numFmtId="0" fontId="7" fillId="0" borderId="5" xfId="3597" applyFont="1" applyBorder="1" applyAlignment="1">
      <alignment horizontal="center"/>
    </xf>
    <xf numFmtId="0" fontId="10" fillId="0" borderId="80" xfId="3597" applyFont="1" applyBorder="1" applyAlignment="1">
      <alignment horizontal="center" vertical="top" wrapText="1"/>
    </xf>
    <xf numFmtId="0" fontId="15" fillId="0" borderId="92" xfId="3597" applyFont="1" applyBorder="1" applyAlignment="1">
      <alignment horizontal="center" vertical="top" wrapText="1"/>
    </xf>
    <xf numFmtId="0" fontId="15" fillId="0" borderId="3" xfId="3597" applyFont="1" applyBorder="1" applyAlignment="1">
      <alignment horizontal="center" vertical="top" wrapText="1"/>
    </xf>
    <xf numFmtId="0" fontId="15" fillId="0" borderId="2" xfId="3597" applyFont="1" applyBorder="1" applyAlignment="1">
      <alignment horizontal="center" vertical="top" wrapText="1"/>
    </xf>
    <xf numFmtId="0" fontId="5" fillId="0" borderId="94" xfId="3620" applyFont="1" applyBorder="1" applyAlignment="1">
      <alignment horizontal="left" vertical="top" wrapText="1"/>
    </xf>
    <xf numFmtId="0" fontId="15" fillId="0" borderId="4" xfId="3597" applyFont="1" applyBorder="1" applyAlignment="1">
      <alignment horizontal="center" vertical="top" wrapText="1"/>
    </xf>
    <xf numFmtId="0" fontId="15" fillId="0" borderId="0" xfId="3597" applyFont="1" applyAlignment="1">
      <alignment horizontal="center" vertical="top" wrapText="1"/>
    </xf>
    <xf numFmtId="0" fontId="15" fillId="0" borderId="5" xfId="3597" applyFont="1" applyBorder="1" applyAlignment="1">
      <alignment horizontal="center" vertical="top" wrapText="1"/>
    </xf>
    <xf numFmtId="0" fontId="7" fillId="0" borderId="4" xfId="3620" applyFont="1" applyBorder="1" applyAlignment="1">
      <alignment horizontal="center" vertical="center" wrapText="1"/>
    </xf>
    <xf numFmtId="0" fontId="7" fillId="0" borderId="0" xfId="3620" applyFont="1" applyAlignment="1">
      <alignment horizontal="center" vertical="center" wrapText="1"/>
    </xf>
    <xf numFmtId="0" fontId="7" fillId="0" borderId="5" xfId="3620" applyFont="1" applyBorder="1" applyAlignment="1">
      <alignment horizontal="center" vertical="center" wrapText="1"/>
    </xf>
    <xf numFmtId="0" fontId="5" fillId="0" borderId="18" xfId="3597" applyFont="1" applyBorder="1" applyAlignment="1">
      <alignment horizontal="center" vertical="top" wrapText="1"/>
    </xf>
    <xf numFmtId="0" fontId="13" fillId="0" borderId="4" xfId="3620" applyBorder="1" applyAlignment="1">
      <alignment horizontal="left" vertical="top" wrapText="1"/>
    </xf>
    <xf numFmtId="0" fontId="13" fillId="0" borderId="0" xfId="3620" applyAlignment="1">
      <alignment horizontal="left" vertical="top" wrapText="1"/>
    </xf>
    <xf numFmtId="0" fontId="13" fillId="0" borderId="5" xfId="3620" applyBorder="1" applyAlignment="1">
      <alignment horizontal="left" vertical="top" wrapText="1"/>
    </xf>
    <xf numFmtId="0" fontId="13" fillId="0" borderId="18" xfId="3620" applyBorder="1" applyAlignment="1">
      <alignment horizontal="left" wrapText="1"/>
    </xf>
    <xf numFmtId="0" fontId="5" fillId="0" borderId="20" xfId="3597" applyFont="1" applyBorder="1" applyAlignment="1">
      <alignment horizontal="center" vertical="top" wrapText="1"/>
    </xf>
    <xf numFmtId="0" fontId="3" fillId="0" borderId="4" xfId="3597" applyFont="1" applyBorder="1" applyAlignment="1">
      <alignment horizontal="center" vertical="top"/>
    </xf>
    <xf numFmtId="0" fontId="3" fillId="0" borderId="0" xfId="3597" applyFont="1" applyAlignment="1">
      <alignment horizontal="center" vertical="top"/>
    </xf>
    <xf numFmtId="0" fontId="3" fillId="0" borderId="5" xfId="3597" applyFont="1" applyBorder="1" applyAlignment="1">
      <alignment horizontal="center" vertical="top"/>
    </xf>
    <xf numFmtId="14" fontId="7" fillId="0" borderId="7" xfId="3597" applyNumberFormat="1" applyFont="1" applyBorder="1" applyAlignment="1">
      <alignment horizontal="center" vertical="center"/>
    </xf>
    <xf numFmtId="14" fontId="7" fillId="0" borderId="8" xfId="3597" applyNumberFormat="1" applyFont="1" applyBorder="1" applyAlignment="1">
      <alignment horizontal="center" vertical="center"/>
    </xf>
    <xf numFmtId="0" fontId="1" fillId="0" borderId="4" xfId="3597" applyFont="1" applyBorder="1" applyAlignment="1">
      <alignment horizontal="center" vertical="top"/>
    </xf>
    <xf numFmtId="0" fontId="1" fillId="0" borderId="0" xfId="3597" applyFont="1" applyAlignment="1">
      <alignment horizontal="center" vertical="top"/>
    </xf>
    <xf numFmtId="0" fontId="168" fillId="0" borderId="0" xfId="3597" applyFont="1" applyAlignment="1">
      <alignment horizontal="center" vertical="top"/>
    </xf>
    <xf numFmtId="0" fontId="168" fillId="0" borderId="5" xfId="3597" applyFont="1" applyBorder="1" applyAlignment="1">
      <alignment horizontal="center" vertical="top"/>
    </xf>
    <xf numFmtId="0" fontId="3" fillId="0" borderId="6" xfId="3597" applyFont="1" applyBorder="1" applyAlignment="1">
      <alignment horizontal="center" vertical="center"/>
    </xf>
    <xf numFmtId="0" fontId="3" fillId="0" borderId="7" xfId="3597" applyFont="1" applyBorder="1" applyAlignment="1">
      <alignment horizontal="center" vertical="center"/>
    </xf>
    <xf numFmtId="0" fontId="199" fillId="0" borderId="14" xfId="2720" applyFont="1" applyBorder="1" applyAlignment="1">
      <alignment horizontal="center" vertical="center" wrapText="1"/>
    </xf>
    <xf numFmtId="0" fontId="199" fillId="0" borderId="14" xfId="3597" applyFont="1" applyBorder="1" applyAlignment="1">
      <alignment horizontal="center" vertical="center" wrapText="1"/>
    </xf>
    <xf numFmtId="0" fontId="34" fillId="0" borderId="14" xfId="2720" applyFont="1" applyBorder="1" applyAlignment="1">
      <alignment horizontal="center" vertical="center" wrapText="1"/>
    </xf>
    <xf numFmtId="0" fontId="34" fillId="0" borderId="14" xfId="3597" applyFont="1" applyBorder="1" applyAlignment="1">
      <alignment horizontal="center" vertical="center" wrapText="1"/>
    </xf>
    <xf numFmtId="0" fontId="1" fillId="0" borderId="89" xfId="3597" applyFont="1" applyBorder="1" applyAlignment="1">
      <alignment horizontal="center" vertical="top" wrapText="1"/>
    </xf>
    <xf numFmtId="0" fontId="1" fillId="0" borderId="90" xfId="3597" applyFont="1" applyBorder="1" applyAlignment="1">
      <alignment horizontal="center" vertical="top" wrapText="1"/>
    </xf>
    <xf numFmtId="0" fontId="1" fillId="0" borderId="88" xfId="3597" applyFont="1" applyBorder="1" applyAlignment="1">
      <alignment horizontal="center" vertical="top" wrapText="1"/>
    </xf>
    <xf numFmtId="0" fontId="6" fillId="38" borderId="92" xfId="3597" applyFont="1" applyFill="1" applyBorder="1" applyAlignment="1">
      <alignment horizontal="left" vertical="top" wrapText="1"/>
    </xf>
    <xf numFmtId="0" fontId="6" fillId="38" borderId="3" xfId="3597" applyFont="1" applyFill="1" applyBorder="1" applyAlignment="1">
      <alignment horizontal="left" vertical="top" wrapText="1"/>
    </xf>
    <xf numFmtId="0" fontId="1" fillId="0" borderId="6" xfId="3597" applyFont="1" applyBorder="1" applyAlignment="1">
      <alignment horizontal="left" vertical="top" wrapText="1"/>
    </xf>
    <xf numFmtId="0" fontId="6" fillId="0" borderId="7" xfId="3597" applyFont="1" applyBorder="1" applyAlignment="1">
      <alignment horizontal="left" vertical="top" wrapText="1"/>
    </xf>
    <xf numFmtId="0" fontId="13" fillId="0" borderId="7" xfId="3597" applyBorder="1" applyAlignment="1">
      <alignment horizontal="left" vertical="top" wrapText="1"/>
    </xf>
    <xf numFmtId="0" fontId="13" fillId="0" borderId="8" xfId="3597" applyBorder="1" applyAlignment="1">
      <alignment horizontal="left" vertical="top" wrapText="1"/>
    </xf>
    <xf numFmtId="0" fontId="7" fillId="0" borderId="4" xfId="3597" applyFont="1" applyBorder="1" applyAlignment="1">
      <alignment horizontal="center" vertical="center" wrapText="1"/>
    </xf>
    <xf numFmtId="0" fontId="7" fillId="0" borderId="0" xfId="3597" applyFont="1" applyAlignment="1">
      <alignment horizontal="center" vertical="center" wrapText="1"/>
    </xf>
    <xf numFmtId="0" fontId="6" fillId="0" borderId="4" xfId="3597" applyFont="1" applyBorder="1" applyAlignment="1">
      <alignment horizontal="left" vertical="top"/>
    </xf>
    <xf numFmtId="0" fontId="6" fillId="0" borderId="0" xfId="3597" applyFont="1" applyAlignment="1">
      <alignment horizontal="left" vertical="top"/>
    </xf>
    <xf numFmtId="0" fontId="6" fillId="0" borderId="5" xfId="3597" applyFont="1" applyBorder="1" applyAlignment="1">
      <alignment horizontal="left" vertical="top"/>
    </xf>
    <xf numFmtId="0" fontId="6" fillId="0" borderId="4" xfId="3597" applyFont="1" applyBorder="1" applyAlignment="1">
      <alignment horizontal="left"/>
    </xf>
    <xf numFmtId="0" fontId="6" fillId="0" borderId="0" xfId="3597" applyFont="1" applyAlignment="1">
      <alignment horizontal="left"/>
    </xf>
    <xf numFmtId="0" fontId="6" fillId="0" borderId="5" xfId="3597" applyFont="1" applyBorder="1" applyAlignment="1">
      <alignment horizontal="left"/>
    </xf>
    <xf numFmtId="0" fontId="168" fillId="0" borderId="6" xfId="3597" applyFont="1" applyBorder="1" applyAlignment="1">
      <alignment horizontal="center" vertical="center"/>
    </xf>
    <xf numFmtId="0" fontId="168" fillId="0" borderId="7" xfId="3597" applyFont="1" applyBorder="1" applyAlignment="1">
      <alignment horizontal="center" vertical="center"/>
    </xf>
    <xf numFmtId="0" fontId="168" fillId="0" borderId="8" xfId="3597" applyFont="1" applyBorder="1" applyAlignment="1">
      <alignment horizontal="center" vertical="center"/>
    </xf>
    <xf numFmtId="0" fontId="1" fillId="0" borderId="6" xfId="3597" applyFont="1" applyBorder="1" applyAlignment="1">
      <alignment horizontal="left" vertical="center" wrapText="1"/>
    </xf>
    <xf numFmtId="0" fontId="10" fillId="0" borderId="7" xfId="3597" applyFont="1" applyBorder="1" applyAlignment="1">
      <alignment horizontal="left" vertical="center" wrapText="1"/>
    </xf>
    <xf numFmtId="0" fontId="10" fillId="0" borderId="8" xfId="3597" applyFont="1" applyBorder="1" applyAlignment="1">
      <alignment horizontal="left" vertical="center" wrapText="1"/>
    </xf>
    <xf numFmtId="0" fontId="1" fillId="0" borderId="4" xfId="3597" applyFont="1" applyBorder="1" applyAlignment="1">
      <alignment vertical="center" wrapText="1"/>
    </xf>
    <xf numFmtId="0" fontId="1" fillId="0" borderId="0" xfId="3597" applyFont="1" applyAlignment="1">
      <alignment vertical="center" wrapText="1"/>
    </xf>
    <xf numFmtId="0" fontId="1" fillId="0" borderId="5" xfId="3597" applyFont="1" applyBorder="1" applyAlignment="1">
      <alignment vertical="center" wrapText="1"/>
    </xf>
    <xf numFmtId="0" fontId="168" fillId="0" borderId="4" xfId="3597" applyFont="1" applyBorder="1" applyAlignment="1">
      <alignment horizontal="center" vertical="center" wrapText="1"/>
    </xf>
    <xf numFmtId="0" fontId="168" fillId="0" borderId="0" xfId="3597" applyFont="1" applyAlignment="1">
      <alignment horizontal="center" vertical="center" wrapText="1"/>
    </xf>
    <xf numFmtId="0" fontId="168" fillId="0" borderId="5" xfId="3597" applyFont="1" applyBorder="1" applyAlignment="1">
      <alignment horizontal="center" vertical="center" wrapText="1"/>
    </xf>
    <xf numFmtId="0" fontId="168" fillId="0" borderId="6" xfId="3597" applyFont="1" applyBorder="1" applyAlignment="1">
      <alignment horizontal="center" vertical="center" wrapText="1"/>
    </xf>
    <xf numFmtId="0" fontId="168" fillId="0" borderId="7" xfId="3597" applyFont="1" applyBorder="1" applyAlignment="1">
      <alignment horizontal="center" vertical="center" wrapText="1"/>
    </xf>
    <xf numFmtId="0" fontId="168" fillId="0" borderId="8" xfId="3597" applyFont="1" applyBorder="1" applyAlignment="1">
      <alignment horizontal="center" vertical="center" wrapText="1"/>
    </xf>
    <xf numFmtId="0" fontId="13" fillId="0" borderId="3" xfId="3597" applyBorder="1" applyAlignment="1">
      <alignment vertical="top" wrapText="1"/>
    </xf>
    <xf numFmtId="0" fontId="13" fillId="0" borderId="2" xfId="3597" applyBorder="1" applyAlignment="1">
      <alignment vertical="top" wrapText="1"/>
    </xf>
    <xf numFmtId="0" fontId="1" fillId="0" borderId="4" xfId="3597" applyFont="1" applyBorder="1" applyAlignment="1">
      <alignment horizontal="left" vertical="top" wrapText="1"/>
    </xf>
    <xf numFmtId="0" fontId="1" fillId="0" borderId="0" xfId="3597" applyFont="1" applyAlignment="1">
      <alignment horizontal="left" vertical="top" wrapText="1"/>
    </xf>
    <xf numFmtId="0" fontId="168" fillId="0" borderId="4" xfId="3597" applyFont="1" applyBorder="1" applyAlignment="1">
      <alignment horizontal="center" vertical="top"/>
    </xf>
    <xf numFmtId="0" fontId="168" fillId="0" borderId="4" xfId="3597" applyFont="1" applyBorder="1" applyAlignment="1">
      <alignment horizontal="center"/>
    </xf>
    <xf numFmtId="0" fontId="168" fillId="0" borderId="0" xfId="3597" applyFont="1" applyAlignment="1">
      <alignment horizontal="center"/>
    </xf>
    <xf numFmtId="0" fontId="168" fillId="0" borderId="5" xfId="3597" applyFont="1" applyBorder="1" applyAlignment="1">
      <alignment horizontal="center"/>
    </xf>
    <xf numFmtId="0" fontId="10" fillId="0" borderId="92" xfId="3597" applyFont="1" applyBorder="1" applyAlignment="1">
      <alignment horizontal="center" vertical="top" wrapText="1"/>
    </xf>
    <xf numFmtId="0" fontId="10" fillId="0" borderId="2" xfId="3597" applyFont="1" applyBorder="1" applyAlignment="1">
      <alignment horizontal="center" vertical="top" wrapText="1"/>
    </xf>
    <xf numFmtId="0" fontId="10" fillId="0" borderId="4" xfId="3597" applyFont="1" applyBorder="1" applyAlignment="1">
      <alignment horizontal="center" vertical="top" wrapText="1"/>
    </xf>
    <xf numFmtId="0" fontId="10" fillId="0" borderId="5" xfId="3597" applyFont="1" applyBorder="1" applyAlignment="1">
      <alignment horizontal="center" vertical="top" wrapText="1"/>
    </xf>
    <xf numFmtId="0" fontId="10" fillId="0" borderId="6" xfId="3597" applyFont="1" applyBorder="1" applyAlignment="1">
      <alignment horizontal="center" vertical="top" wrapText="1"/>
    </xf>
    <xf numFmtId="0" fontId="10" fillId="0" borderId="8" xfId="3597" applyFont="1" applyBorder="1" applyAlignment="1">
      <alignment horizontal="center" vertical="top" wrapText="1"/>
    </xf>
    <xf numFmtId="0" fontId="168" fillId="0" borderId="4" xfId="3597" applyFont="1" applyBorder="1" applyAlignment="1">
      <alignment horizontal="center" vertical="top" wrapText="1"/>
    </xf>
    <xf numFmtId="0" fontId="168" fillId="0" borderId="5" xfId="3597" applyFont="1" applyBorder="1" applyAlignment="1">
      <alignment horizontal="center" vertical="top" wrapText="1"/>
    </xf>
    <xf numFmtId="0" fontId="198" fillId="0" borderId="4" xfId="3597" applyFont="1" applyBorder="1" applyAlignment="1">
      <alignment horizontal="center" vertical="center" wrapText="1"/>
    </xf>
    <xf numFmtId="0" fontId="198" fillId="0" borderId="0" xfId="3597" applyFont="1" applyAlignment="1">
      <alignment horizontal="center" vertical="center" wrapText="1"/>
    </xf>
    <xf numFmtId="0" fontId="198" fillId="0" borderId="5" xfId="3597" applyFont="1" applyBorder="1" applyAlignment="1">
      <alignment horizontal="center" vertical="center" wrapText="1"/>
    </xf>
    <xf numFmtId="0" fontId="5" fillId="0" borderId="4" xfId="3597" applyFont="1" applyBorder="1" applyAlignment="1">
      <alignment horizontal="center" vertical="center" wrapText="1"/>
    </xf>
    <xf numFmtId="0" fontId="5" fillId="0" borderId="0" xfId="3597" applyFont="1" applyAlignment="1">
      <alignment horizontal="center" vertical="center" wrapText="1"/>
    </xf>
    <xf numFmtId="0" fontId="5" fillId="0" borderId="5" xfId="3597" applyFont="1" applyBorder="1" applyAlignment="1">
      <alignment horizontal="center" vertical="center" wrapText="1"/>
    </xf>
    <xf numFmtId="0" fontId="5" fillId="0" borderId="6" xfId="3597" applyFont="1" applyBorder="1" applyAlignment="1">
      <alignment horizontal="center" vertical="center" wrapText="1"/>
    </xf>
    <xf numFmtId="0" fontId="5" fillId="0" borderId="7" xfId="3597" applyFont="1" applyBorder="1" applyAlignment="1">
      <alignment horizontal="center" vertical="center" wrapText="1"/>
    </xf>
    <xf numFmtId="0" fontId="5" fillId="0" borderId="8" xfId="3597" applyFont="1" applyBorder="1" applyAlignment="1">
      <alignment horizontal="center" vertical="center" wrapText="1"/>
    </xf>
    <xf numFmtId="14" fontId="168" fillId="0" borderId="6" xfId="3597" applyNumberFormat="1" applyFont="1" applyBorder="1" applyAlignment="1">
      <alignment horizontal="center" wrapText="1"/>
    </xf>
    <xf numFmtId="0" fontId="168" fillId="0" borderId="8" xfId="3597" applyFont="1" applyBorder="1" applyAlignment="1">
      <alignment horizontal="center" wrapText="1"/>
    </xf>
    <xf numFmtId="0" fontId="6" fillId="0" borderId="92" xfId="3620" applyFont="1" applyBorder="1" applyAlignment="1">
      <alignment horizontal="left" vertical="top" wrapText="1"/>
    </xf>
    <xf numFmtId="0" fontId="6" fillId="0" borderId="3" xfId="3620" applyFont="1" applyBorder="1" applyAlignment="1">
      <alignment horizontal="left" vertical="top" wrapText="1"/>
    </xf>
    <xf numFmtId="0" fontId="6" fillId="0" borderId="2" xfId="3620" applyFont="1" applyBorder="1" applyAlignment="1">
      <alignment horizontal="left" vertical="top" wrapText="1"/>
    </xf>
    <xf numFmtId="0" fontId="6" fillId="0" borderId="4" xfId="3620" applyFont="1" applyBorder="1" applyAlignment="1">
      <alignment horizontal="left" vertical="top" wrapText="1"/>
    </xf>
    <xf numFmtId="0" fontId="6" fillId="0" borderId="0" xfId="3620" applyFont="1" applyAlignment="1">
      <alignment horizontal="left" vertical="top" wrapText="1"/>
    </xf>
    <xf numFmtId="0" fontId="6" fillId="0" borderId="5" xfId="3620" applyFont="1" applyBorder="1" applyAlignment="1">
      <alignment horizontal="left" vertical="top" wrapText="1"/>
    </xf>
    <xf numFmtId="0" fontId="10" fillId="0" borderId="80" xfId="3620" applyFont="1" applyBorder="1" applyAlignment="1">
      <alignment horizontal="center" vertical="top" wrapText="1"/>
    </xf>
    <xf numFmtId="0" fontId="15" fillId="0" borderId="92" xfId="3620" applyFont="1" applyBorder="1" applyAlignment="1">
      <alignment horizontal="center" vertical="top" wrapText="1"/>
    </xf>
    <xf numFmtId="0" fontId="15" fillId="0" borderId="3" xfId="3620" applyFont="1" applyBorder="1" applyAlignment="1">
      <alignment horizontal="center" vertical="top" wrapText="1"/>
    </xf>
    <xf numFmtId="0" fontId="15" fillId="0" borderId="2" xfId="3620" applyFont="1" applyBorder="1" applyAlignment="1">
      <alignment horizontal="center" vertical="top" wrapText="1"/>
    </xf>
    <xf numFmtId="0" fontId="15" fillId="0" borderId="4" xfId="3620" applyFont="1" applyBorder="1" applyAlignment="1">
      <alignment horizontal="center" vertical="top" wrapText="1"/>
    </xf>
    <xf numFmtId="0" fontId="15" fillId="0" borderId="0" xfId="3620" applyFont="1" applyAlignment="1">
      <alignment horizontal="center" vertical="top" wrapText="1"/>
    </xf>
    <xf numFmtId="0" fontId="15" fillId="0" borderId="5" xfId="3620" applyFont="1" applyBorder="1" applyAlignment="1">
      <alignment horizontal="center" vertical="top" wrapText="1"/>
    </xf>
    <xf numFmtId="0" fontId="5" fillId="0" borderId="18" xfId="3620" applyFont="1" applyBorder="1" applyAlignment="1">
      <alignment horizontal="center" vertical="top" wrapText="1"/>
    </xf>
    <xf numFmtId="0" fontId="1" fillId="0" borderId="18" xfId="3620" applyFont="1" applyBorder="1" applyAlignment="1">
      <alignment horizontal="left" wrapText="1"/>
    </xf>
    <xf numFmtId="0" fontId="5" fillId="0" borderId="18" xfId="3620" applyFont="1" applyBorder="1" applyAlignment="1">
      <alignment horizontal="left" wrapText="1"/>
    </xf>
    <xf numFmtId="0" fontId="5" fillId="0" borderId="20" xfId="3620" applyFont="1" applyBorder="1" applyAlignment="1">
      <alignment horizontal="center" vertical="top" wrapText="1"/>
    </xf>
    <xf numFmtId="0" fontId="6" fillId="0" borderId="94" xfId="3620" applyFont="1" applyBorder="1" applyAlignment="1">
      <alignment horizontal="left" vertical="top" wrapText="1"/>
    </xf>
    <xf numFmtId="0" fontId="6" fillId="0" borderId="6" xfId="3620" applyFont="1" applyBorder="1" applyAlignment="1">
      <alignment horizontal="left" vertical="top" wrapText="1"/>
    </xf>
    <xf numFmtId="0" fontId="6" fillId="0" borderId="7" xfId="3620" applyFont="1" applyBorder="1" applyAlignment="1">
      <alignment horizontal="left" vertical="top" wrapText="1"/>
    </xf>
    <xf numFmtId="0" fontId="6" fillId="0" borderId="8" xfId="3620" applyFont="1" applyBorder="1" applyAlignment="1">
      <alignment horizontal="left" vertical="top" wrapText="1"/>
    </xf>
    <xf numFmtId="0" fontId="13" fillId="0" borderId="6" xfId="3620" applyBorder="1" applyAlignment="1">
      <alignment horizontal="left" vertical="top" wrapText="1"/>
    </xf>
    <xf numFmtId="0" fontId="13" fillId="0" borderId="7" xfId="3620" applyBorder="1" applyAlignment="1">
      <alignment horizontal="left" vertical="top" wrapText="1"/>
    </xf>
    <xf numFmtId="0" fontId="13" fillId="0" borderId="8" xfId="3620" applyBorder="1" applyAlignment="1">
      <alignment horizontal="left" vertical="top" wrapText="1"/>
    </xf>
    <xf numFmtId="0" fontId="6" fillId="0" borderId="6" xfId="3620" applyFont="1" applyBorder="1" applyAlignment="1">
      <alignment horizontal="center" vertical="top" wrapText="1"/>
    </xf>
    <xf numFmtId="0" fontId="6" fillId="0" borderId="7" xfId="3620" applyFont="1" applyBorder="1" applyAlignment="1">
      <alignment horizontal="center" vertical="top" wrapText="1"/>
    </xf>
    <xf numFmtId="0" fontId="6" fillId="0" borderId="8" xfId="3620" applyFont="1" applyBorder="1" applyAlignment="1">
      <alignment horizontal="center" vertical="top" wrapText="1"/>
    </xf>
    <xf numFmtId="0" fontId="1" fillId="0" borderId="20" xfId="3620" applyFont="1" applyBorder="1" applyAlignment="1">
      <alignment horizontal="left" vertical="top" wrapText="1"/>
    </xf>
    <xf numFmtId="0" fontId="13" fillId="0" borderId="80" xfId="3620" applyBorder="1" applyAlignment="1">
      <alignment horizontal="center" vertical="top" wrapText="1"/>
    </xf>
    <xf numFmtId="0" fontId="3" fillId="0" borderId="80" xfId="3620" applyFont="1" applyBorder="1" applyAlignment="1">
      <alignment horizontal="center" vertical="top" wrapText="1"/>
    </xf>
    <xf numFmtId="0" fontId="1" fillId="0" borderId="94" xfId="3620" applyFont="1" applyBorder="1" applyAlignment="1">
      <alignment horizontal="center" vertical="center" wrapText="1"/>
    </xf>
    <xf numFmtId="0" fontId="1" fillId="0" borderId="20" xfId="3620" applyFont="1" applyBorder="1" applyAlignment="1">
      <alignment horizontal="center" vertical="center" wrapText="1"/>
    </xf>
    <xf numFmtId="0" fontId="3" fillId="0" borderId="88" xfId="3620" applyFont="1" applyBorder="1" applyAlignment="1">
      <alignment horizontal="center" vertical="top" wrapText="1"/>
    </xf>
    <xf numFmtId="0" fontId="3" fillId="0" borderId="89" xfId="3620" applyFont="1" applyBorder="1" applyAlignment="1">
      <alignment horizontal="center" vertical="top" wrapText="1"/>
    </xf>
    <xf numFmtId="0" fontId="3" fillId="0" borderId="90" xfId="3620" applyFont="1" applyBorder="1" applyAlignment="1">
      <alignment horizontal="center" vertical="top" wrapText="1"/>
    </xf>
    <xf numFmtId="0" fontId="13" fillId="0" borderId="88" xfId="3620" applyBorder="1" applyAlignment="1">
      <alignment horizontal="center" vertical="center" wrapText="1"/>
    </xf>
    <xf numFmtId="0" fontId="13" fillId="0" borderId="89" xfId="3620" applyBorder="1" applyAlignment="1">
      <alignment horizontal="center" vertical="center" wrapText="1"/>
    </xf>
    <xf numFmtId="0" fontId="13" fillId="0" borderId="90" xfId="3620" applyBorder="1" applyAlignment="1">
      <alignment horizontal="center" vertical="center" wrapText="1"/>
    </xf>
    <xf numFmtId="0" fontId="13" fillId="0" borderId="99" xfId="3620" applyBorder="1" applyAlignment="1">
      <alignment horizontal="center" vertical="center" wrapText="1"/>
    </xf>
    <xf numFmtId="222" fontId="213" fillId="2" borderId="95" xfId="3622" applyNumberFormat="1" applyFill="1" applyBorder="1" applyAlignment="1">
      <alignment horizontal="center" vertical="center" wrapText="1"/>
    </xf>
    <xf numFmtId="222" fontId="213" fillId="2" borderId="101" xfId="3622" applyNumberFormat="1" applyFill="1" applyBorder="1" applyAlignment="1">
      <alignment horizontal="center" vertical="center" wrapText="1"/>
    </xf>
    <xf numFmtId="222" fontId="213" fillId="2" borderId="96" xfId="3622" applyNumberFormat="1" applyFill="1" applyBorder="1" applyAlignment="1">
      <alignment horizontal="center" vertical="center" wrapText="1"/>
    </xf>
    <xf numFmtId="222" fontId="213" fillId="2" borderId="95" xfId="3622" applyNumberFormat="1" applyFill="1" applyBorder="1" applyAlignment="1">
      <alignment horizontal="center" vertical="center"/>
    </xf>
    <xf numFmtId="222" fontId="213" fillId="2" borderId="96" xfId="3622" applyNumberFormat="1" applyFill="1" applyBorder="1" applyAlignment="1">
      <alignment horizontal="center" vertical="center"/>
    </xf>
    <xf numFmtId="0" fontId="13" fillId="0" borderId="92" xfId="3620" applyBorder="1" applyAlignment="1">
      <alignment horizontal="center" vertical="center" wrapText="1"/>
    </xf>
    <xf numFmtId="0" fontId="13" fillId="0" borderId="3" xfId="3620" applyBorder="1" applyAlignment="1">
      <alignment horizontal="center" vertical="center" wrapText="1"/>
    </xf>
    <xf numFmtId="0" fontId="13" fillId="0" borderId="2" xfId="3620" applyBorder="1" applyAlignment="1">
      <alignment horizontal="center" vertical="center" wrapText="1"/>
    </xf>
    <xf numFmtId="0" fontId="13" fillId="0" borderId="4" xfId="3620" applyBorder="1" applyAlignment="1">
      <alignment horizontal="center" vertical="center" wrapText="1"/>
    </xf>
    <xf numFmtId="0" fontId="13" fillId="0" borderId="0" xfId="3620" applyAlignment="1">
      <alignment horizontal="center" vertical="center" wrapText="1"/>
    </xf>
    <xf numFmtId="0" fontId="13" fillId="0" borderId="5" xfId="3620" applyBorder="1" applyAlignment="1">
      <alignment horizontal="center" vertical="center" wrapText="1"/>
    </xf>
    <xf numFmtId="0" fontId="13" fillId="0" borderId="6" xfId="3620" applyBorder="1" applyAlignment="1">
      <alignment horizontal="center" vertical="center" wrapText="1"/>
    </xf>
    <xf numFmtId="0" fontId="13" fillId="0" borderId="7" xfId="3620" applyBorder="1" applyAlignment="1">
      <alignment horizontal="center" vertical="center" wrapText="1"/>
    </xf>
    <xf numFmtId="0" fontId="13" fillId="0" borderId="8" xfId="3620" applyBorder="1" applyAlignment="1">
      <alignment horizontal="center" vertical="center" wrapText="1"/>
    </xf>
    <xf numFmtId="0" fontId="13" fillId="0" borderId="15" xfId="3620" applyBorder="1" applyAlignment="1">
      <alignment horizontal="center" vertical="center" wrapText="1"/>
    </xf>
    <xf numFmtId="0" fontId="13" fillId="0" borderId="19" xfId="3620" applyBorder="1" applyAlignment="1">
      <alignment horizontal="center" vertical="center" wrapText="1"/>
    </xf>
    <xf numFmtId="222" fontId="213" fillId="2" borderId="15" xfId="3622" applyNumberFormat="1" applyFill="1" applyBorder="1" applyAlignment="1">
      <alignment horizontal="center" vertical="center" wrapText="1"/>
    </xf>
    <xf numFmtId="222" fontId="213" fillId="2" borderId="16" xfId="3622" applyNumberFormat="1" applyFill="1" applyBorder="1" applyAlignment="1">
      <alignment horizontal="center" vertical="center" wrapText="1"/>
    </xf>
    <xf numFmtId="222" fontId="213" fillId="2" borderId="19" xfId="3622" applyNumberFormat="1" applyFill="1" applyBorder="1" applyAlignment="1">
      <alignment horizontal="center" vertical="center" wrapText="1"/>
    </xf>
    <xf numFmtId="222" fontId="213" fillId="2" borderId="15" xfId="3622" applyNumberFormat="1" applyFill="1" applyBorder="1" applyAlignment="1">
      <alignment horizontal="center" vertical="center"/>
    </xf>
    <xf numFmtId="222" fontId="213" fillId="2" borderId="19" xfId="3622" applyNumberFormat="1" applyFill="1" applyBorder="1" applyAlignment="1">
      <alignment horizontal="center" vertical="center"/>
    </xf>
    <xf numFmtId="0" fontId="13" fillId="0" borderId="14" xfId="3620" applyBorder="1" applyAlignment="1">
      <alignment horizontal="center" vertical="center" wrapText="1"/>
    </xf>
    <xf numFmtId="0" fontId="13" fillId="0" borderId="18" xfId="3620" applyBorder="1" applyAlignment="1">
      <alignment horizontal="center" vertical="center" wrapText="1"/>
    </xf>
    <xf numFmtId="222" fontId="213" fillId="2" borderId="4" xfId="3622" applyNumberFormat="1" applyFill="1" applyBorder="1" applyAlignment="1">
      <alignment horizontal="center" vertical="center" wrapText="1"/>
    </xf>
    <xf numFmtId="222" fontId="213" fillId="2" borderId="0" xfId="3622" applyNumberFormat="1" applyFill="1" applyAlignment="1">
      <alignment horizontal="center" vertical="center" wrapText="1"/>
    </xf>
    <xf numFmtId="222" fontId="213" fillId="2" borderId="5" xfId="3622" applyNumberFormat="1" applyFill="1" applyBorder="1" applyAlignment="1">
      <alignment horizontal="center" vertical="center" wrapText="1"/>
    </xf>
    <xf numFmtId="0" fontId="13" fillId="0" borderId="134" xfId="3620" applyBorder="1" applyAlignment="1">
      <alignment horizontal="center" vertical="center" wrapText="1"/>
    </xf>
    <xf numFmtId="222" fontId="213" fillId="2" borderId="109" xfId="3622" applyNumberFormat="1" applyFill="1" applyBorder="1" applyAlignment="1">
      <alignment horizontal="center" vertical="center" wrapText="1"/>
    </xf>
    <xf numFmtId="222" fontId="213" fillId="2" borderId="52" xfId="3622" applyNumberFormat="1" applyFill="1" applyBorder="1" applyAlignment="1">
      <alignment horizontal="center" vertical="center" wrapText="1"/>
    </xf>
    <xf numFmtId="222" fontId="213" fillId="2" borderId="110" xfId="3622" applyNumberFormat="1" applyFill="1" applyBorder="1" applyAlignment="1">
      <alignment horizontal="center" vertical="center" wrapText="1"/>
    </xf>
    <xf numFmtId="0" fontId="10" fillId="0" borderId="88" xfId="3620" applyFont="1" applyBorder="1" applyAlignment="1">
      <alignment horizontal="left" vertical="center" wrapText="1"/>
    </xf>
    <xf numFmtId="0" fontId="10" fillId="0" borderId="89" xfId="3620" applyFont="1" applyBorder="1" applyAlignment="1">
      <alignment horizontal="left" vertical="center" wrapText="1"/>
    </xf>
    <xf numFmtId="0" fontId="10" fillId="0" borderId="7" xfId="3620" applyFont="1" applyBorder="1" applyAlignment="1">
      <alignment horizontal="left" vertical="center" wrapText="1"/>
    </xf>
    <xf numFmtId="0" fontId="10" fillId="0" borderId="90" xfId="3620" applyFont="1" applyBorder="1" applyAlignment="1">
      <alignment horizontal="left" vertical="center" wrapText="1"/>
    </xf>
    <xf numFmtId="0" fontId="7" fillId="0" borderId="92" xfId="3620" applyFont="1" applyBorder="1" applyAlignment="1">
      <alignment horizontal="left" vertical="top"/>
    </xf>
    <xf numFmtId="0" fontId="7" fillId="0" borderId="3" xfId="3620" applyFont="1" applyBorder="1" applyAlignment="1">
      <alignment horizontal="left" vertical="top"/>
    </xf>
    <xf numFmtId="0" fontId="7" fillId="0" borderId="2" xfId="3620" applyFont="1" applyBorder="1" applyAlignment="1">
      <alignment horizontal="left" vertical="top"/>
    </xf>
    <xf numFmtId="0" fontId="7" fillId="0" borderId="94" xfId="3620" applyFont="1" applyBorder="1" applyAlignment="1">
      <alignment horizontal="left" vertical="top"/>
    </xf>
    <xf numFmtId="0" fontId="3" fillId="0" borderId="4" xfId="3620" applyFont="1" applyBorder="1" applyAlignment="1">
      <alignment horizontal="left" vertical="top"/>
    </xf>
    <xf numFmtId="0" fontId="3" fillId="0" borderId="0" xfId="3620" applyFont="1" applyAlignment="1">
      <alignment horizontal="left" vertical="top"/>
    </xf>
    <xf numFmtId="0" fontId="3" fillId="0" borderId="5" xfId="3620" applyFont="1" applyBorder="1" applyAlignment="1">
      <alignment horizontal="left" vertical="top"/>
    </xf>
    <xf numFmtId="0" fontId="3" fillId="0" borderId="18" xfId="3620" applyFont="1" applyBorder="1" applyAlignment="1">
      <alignment horizontal="left" vertical="top"/>
    </xf>
    <xf numFmtId="0" fontId="13" fillId="0" borderId="98" xfId="3620" applyBorder="1" applyAlignment="1">
      <alignment horizontal="center" vertical="center" wrapText="1"/>
    </xf>
    <xf numFmtId="222" fontId="213" fillId="2" borderId="111" xfId="3622" applyNumberFormat="1" applyFill="1" applyBorder="1" applyAlignment="1">
      <alignment horizontal="center" vertical="center" wrapText="1"/>
    </xf>
    <xf numFmtId="222" fontId="213" fillId="2" borderId="108" xfId="3622" applyNumberFormat="1" applyFill="1" applyBorder="1" applyAlignment="1">
      <alignment horizontal="center" vertical="center" wrapText="1"/>
    </xf>
    <xf numFmtId="222" fontId="213" fillId="2" borderId="112" xfId="3622" applyNumberFormat="1" applyFill="1" applyBorder="1" applyAlignment="1">
      <alignment horizontal="center" vertical="center" wrapText="1"/>
    </xf>
    <xf numFmtId="0" fontId="3" fillId="0" borderId="6" xfId="3620" applyFont="1" applyBorder="1" applyAlignment="1">
      <alignment horizontal="left" vertical="top"/>
    </xf>
    <xf numFmtId="0" fontId="3" fillId="0" borderId="7" xfId="3620" applyFont="1" applyBorder="1" applyAlignment="1">
      <alignment horizontal="left" vertical="top"/>
    </xf>
    <xf numFmtId="228" fontId="13" fillId="0" borderId="7" xfId="3620" quotePrefix="1" applyNumberFormat="1" applyBorder="1" applyAlignment="1">
      <alignment horizontal="left" vertical="top"/>
    </xf>
    <xf numFmtId="228" fontId="13" fillId="0" borderId="8" xfId="3620" quotePrefix="1" applyNumberFormat="1" applyBorder="1" applyAlignment="1">
      <alignment horizontal="left" vertical="top"/>
    </xf>
    <xf numFmtId="0" fontId="3" fillId="0" borderId="20" xfId="3620" applyFont="1" applyBorder="1" applyAlignment="1">
      <alignment horizontal="left" vertical="top"/>
    </xf>
    <xf numFmtId="0" fontId="3" fillId="0" borderId="8" xfId="3620" applyFont="1" applyBorder="1" applyAlignment="1">
      <alignment horizontal="left" vertical="top"/>
    </xf>
    <xf numFmtId="0" fontId="214" fillId="0" borderId="92" xfId="2377" applyFont="1" applyBorder="1" applyAlignment="1">
      <alignment horizontal="center" vertical="top" wrapText="1"/>
    </xf>
    <xf numFmtId="0" fontId="214" fillId="0" borderId="3" xfId="2377" applyFont="1" applyBorder="1" applyAlignment="1">
      <alignment horizontal="center" vertical="top" wrapText="1"/>
    </xf>
    <xf numFmtId="0" fontId="214" fillId="0" borderId="2" xfId="2377" applyFont="1" applyBorder="1" applyAlignment="1">
      <alignment horizontal="center" vertical="top" wrapText="1"/>
    </xf>
    <xf numFmtId="0" fontId="215" fillId="0" borderId="92" xfId="2377" applyFont="1" applyBorder="1" applyAlignment="1">
      <alignment horizontal="center" vertical="center" wrapText="1"/>
    </xf>
    <xf numFmtId="0" fontId="215" fillId="0" borderId="3" xfId="2377" applyFont="1" applyBorder="1" applyAlignment="1">
      <alignment horizontal="center" vertical="center" wrapText="1"/>
    </xf>
    <xf numFmtId="0" fontId="215" fillId="0" borderId="2" xfId="2377" applyFont="1" applyBorder="1" applyAlignment="1">
      <alignment horizontal="center" vertical="center" wrapText="1"/>
    </xf>
    <xf numFmtId="0" fontId="43" fillId="0" borderId="0" xfId="2377" applyAlignment="1">
      <alignment vertical="center"/>
    </xf>
    <xf numFmtId="0" fontId="43" fillId="0" borderId="0" xfId="2377"/>
    <xf numFmtId="0" fontId="214" fillId="0" borderId="6" xfId="2377" applyFont="1" applyBorder="1" applyAlignment="1">
      <alignment horizontal="center" vertical="top" wrapText="1"/>
    </xf>
    <xf numFmtId="0" fontId="214" fillId="0" borderId="7" xfId="2377" applyFont="1" applyBorder="1" applyAlignment="1">
      <alignment horizontal="center" vertical="top" wrapText="1"/>
    </xf>
    <xf numFmtId="0" fontId="214" fillId="0" borderId="8" xfId="2377" applyFont="1" applyBorder="1" applyAlignment="1">
      <alignment horizontal="center" vertical="top" wrapText="1"/>
    </xf>
    <xf numFmtId="0" fontId="215" fillId="0" borderId="6" xfId="2377" applyFont="1" applyBorder="1" applyAlignment="1">
      <alignment horizontal="center" vertical="center" wrapText="1"/>
    </xf>
    <xf numFmtId="0" fontId="215" fillId="0" borderId="7" xfId="2377" applyFont="1" applyBorder="1" applyAlignment="1">
      <alignment horizontal="center" vertical="center" wrapText="1"/>
    </xf>
    <xf numFmtId="0" fontId="215" fillId="0" borderId="8" xfId="2377" applyFont="1" applyBorder="1" applyAlignment="1">
      <alignment horizontal="center" vertical="center" wrapText="1"/>
    </xf>
    <xf numFmtId="0" fontId="190" fillId="0" borderId="94" xfId="2377" applyFont="1" applyBorder="1" applyAlignment="1">
      <alignment horizontal="center" vertical="center" wrapText="1"/>
    </xf>
    <xf numFmtId="0" fontId="17" fillId="0" borderId="80" xfId="2377" applyFont="1" applyBorder="1" applyAlignment="1">
      <alignment horizontal="center" vertical="center" wrapText="1"/>
    </xf>
    <xf numFmtId="0" fontId="17" fillId="0" borderId="80" xfId="2377" applyFont="1" applyBorder="1" applyAlignment="1">
      <alignment horizontal="center" vertical="center" wrapText="1"/>
    </xf>
    <xf numFmtId="0" fontId="43" fillId="0" borderId="0" xfId="2377" applyAlignment="1">
      <alignment horizontal="center" vertical="center" wrapText="1"/>
    </xf>
    <xf numFmtId="0" fontId="17" fillId="0" borderId="94" xfId="2377" applyFont="1" applyBorder="1" applyAlignment="1">
      <alignment horizontal="center" vertical="center" wrapText="1"/>
    </xf>
    <xf numFmtId="0" fontId="17" fillId="0" borderId="92" xfId="2377" applyFont="1" applyBorder="1" applyAlignment="1">
      <alignment horizontal="center" vertical="center" wrapText="1"/>
    </xf>
    <xf numFmtId="0" fontId="17" fillId="0" borderId="3" xfId="2377" applyFont="1" applyBorder="1" applyAlignment="1">
      <alignment horizontal="center" vertical="center" wrapText="1"/>
    </xf>
    <xf numFmtId="0" fontId="17" fillId="0" borderId="2" xfId="2377" applyFont="1" applyBorder="1" applyAlignment="1">
      <alignment horizontal="center" vertical="center" wrapText="1"/>
    </xf>
    <xf numFmtId="0" fontId="17" fillId="0" borderId="88" xfId="2377" applyFont="1" applyBorder="1" applyAlignment="1">
      <alignment horizontal="center" vertical="center" wrapText="1"/>
    </xf>
    <xf numFmtId="0" fontId="17" fillId="0" borderId="89" xfId="2377" applyFont="1" applyBorder="1" applyAlignment="1">
      <alignment horizontal="center" vertical="center" wrapText="1"/>
    </xf>
    <xf numFmtId="0" fontId="17" fillId="0" borderId="90" xfId="2377" applyFont="1" applyBorder="1" applyAlignment="1">
      <alignment horizontal="center" vertical="center" wrapText="1"/>
    </xf>
    <xf numFmtId="228" fontId="7" fillId="0" borderId="88" xfId="3597" quotePrefix="1" applyNumberFormat="1" applyFont="1" applyBorder="1" applyAlignment="1">
      <alignment horizontal="center" vertical="center" wrapText="1"/>
    </xf>
    <xf numFmtId="228" fontId="7" fillId="0" borderId="89" xfId="3597" quotePrefix="1" applyNumberFormat="1" applyFont="1" applyBorder="1" applyAlignment="1">
      <alignment horizontal="center" vertical="center" wrapText="1"/>
    </xf>
    <xf numFmtId="228" fontId="7" fillId="0" borderId="90" xfId="3597" quotePrefix="1" applyNumberFormat="1" applyFont="1" applyBorder="1" applyAlignment="1">
      <alignment horizontal="center" vertical="center" wrapText="1"/>
    </xf>
    <xf numFmtId="0" fontId="17" fillId="0" borderId="20" xfId="2377" applyFont="1" applyBorder="1" applyAlignment="1">
      <alignment horizontal="center" vertical="center" wrapText="1"/>
    </xf>
    <xf numFmtId="0" fontId="17" fillId="0" borderId="6" xfId="2377" applyFont="1" applyBorder="1" applyAlignment="1">
      <alignment horizontal="center" vertical="center" wrapText="1"/>
    </xf>
    <xf numFmtId="0" fontId="17" fillId="0" borderId="7" xfId="2377" applyFont="1" applyBorder="1" applyAlignment="1">
      <alignment horizontal="center" vertical="center" wrapText="1"/>
    </xf>
    <xf numFmtId="0" fontId="17" fillId="0" borderId="8" xfId="2377" applyFont="1" applyBorder="1" applyAlignment="1">
      <alignment horizontal="center" vertical="center" wrapText="1"/>
    </xf>
    <xf numFmtId="14" fontId="17" fillId="0" borderId="88" xfId="2377" applyNumberFormat="1" applyFont="1" applyBorder="1" applyAlignment="1">
      <alignment horizontal="center" vertical="center" wrapText="1"/>
    </xf>
    <xf numFmtId="0" fontId="17" fillId="0" borderId="88" xfId="2377" quotePrefix="1" applyFont="1" applyBorder="1" applyAlignment="1">
      <alignment horizontal="center" vertical="center" wrapText="1"/>
    </xf>
    <xf numFmtId="0" fontId="17" fillId="0" borderId="80" xfId="2377" quotePrefix="1" applyFont="1" applyBorder="1" applyAlignment="1">
      <alignment horizontal="center" vertical="center" wrapText="1"/>
    </xf>
    <xf numFmtId="14" fontId="17" fillId="0" borderId="80" xfId="2377" applyNumberFormat="1" applyFont="1" applyBorder="1" applyAlignment="1">
      <alignment horizontal="center" vertical="center" wrapText="1"/>
    </xf>
    <xf numFmtId="0" fontId="17" fillId="0" borderId="0" xfId="2377" applyFont="1" applyAlignment="1">
      <alignment horizontal="center" vertical="center" wrapText="1"/>
    </xf>
    <xf numFmtId="0" fontId="17" fillId="0" borderId="0" xfId="2377" applyFont="1" applyAlignment="1">
      <alignment horizontal="center" vertical="center" wrapText="1"/>
    </xf>
    <xf numFmtId="0" fontId="214" fillId="0" borderId="80" xfId="2377" applyFont="1" applyBorder="1" applyAlignment="1">
      <alignment horizontal="center" vertical="center" wrapText="1"/>
    </xf>
    <xf numFmtId="0" fontId="20" fillId="0" borderId="88" xfId="2377" applyFont="1" applyBorder="1" applyAlignment="1">
      <alignment horizontal="left" vertical="center" wrapText="1"/>
    </xf>
    <xf numFmtId="0" fontId="20" fillId="0" borderId="89" xfId="2377" applyFont="1" applyBorder="1" applyAlignment="1">
      <alignment horizontal="left" vertical="center" wrapText="1"/>
    </xf>
    <xf numFmtId="0" fontId="20" fillId="0" borderId="90" xfId="2377" applyFont="1" applyBorder="1" applyAlignment="1">
      <alignment horizontal="left" vertical="center" wrapText="1"/>
    </xf>
    <xf numFmtId="0" fontId="20" fillId="0" borderId="80" xfId="2377" applyFont="1" applyBorder="1" applyAlignment="1">
      <alignment horizontal="left" vertical="center" wrapText="1"/>
    </xf>
    <xf numFmtId="0" fontId="43" fillId="4" borderId="0" xfId="2377" applyFill="1"/>
    <xf numFmtId="0" fontId="214" fillId="0" borderId="0" xfId="2377" applyFont="1" applyAlignment="1">
      <alignment horizontal="center" vertical="top" wrapText="1"/>
    </xf>
    <xf numFmtId="0" fontId="214" fillId="0" borderId="0" xfId="2377" applyFont="1" applyAlignment="1">
      <alignment horizontal="center" vertical="center" wrapText="1"/>
    </xf>
    <xf numFmtId="0" fontId="18" fillId="0" borderId="0" xfId="2377" applyFont="1" applyAlignment="1">
      <alignment horizontal="center" vertical="center" wrapText="1"/>
    </xf>
    <xf numFmtId="0" fontId="18" fillId="0" borderId="0" xfId="2377" applyFont="1" applyAlignment="1">
      <alignment horizontal="right" vertical="center" wrapText="1"/>
    </xf>
    <xf numFmtId="0" fontId="18" fillId="0" borderId="0" xfId="2377" applyFont="1" applyAlignment="1">
      <alignment horizontal="center" vertical="center" wrapText="1"/>
    </xf>
    <xf numFmtId="0" fontId="190" fillId="0" borderId="0" xfId="2377" applyFont="1" applyAlignment="1">
      <alignment horizontal="center" vertical="center" wrapText="1"/>
    </xf>
    <xf numFmtId="0" fontId="20" fillId="0" borderId="0" xfId="2377" applyFont="1" applyAlignment="1">
      <alignment wrapText="1"/>
    </xf>
    <xf numFmtId="0" fontId="20" fillId="0" borderId="0" xfId="2377" applyFont="1" applyAlignment="1">
      <alignment horizontal="left" wrapText="1"/>
    </xf>
    <xf numFmtId="49" fontId="20" fillId="0" borderId="0" xfId="2377" quotePrefix="1" applyNumberFormat="1" applyFont="1" applyAlignment="1">
      <alignment horizontal="left" vertical="center" wrapText="1"/>
    </xf>
    <xf numFmtId="49" fontId="20" fillId="0" borderId="0" xfId="2377" applyNumberFormat="1" applyFont="1" applyAlignment="1">
      <alignment horizontal="center" vertical="center" wrapText="1"/>
    </xf>
    <xf numFmtId="0" fontId="20" fillId="0" borderId="0" xfId="2377" applyFont="1" applyAlignment="1">
      <alignment horizontal="justify" wrapText="1"/>
    </xf>
    <xf numFmtId="0" fontId="20" fillId="0" borderId="0" xfId="2377" applyFont="1" applyAlignment="1">
      <alignment horizontal="center" vertical="center" wrapText="1"/>
    </xf>
    <xf numFmtId="0" fontId="18" fillId="0" borderId="0" xfId="2377" applyFont="1" applyAlignment="1">
      <alignment vertical="center" wrapText="1"/>
    </xf>
    <xf numFmtId="0" fontId="18" fillId="0" borderId="0" xfId="2377" applyFont="1" applyAlignment="1">
      <alignment horizontal="left" vertical="center" wrapText="1"/>
    </xf>
    <xf numFmtId="0" fontId="18" fillId="0" borderId="0" xfId="2377" quotePrefix="1" applyFont="1" applyAlignment="1">
      <alignment horizontal="center" vertical="center" wrapText="1"/>
    </xf>
    <xf numFmtId="0" fontId="43" fillId="0" borderId="0" xfId="2377" applyAlignment="1">
      <alignment horizontal="center"/>
    </xf>
    <xf numFmtId="0" fontId="202" fillId="0" borderId="0" xfId="2377" applyFont="1" applyAlignment="1">
      <alignment horizontal="justify" vertical="center" wrapText="1"/>
    </xf>
    <xf numFmtId="0" fontId="202" fillId="0" borderId="0" xfId="2377" applyFont="1" applyAlignment="1">
      <alignment horizontal="left" wrapText="1"/>
    </xf>
    <xf numFmtId="0" fontId="202" fillId="0" borderId="0" xfId="2377" applyFont="1" applyAlignment="1">
      <alignment horizontal="center" wrapText="1"/>
    </xf>
    <xf numFmtId="0" fontId="19" fillId="0" borderId="0" xfId="2377" applyFont="1" applyAlignment="1">
      <alignment vertical="center" wrapText="1"/>
    </xf>
    <xf numFmtId="0" fontId="19" fillId="0" borderId="0" xfId="2377" applyFont="1" applyAlignment="1">
      <alignment horizontal="left" vertical="center" wrapText="1"/>
    </xf>
    <xf numFmtId="0" fontId="19" fillId="0" borderId="0" xfId="2377" applyFont="1" applyAlignment="1">
      <alignment wrapText="1"/>
    </xf>
    <xf numFmtId="0" fontId="19" fillId="0" borderId="0" xfId="2377" applyFont="1" applyAlignment="1">
      <alignment vertical="top" wrapText="1"/>
    </xf>
    <xf numFmtId="0" fontId="19" fillId="0" borderId="0" xfId="2377" applyFont="1" applyAlignment="1">
      <alignment horizontal="left" vertical="center" wrapText="1"/>
    </xf>
    <xf numFmtId="0" fontId="20" fillId="0" borderId="0" xfId="2377" applyFont="1" applyAlignment="1">
      <alignment vertical="center" wrapText="1"/>
    </xf>
    <xf numFmtId="228" fontId="20" fillId="0" borderId="0" xfId="2377" applyNumberFormat="1" applyFont="1" applyAlignment="1">
      <alignment horizontal="center" vertical="center" wrapText="1"/>
    </xf>
    <xf numFmtId="2" fontId="43" fillId="0" borderId="0" xfId="2377" applyNumberFormat="1"/>
  </cellXfs>
  <cellStyles count="3623">
    <cellStyle name="_x0001_" xfId="1" xr:uid="{00000000-0005-0000-0000-000000000000}"/>
    <cellStyle name="          _x000d__x000a_shell=progman.exe_x000d__x000a_m" xfId="2" xr:uid="{00000000-0005-0000-0000-000001000000}"/>
    <cellStyle name="          _x000d__x000a_shell=progman.exe_x000d__x000a_m 2" xfId="3" xr:uid="{00000000-0005-0000-0000-000002000000}"/>
    <cellStyle name="          _x000d__x000a_shell=progman.exe_x000d__x000a_m 2 2" xfId="4" xr:uid="{00000000-0005-0000-0000-000003000000}"/>
    <cellStyle name="          _x000d__x000a_shell=progman.exe_x000d__x000a_m 2_SUMMARY RC9 (1..." xfId="5" xr:uid="{00000000-0005-0000-0000-000004000000}"/>
    <cellStyle name="          _x000d__x000a_shell=progman.exe_x000d__x000a_m 3" xfId="6" xr:uid="{00000000-0005-0000-0000-000005000000}"/>
    <cellStyle name="          _x000d__x000a_shell=progman.exe_x000d__x000a_m 4" xfId="7" xr:uid="{00000000-0005-0000-0000-000006000000}"/>
    <cellStyle name="_x0001_ 2" xfId="8" xr:uid="{00000000-0005-0000-0000-000007000000}"/>
    <cellStyle name="_x0001_ 3" xfId="9" xr:uid="{00000000-0005-0000-0000-000008000000}"/>
    <cellStyle name="_x0001_ 4" xfId="10" xr:uid="{00000000-0005-0000-0000-000009000000}"/>
    <cellStyle name="_x0001_ 5" xfId="11" xr:uid="{00000000-0005-0000-0000-00000A000000}"/>
    <cellStyle name="_x0001_ 6" xfId="12" xr:uid="{00000000-0005-0000-0000-00000B000000}"/>
    <cellStyle name="_x0001_ 7" xfId="13" xr:uid="{00000000-0005-0000-0000-00000C000000}"/>
    <cellStyle name="_x0001_ 8" xfId="14" xr:uid="{00000000-0005-0000-0000-00000D000000}"/>
    <cellStyle name="%" xfId="15" xr:uid="{00000000-0005-0000-0000-00000E000000}"/>
    <cellStyle name="% 2" xfId="16" xr:uid="{00000000-0005-0000-0000-00000F000000}"/>
    <cellStyle name="%_AFC...CPC-CLPP-S-D" xfId="17" xr:uid="{00000000-0005-0000-0000-000010000000}"/>
    <cellStyle name="%_Ban du tru vat tu- doan tu LANDFALL STATION den GDS" xfId="18" xr:uid="{00000000-0005-0000-0000-000011000000}"/>
    <cellStyle name="%_Ban du tru vat tu- doan tu LANDFALL STATION den GDS 2" xfId="19" xr:uid="{00000000-0005-0000-0000-000012000000}"/>
    <cellStyle name="%_cong bien 09-05" xfId="20" xr:uid="{00000000-0005-0000-0000-000013000000}"/>
    <cellStyle name="%_cong bien 09-05_DAU DO UT" xfId="21" xr:uid="{00000000-0005-0000-0000-000014000000}"/>
    <cellStyle name="%_cong bien 09-05_RT-FL 24-" xfId="22" xr:uid="{00000000-0005-0000-0000-000015000000}"/>
    <cellStyle name="%_DAU DO UT" xfId="23" xr:uid="{00000000-0005-0000-0000-000016000000}"/>
    <cellStyle name="%_List of Pipe spool ONSHORE" xfId="24" xr:uid="{00000000-0005-0000-0000-000017000000}"/>
    <cellStyle name="%_Nomenclature PHA1 M10 EJ 010 A" xfId="25" xr:uid="{00000000-0005-0000-0000-000018000000}"/>
    <cellStyle name="%_Nomenclature PHA1 M10 EJ 010 A 2" xfId="26" xr:uid="{00000000-0005-0000-0000-000019000000}"/>
    <cellStyle name="%_Nomenclature PHA1 M10 EJ 010 A_DAU DO UT" xfId="27" xr:uid="{00000000-0005-0000-0000-00001A000000}"/>
    <cellStyle name="%_Nomenclature PHA1 M10 EJ 010 A_RT-FL 24-" xfId="28" xr:uid="{00000000-0005-0000-0000-00001B000000}"/>
    <cellStyle name="%_RT-FL 24-" xfId="29" xr:uid="{00000000-0005-0000-0000-00001C000000}"/>
    <cellStyle name="??" xfId="30" xr:uid="{00000000-0005-0000-0000-00001D000000}"/>
    <cellStyle name="?? [0.00]_ Att. 1- Cover" xfId="31" xr:uid="{00000000-0005-0000-0000-00001E000000}"/>
    <cellStyle name="?? [0]" xfId="32" xr:uid="{00000000-0005-0000-0000-00001F000000}"/>
    <cellStyle name="?? [0] 2" xfId="33" xr:uid="{00000000-0005-0000-0000-000020000000}"/>
    <cellStyle name="?? 2" xfId="34" xr:uid="{00000000-0005-0000-0000-000021000000}"/>
    <cellStyle name="?? 3" xfId="35" xr:uid="{00000000-0005-0000-0000-000022000000}"/>
    <cellStyle name="?_x001d_??%U©÷u&amp;H©÷9_x0008_? s_x000a__x0007__x0001__x0001_" xfId="36" xr:uid="{00000000-0005-0000-0000-000023000000}"/>
    <cellStyle name="?_x001d_??%U©÷u&amp;H©÷9_x0008_? s_x000a__x0007__x0001__x0001_ 2" xfId="37" xr:uid="{00000000-0005-0000-0000-000024000000}"/>
    <cellStyle name="?_x001d_??%U©÷u&amp;H©÷9_x0008_?_x0009_s_x000a__x0007__x0001__x0001_" xfId="38" xr:uid="{00000000-0005-0000-0000-000025000000}"/>
    <cellStyle name="???? [0.00]_List-dwg" xfId="39" xr:uid="{00000000-0005-0000-0000-000026000000}"/>
    <cellStyle name="????[0]_Sheet1" xfId="40" xr:uid="{00000000-0005-0000-0000-000027000000}"/>
    <cellStyle name="????_List-dwg" xfId="41" xr:uid="{00000000-0005-0000-0000-000028000000}"/>
    <cellStyle name="???[0]_?? DI" xfId="42" xr:uid="{00000000-0005-0000-0000-000029000000}"/>
    <cellStyle name="???_?? DI" xfId="43" xr:uid="{00000000-0005-0000-0000-00002A000000}"/>
    <cellStyle name="??[0]_BRE" xfId="44" xr:uid="{00000000-0005-0000-0000-00002B000000}"/>
    <cellStyle name="??_ ??? ???? " xfId="45" xr:uid="{00000000-0005-0000-0000-00002C000000}"/>
    <cellStyle name="??A? [0]_laroux_1_¢¬???¢â? " xfId="46" xr:uid="{00000000-0005-0000-0000-00002D000000}"/>
    <cellStyle name="??A?_laroux_1_¢¬???¢â? " xfId="47" xr:uid="{00000000-0005-0000-0000-00002E000000}"/>
    <cellStyle name="?¡±¢¥?_?¨ù??¢´¢¥_¢¬???¢â? " xfId="48" xr:uid="{00000000-0005-0000-0000-00002F000000}"/>
    <cellStyle name="?ðÇ%U?&amp;H?_x0008_?s_x000a__x0007__x0001__x0001_" xfId="49" xr:uid="{00000000-0005-0000-0000-000030000000}"/>
    <cellStyle name="?ðÇ%U?&amp;H?_x0008_?s_x000a__x0007__x0001__x0001_ 2" xfId="50" xr:uid="{00000000-0005-0000-0000-000031000000}"/>
    <cellStyle name="_002KM4-19(002)" xfId="51" xr:uid="{00000000-0005-0000-0000-000032000000}"/>
    <cellStyle name="_002KM4-19(002) 2" xfId="52" xr:uid="{00000000-0005-0000-0000-000033000000}"/>
    <cellStyle name="_Bang Chi tieu (2)" xfId="53" xr:uid="{00000000-0005-0000-0000-000034000000}"/>
    <cellStyle name="_Bang Chi tieu (2) 2" xfId="54" xr:uid="{00000000-0005-0000-0000-000035000000}"/>
    <cellStyle name="_Bang Chi tieu (2) 2 2" xfId="55" xr:uid="{00000000-0005-0000-0000-000036000000}"/>
    <cellStyle name="_Bang Chi tieu (2) 3" xfId="56" xr:uid="{00000000-0005-0000-0000-000037000000}"/>
    <cellStyle name="_Book1" xfId="57" xr:uid="{00000000-0005-0000-0000-000038000000}"/>
    <cellStyle name="_Book1 2" xfId="58" xr:uid="{00000000-0005-0000-0000-000039000000}"/>
    <cellStyle name="_Book1_THEO DOI HAN RC4 -TS" xfId="59" xr:uid="{00000000-0005-0000-0000-00003A000000}"/>
    <cellStyle name="_Book1_THEO DOI HAN RC4 -TS 2" xfId="60" xr:uid="{00000000-0005-0000-0000-00003B000000}"/>
    <cellStyle name="_KT (2)" xfId="61" xr:uid="{00000000-0005-0000-0000-00003C000000}"/>
    <cellStyle name="_KT (2) 2" xfId="62" xr:uid="{00000000-0005-0000-0000-00003D000000}"/>
    <cellStyle name="_KT (2) 3" xfId="63" xr:uid="{00000000-0005-0000-0000-00003E000000}"/>
    <cellStyle name="_KT (2)_002KM4-19(002)" xfId="64" xr:uid="{00000000-0005-0000-0000-00003F000000}"/>
    <cellStyle name="_KT (2)_002KM4-19(002) 2" xfId="65" xr:uid="{00000000-0005-0000-0000-000040000000}"/>
    <cellStyle name="_KT (2)_1" xfId="66" xr:uid="{00000000-0005-0000-0000-000041000000}"/>
    <cellStyle name="_KT (2)_1 2" xfId="67" xr:uid="{00000000-0005-0000-0000-000042000000}"/>
    <cellStyle name="_KT (2)_1 3" xfId="68" xr:uid="{00000000-0005-0000-0000-000043000000}"/>
    <cellStyle name="_KT (2)_1_002KM4-19(002)" xfId="69" xr:uid="{00000000-0005-0000-0000-000044000000}"/>
    <cellStyle name="_KT (2)_1_002KM4-19(002) 2" xfId="70" xr:uid="{00000000-0005-0000-0000-000045000000}"/>
    <cellStyle name="_KT (2)_1_Book1" xfId="71" xr:uid="{00000000-0005-0000-0000-000046000000}"/>
    <cellStyle name="_KT (2)_1_Book1 2" xfId="72" xr:uid="{00000000-0005-0000-0000-000047000000}"/>
    <cellStyle name="_KT (2)_1_Book1_THEO DOI HAN RC4 -TS" xfId="73" xr:uid="{00000000-0005-0000-0000-000048000000}"/>
    <cellStyle name="_KT (2)_1_Book1_THEO DOI HAN RC4 -TS 2" xfId="74" xr:uid="{00000000-0005-0000-0000-000049000000}"/>
    <cellStyle name="_KT (2)_1_PD CONTROL FOR STRUCTURAL" xfId="75" xr:uid="{00000000-0005-0000-0000-00004A000000}"/>
    <cellStyle name="_KT (2)_1_PD CONTROL FOR STRUCTURAL 2" xfId="76" xr:uid="{00000000-0005-0000-0000-00004B000000}"/>
    <cellStyle name="_KT (2)_1_TUNG T5" xfId="79" xr:uid="{00000000-0005-0000-0000-00004E000000}"/>
    <cellStyle name="_KT (2)_1_TUNG T5 2" xfId="80" xr:uid="{00000000-0005-0000-0000-00004F000000}"/>
    <cellStyle name="_KT (2)_1_THEO DOI HAN RC4 -TS" xfId="77" xr:uid="{00000000-0005-0000-0000-00004C000000}"/>
    <cellStyle name="_KT (2)_1_THEO DOI HAN RC4 -TS 2" xfId="78" xr:uid="{00000000-0005-0000-0000-00004D000000}"/>
    <cellStyle name="_KT (2)_2" xfId="81" xr:uid="{00000000-0005-0000-0000-000050000000}"/>
    <cellStyle name="_KT (2)_2 2" xfId="82" xr:uid="{00000000-0005-0000-0000-000051000000}"/>
    <cellStyle name="_KT (2)_2_TG-TH" xfId="83" xr:uid="{00000000-0005-0000-0000-000052000000}"/>
    <cellStyle name="_KT (2)_2_TG-TH 2" xfId="84" xr:uid="{00000000-0005-0000-0000-000053000000}"/>
    <cellStyle name="_KT (2)_2_TG-TH 3" xfId="85" xr:uid="{00000000-0005-0000-0000-000054000000}"/>
    <cellStyle name="_KT (2)_2_TG-TH_002KM4-19(002)" xfId="86" xr:uid="{00000000-0005-0000-0000-000055000000}"/>
    <cellStyle name="_KT (2)_2_TG-TH_002KM4-19(002) 2" xfId="87" xr:uid="{00000000-0005-0000-0000-000056000000}"/>
    <cellStyle name="_KT (2)_2_TG-TH_01- QUE HAN chim sao" xfId="88" xr:uid="{00000000-0005-0000-0000-000057000000}"/>
    <cellStyle name="_KT (2)_2_TG-TH_01- QUE HAN chim sao 2" xfId="89" xr:uid="{00000000-0005-0000-0000-000058000000}"/>
    <cellStyle name="_KT (2)_2_TG-TH_anhhieu" xfId="90" xr:uid="{00000000-0005-0000-0000-000059000000}"/>
    <cellStyle name="_KT (2)_2_TG-TH_anhhieu 2" xfId="91" xr:uid="{00000000-0005-0000-0000-00005A000000}"/>
    <cellStyle name="_KT (2)_2_TG-TH_BAO CAO TUAN25-02" xfId="92" xr:uid="{00000000-0005-0000-0000-00005B000000}"/>
    <cellStyle name="_KT (2)_2_TG-TH_BAO CAO TUAN25-02 2" xfId="93" xr:uid="{00000000-0005-0000-0000-00005C000000}"/>
    <cellStyle name="_KT (2)_2_TG-TH_baûng chaám coâng ñoâi bieân" xfId="94" xr:uid="{00000000-0005-0000-0000-00005D000000}"/>
    <cellStyle name="_KT (2)_2_TG-TH_baûng chaám coâng ñoâi bieân 2" xfId="95" xr:uid="{00000000-0005-0000-0000-00005E000000}"/>
    <cellStyle name="_KT (2)_2_TG-TH_Book1" xfId="96" xr:uid="{00000000-0005-0000-0000-00005F000000}"/>
    <cellStyle name="_KT (2)_2_TG-TH_Book1 2" xfId="97" xr:uid="{00000000-0005-0000-0000-000060000000}"/>
    <cellStyle name="_KT (2)_2_TG-TH_Book1_1" xfId="98" xr:uid="{00000000-0005-0000-0000-000061000000}"/>
    <cellStyle name="_KT (2)_2_TG-TH_Book1_1 2" xfId="99" xr:uid="{00000000-0005-0000-0000-000062000000}"/>
    <cellStyle name="_KT (2)_2_TG-TH_Book1_1_01-Cong tring cang VSP-Khoi luong thuc hien T9" xfId="100" xr:uid="{00000000-0005-0000-0000-000063000000}"/>
    <cellStyle name="_KT (2)_2_TG-TH_Book1_1_01-Cong tring cang VSP-Khoi luong thuc hien T9 2" xfId="101" xr:uid="{00000000-0005-0000-0000-000064000000}"/>
    <cellStyle name="_KT (2)_2_TG-TH_Book1_1_BAO CAO TUAN25-02" xfId="102" xr:uid="{00000000-0005-0000-0000-000065000000}"/>
    <cellStyle name="_KT (2)_2_TG-TH_Book1_1_BAO CAO TUAN25-02 2" xfId="103" xr:uid="{00000000-0005-0000-0000-000066000000}"/>
    <cellStyle name="_KT (2)_2_TG-TH_Book1_1_BAO CAO TUAN25-02 3" xfId="104" xr:uid="{00000000-0005-0000-0000-000067000000}"/>
    <cellStyle name="_KT (2)_2_TG-TH_Book1_1_BAO CAO TUAN25-02_01- QUE HAN chim sao" xfId="105" xr:uid="{00000000-0005-0000-0000-000068000000}"/>
    <cellStyle name="_KT (2)_2_TG-TH_Book1_1_BAO CAO TUAN25-02_01- QUE HAN chim sao 2" xfId="106" xr:uid="{00000000-0005-0000-0000-000069000000}"/>
    <cellStyle name="_KT (2)_2_TG-TH_Book1_1_BAO CAO TUAN25-02_Book1" xfId="107" xr:uid="{00000000-0005-0000-0000-00006A000000}"/>
    <cellStyle name="_KT (2)_2_TG-TH_Book1_1_BAO CAO TUAN25-02_Book1 2" xfId="108" xr:uid="{00000000-0005-0000-0000-00006B000000}"/>
    <cellStyle name="_KT (2)_2_TG-TH_Book1_1_Book1" xfId="109" xr:uid="{00000000-0005-0000-0000-00006C000000}"/>
    <cellStyle name="_KT (2)_2_TG-TH_Book1_1_Book1 2" xfId="110" xr:uid="{00000000-0005-0000-0000-00006D000000}"/>
    <cellStyle name="_KT (2)_2_TG-TH_Book1_1_Book1 3" xfId="111" xr:uid="{00000000-0005-0000-0000-00006E000000}"/>
    <cellStyle name="_KT (2)_2_TG-TH_Book1_1_Book1_01- QUE HAN chim sao" xfId="112" xr:uid="{00000000-0005-0000-0000-00006F000000}"/>
    <cellStyle name="_KT (2)_2_TG-TH_Book1_1_Book1_01- QUE HAN chim sao 2" xfId="113" xr:uid="{00000000-0005-0000-0000-000070000000}"/>
    <cellStyle name="_KT (2)_2_TG-TH_Book1_1_Book1_Book1" xfId="114" xr:uid="{00000000-0005-0000-0000-000071000000}"/>
    <cellStyle name="_KT (2)_2_TG-TH_Book1_1_Book1_Book1 2" xfId="115" xr:uid="{00000000-0005-0000-0000-000072000000}"/>
    <cellStyle name="_KT (2)_2_TG-TH_Book1_1_Book1_Book1 3" xfId="116" xr:uid="{00000000-0005-0000-0000-000073000000}"/>
    <cellStyle name="_KT (2)_2_TG-TH_Book1_1_Book1_Book1_Book1" xfId="117" xr:uid="{00000000-0005-0000-0000-000074000000}"/>
    <cellStyle name="_KT (2)_2_TG-TH_Book1_1_Book1_Book1_Book1 2" xfId="118" xr:uid="{00000000-0005-0000-0000-000075000000}"/>
    <cellStyle name="_KT (2)_2_TG-TH_Book1_1_Book1_Sheet2" xfId="119" xr:uid="{00000000-0005-0000-0000-000076000000}"/>
    <cellStyle name="_KT (2)_2_TG-TH_Book1_1_Book1_Sheet2 2" xfId="120" xr:uid="{00000000-0005-0000-0000-000077000000}"/>
    <cellStyle name="_KT (2)_2_TG-TH_Book1_1_Book1_TH KL thiet bi room shelter final" xfId="121" xr:uid="{00000000-0005-0000-0000-000078000000}"/>
    <cellStyle name="_KT (2)_2_TG-TH_Book1_1_Book1_TH KL thiet bi room shelter final 2" xfId="122" xr:uid="{00000000-0005-0000-0000-000079000000}"/>
    <cellStyle name="_KT (2)_2_TG-TH_Book1_1_Book1_THEO DOI HAN RC4 -TS" xfId="123" xr:uid="{00000000-0005-0000-0000-00007A000000}"/>
    <cellStyle name="_KT (2)_2_TG-TH_Book1_1_Book1_THEO DOI HAN RC4 -TS 2" xfId="124" xr:uid="{00000000-0005-0000-0000-00007B000000}"/>
    <cellStyle name="_KT (2)_2_TG-TH_Book1_1_Book1_W'SRECORD-DNV-2008-gia han han CHIMSAO-08" xfId="125" xr:uid="{00000000-0005-0000-0000-00007C000000}"/>
    <cellStyle name="_KT (2)_2_TG-TH_Book1_1_Book1_W'SRECORD-DNV-2008-gia han han CHIMSAO-08 2" xfId="126" xr:uid="{00000000-0005-0000-0000-00007D000000}"/>
    <cellStyle name="_KT (2)_2_TG-TH_Book1_1_Book1_Yeu cau vat tu dung cu PEARL" xfId="127" xr:uid="{00000000-0005-0000-0000-00007E000000}"/>
    <cellStyle name="_KT (2)_2_TG-TH_Book1_1_Book1_Yeu cau vat tu dung cu PEARL 2" xfId="128" xr:uid="{00000000-0005-0000-0000-00007F000000}"/>
    <cellStyle name="_KT (2)_2_TG-TH_Book1_1_Copy of THE-FRONT-1" xfId="129" xr:uid="{00000000-0005-0000-0000-000080000000}"/>
    <cellStyle name="_KT (2)_2_TG-TH_Book1_1_Copy of THE-FRONT-1 2" xfId="130" xr:uid="{00000000-0005-0000-0000-000081000000}"/>
    <cellStyle name="_KT (2)_2_TG-TH_Book1_1_Copy of THE-FRONT-1 3" xfId="131" xr:uid="{00000000-0005-0000-0000-000082000000}"/>
    <cellStyle name="_KT (2)_2_TG-TH_Book1_1_Copy of THE-FRONT-1_01- QUE HAN chim sao" xfId="132" xr:uid="{00000000-0005-0000-0000-000083000000}"/>
    <cellStyle name="_KT (2)_2_TG-TH_Book1_1_Copy of THE-FRONT-1_01- QUE HAN chim sao 2" xfId="133" xr:uid="{00000000-0005-0000-0000-000084000000}"/>
    <cellStyle name="_KT (2)_2_TG-TH_Book1_1_Copy of THE-FRONT-1_Book1" xfId="134" xr:uid="{00000000-0005-0000-0000-000085000000}"/>
    <cellStyle name="_KT (2)_2_TG-TH_Book1_1_Copy of THE-FRONT-1_Book1 2" xfId="135" xr:uid="{00000000-0005-0000-0000-000086000000}"/>
    <cellStyle name="_KT (2)_2_TG-TH_Book1_1_Copy of THE-FRONT-1_SP HAN-T03-pd" xfId="136" xr:uid="{00000000-0005-0000-0000-000087000000}"/>
    <cellStyle name="_KT (2)_2_TG-TH_Book1_1_Copy of THE-FRONT-1_SP HAN-T03-pd 2" xfId="137" xr:uid="{00000000-0005-0000-0000-000088000000}"/>
    <cellStyle name="_KT (2)_2_TG-TH_Book1_1_Copy of THE-FRONT-1_SP HAN-T04-pd" xfId="138" xr:uid="{00000000-0005-0000-0000-000089000000}"/>
    <cellStyle name="_KT (2)_2_TG-TH_Book1_1_Copy of THE-FRONT-1_SP HAN-T04-pd 2" xfId="139" xr:uid="{00000000-0005-0000-0000-00008A000000}"/>
    <cellStyle name="_KT (2)_2_TG-TH_Book1_1_Copy of THE-FRONT-1_THANG 08" xfId="140" xr:uid="{00000000-0005-0000-0000-00008B000000}"/>
    <cellStyle name="_KT (2)_2_TG-TH_Book1_1_Copy of THE-FRONT-1_THANG 08 2" xfId="141" xr:uid="{00000000-0005-0000-0000-00008C000000}"/>
    <cellStyle name="_KT (2)_2_TG-TH_Book1_1_Copy of THE-FRONT-1_THANG 08 3" xfId="142" xr:uid="{00000000-0005-0000-0000-00008D000000}"/>
    <cellStyle name="_KT (2)_2_TG-TH_Book1_1_Copy of THE-FRONT-1_THANG 08_01- QUE HAN chim sao" xfId="143" xr:uid="{00000000-0005-0000-0000-00008E000000}"/>
    <cellStyle name="_KT (2)_2_TG-TH_Book1_1_Copy of THE-FRONT-1_THANG 08_01- QUE HAN chim sao 2" xfId="144" xr:uid="{00000000-0005-0000-0000-00008F000000}"/>
    <cellStyle name="_KT (2)_2_TG-TH_Book1_1_Copy of THE-FRONT-1_THANG 08_Book1" xfId="145" xr:uid="{00000000-0005-0000-0000-000090000000}"/>
    <cellStyle name="_KT (2)_2_TG-TH_Book1_1_Copy of THE-FRONT-1_THANG 08_Book1 2" xfId="146" xr:uid="{00000000-0005-0000-0000-000091000000}"/>
    <cellStyle name="_KT (2)_2_TG-TH_Book1_1_Copy of THE-FRONT-1_W'SRECORD-DNV-2008-gia han han CHIMSAO-08" xfId="147" xr:uid="{00000000-0005-0000-0000-000092000000}"/>
    <cellStyle name="_KT (2)_2_TG-TH_Book1_1_Copy of THE-FRONT-1_W'SRECORD-DNV-2008-gia han han CHIMSAO-08 2" xfId="148" xr:uid="{00000000-0005-0000-0000-000093000000}"/>
    <cellStyle name="_KT (2)_2_TG-TH_Book1_1_Copy of THE-FRONT-1_Yeu cau vat tu dung cu PEARL" xfId="149" xr:uid="{00000000-0005-0000-0000-000094000000}"/>
    <cellStyle name="_KT (2)_2_TG-TH_Book1_1_Copy of THE-FRONT-1_Yeu cau vat tu dung cu PEARL 2" xfId="150" xr:uid="{00000000-0005-0000-0000-000095000000}"/>
    <cellStyle name="_KT (2)_2_TG-TH_Book1_1_HOP DONG KHOAN SDA-WHP Jacket-10" xfId="151" xr:uid="{00000000-0005-0000-0000-000096000000}"/>
    <cellStyle name="_KT (2)_2_TG-TH_Book1_1_HOP DONG KHOAN SDA-WHP Jacket-10 2" xfId="152" xr:uid="{00000000-0005-0000-0000-000097000000}"/>
    <cellStyle name="_KT (2)_2_TG-TH_Book1_1_HOP DONG KHOAN SDA-WHP Jacket-10 3" xfId="153" xr:uid="{00000000-0005-0000-0000-000098000000}"/>
    <cellStyle name="_KT (2)_2_TG-TH_Book1_1_HOP DONG KHOAN SDA-WHP Jacket-10_01- QUE HAN chim sao" xfId="154" xr:uid="{00000000-0005-0000-0000-000099000000}"/>
    <cellStyle name="_KT (2)_2_TG-TH_Book1_1_HOP DONG KHOAN SDA-WHP Jacket-10_01- QUE HAN chim sao 2" xfId="155" xr:uid="{00000000-0005-0000-0000-00009A000000}"/>
    <cellStyle name="_KT (2)_2_TG-TH_Book1_1_HOP DONG KHOAN SDA-WHP Jacket-10_Book1" xfId="156" xr:uid="{00000000-0005-0000-0000-00009B000000}"/>
    <cellStyle name="_KT (2)_2_TG-TH_Book1_1_HOP DONG KHOAN SDA-WHP Jacket-10_Book1 2" xfId="157" xr:uid="{00000000-0005-0000-0000-00009C000000}"/>
    <cellStyle name="_KT (2)_2_TG-TH_Book1_1_HOP DONG KHOAN SDA-WHP Jacket-12" xfId="158" xr:uid="{00000000-0005-0000-0000-00009D000000}"/>
    <cellStyle name="_KT (2)_2_TG-TH_Book1_1_HOP DONG KHOAN SDA-WHP Jacket-12 2" xfId="159" xr:uid="{00000000-0005-0000-0000-00009E000000}"/>
    <cellStyle name="_KT (2)_2_TG-TH_Book1_1_HOP DONG KHOAN SDA-WHP Jacket-12 3" xfId="160" xr:uid="{00000000-0005-0000-0000-00009F000000}"/>
    <cellStyle name="_KT (2)_2_TG-TH_Book1_1_HOP DONG KHOAN SDA-WHP Jacket-12_01- QUE HAN chim sao" xfId="161" xr:uid="{00000000-0005-0000-0000-0000A0000000}"/>
    <cellStyle name="_KT (2)_2_TG-TH_Book1_1_HOP DONG KHOAN SDA-WHP Jacket-12_01- QUE HAN chim sao 2" xfId="162" xr:uid="{00000000-0005-0000-0000-0000A1000000}"/>
    <cellStyle name="_KT (2)_2_TG-TH_Book1_1_HOP DONG KHOAN SDA-WHP Jacket-12_Book1" xfId="163" xr:uid="{00000000-0005-0000-0000-0000A2000000}"/>
    <cellStyle name="_KT (2)_2_TG-TH_Book1_1_HOP DONG KHOAN SDA-WHP Jacket-12_Book1 2" xfId="164" xr:uid="{00000000-0005-0000-0000-0000A3000000}"/>
    <cellStyle name="_KT (2)_2_TG-TH_Book1_1_KHOI LUONG CNV -WHP " xfId="165" xr:uid="{00000000-0005-0000-0000-0000A4000000}"/>
    <cellStyle name="_KT (2)_2_TG-TH_Book1_1_KHOI LUONG CNV -WHP  2" xfId="166" xr:uid="{00000000-0005-0000-0000-0000A5000000}"/>
    <cellStyle name="_KT (2)_2_TG-TH_Book1_1_MR THAI QC" xfId="167" xr:uid="{00000000-0005-0000-0000-0000A6000000}"/>
    <cellStyle name="_KT (2)_2_TG-TH_Book1_1_MR THAI QC 2" xfId="168" xr:uid="{00000000-0005-0000-0000-0000A7000000}"/>
    <cellStyle name="_KT (2)_2_TG-TH_Book1_1_rc4helideck-vat tu" xfId="169" xr:uid="{00000000-0005-0000-0000-0000A8000000}"/>
    <cellStyle name="_KT (2)_2_TG-TH_Book1_1_rc4helideck-vat tu 2" xfId="170" xr:uid="{00000000-0005-0000-0000-0000A9000000}"/>
    <cellStyle name="_KT (2)_2_TG-TH_Book1_1_tong hop- rc4helideck-vat tu" xfId="177" xr:uid="{00000000-0005-0000-0000-0000B0000000}"/>
    <cellStyle name="_KT (2)_2_TG-TH_Book1_1_tong hop- rc4helideck-vat tu 2" xfId="178" xr:uid="{00000000-0005-0000-0000-0000B1000000}"/>
    <cellStyle name="_KT (2)_2_TG-TH_Book1_1_TH KL thiet bi room shelter final" xfId="171" xr:uid="{00000000-0005-0000-0000-0000AA000000}"/>
    <cellStyle name="_KT (2)_2_TG-TH_Book1_1_TH KL thiet bi room shelter final 2" xfId="172" xr:uid="{00000000-0005-0000-0000-0000AB000000}"/>
    <cellStyle name="_KT (2)_2_TG-TH_Book1_1_THANG 08" xfId="173" xr:uid="{00000000-0005-0000-0000-0000AC000000}"/>
    <cellStyle name="_KT (2)_2_TG-TH_Book1_1_THANG 08 2" xfId="174" xr:uid="{00000000-0005-0000-0000-0000AD000000}"/>
    <cellStyle name="_KT (2)_2_TG-TH_Book1_1_THANG2-07" xfId="175" xr:uid="{00000000-0005-0000-0000-0000AE000000}"/>
    <cellStyle name="_KT (2)_2_TG-TH_Book1_1_THANG2-07 2" xfId="176" xr:uid="{00000000-0005-0000-0000-0000AF000000}"/>
    <cellStyle name="_KT (2)_2_TG-TH_Book1_1_W'SRECORD-DNV-2008-gia han han CHIMSAO-08" xfId="179" xr:uid="{00000000-0005-0000-0000-0000B2000000}"/>
    <cellStyle name="_KT (2)_2_TG-TH_Book1_1_W'SRECORD-DNV-2008-gia han han CHIMSAO-08 2" xfId="180" xr:uid="{00000000-0005-0000-0000-0000B3000000}"/>
    <cellStyle name="_KT (2)_2_TG-TH_Book1_1_Yeu cau vat tu dung cu PEARL" xfId="181" xr:uid="{00000000-0005-0000-0000-0000B4000000}"/>
    <cellStyle name="_KT (2)_2_TG-TH_Book1_1_Yeu cau vat tu dung cu PEARL 2" xfId="182" xr:uid="{00000000-0005-0000-0000-0000B5000000}"/>
    <cellStyle name="_KT (2)_2_TG-TH_C-TH an ca Thang 04-08" xfId="183" xr:uid="{00000000-0005-0000-0000-0000B6000000}"/>
    <cellStyle name="_KT (2)_2_TG-TH_C-TH an ca Thang 04-08 2" xfId="184" xr:uid="{00000000-0005-0000-0000-0000B7000000}"/>
    <cellStyle name="_KT (2)_2_TG-TH_C-TH an ca Thang 04-08 3" xfId="185" xr:uid="{00000000-0005-0000-0000-0000B8000000}"/>
    <cellStyle name="_KT (2)_2_TG-TH_C-TH an ca Thang 04-08_01- QUE HAN chim sao" xfId="186" xr:uid="{00000000-0005-0000-0000-0000B9000000}"/>
    <cellStyle name="_KT (2)_2_TG-TH_C-TH an ca Thang 04-08_01- QUE HAN chim sao 2" xfId="187" xr:uid="{00000000-0005-0000-0000-0000BA000000}"/>
    <cellStyle name="_KT (2)_2_TG-TH_C-TH an ca Thang 04-08_Book1" xfId="188" xr:uid="{00000000-0005-0000-0000-0000BB000000}"/>
    <cellStyle name="_KT (2)_2_TG-TH_C-TH an ca Thang 04-08_Book1 2" xfId="189" xr:uid="{00000000-0005-0000-0000-0000BC000000}"/>
    <cellStyle name="_KT (2)_2_TG-TH_Danh muc tai lieu" xfId="190" xr:uid="{00000000-0005-0000-0000-0000BD000000}"/>
    <cellStyle name="_KT (2)_2_TG-TH_Danh muc tai lieu 2" xfId="191" xr:uid="{00000000-0005-0000-0000-0000BE000000}"/>
    <cellStyle name="_KT (2)_2_TG-TH_DANH SACH CBCNV CT CANG" xfId="192" xr:uid="{00000000-0005-0000-0000-0000BF000000}"/>
    <cellStyle name="_KT (2)_2_TG-TH_DANH SACH CBCNV CT CANG 2" xfId="193" xr:uid="{00000000-0005-0000-0000-0000C0000000}"/>
    <cellStyle name="_KT (2)_2_TG-TH_DANH SACH CBCNV CT CANG 3" xfId="194" xr:uid="{00000000-0005-0000-0000-0000C1000000}"/>
    <cellStyle name="_KT (2)_2_TG-TH_DANH SACH CBCNV CT CANG_01- QUE HAN chim sao" xfId="195" xr:uid="{00000000-0005-0000-0000-0000C2000000}"/>
    <cellStyle name="_KT (2)_2_TG-TH_DANH SACH CBCNV CT CANG_01- QUE HAN chim sao 2" xfId="196" xr:uid="{00000000-0005-0000-0000-0000C3000000}"/>
    <cellStyle name="_KT (2)_2_TG-TH_DANH SACH CBCNV CT CANG_Book1" xfId="197" xr:uid="{00000000-0005-0000-0000-0000C4000000}"/>
    <cellStyle name="_KT (2)_2_TG-TH_DANH SACH CBCNV CT CANG_Book1 2" xfId="198" xr:uid="{00000000-0005-0000-0000-0000C5000000}"/>
    <cellStyle name="_KT (2)_2_TG-TH_FORM RFI TSON" xfId="199" xr:uid="{00000000-0005-0000-0000-0000C6000000}"/>
    <cellStyle name="_KT (2)_2_TG-TH_FORM RFI TSON 2" xfId="200" xr:uid="{00000000-0005-0000-0000-0000C7000000}"/>
    <cellStyle name="_KT (2)_2_TG-TH_FORM RFI TSON 3" xfId="201" xr:uid="{00000000-0005-0000-0000-0000C8000000}"/>
    <cellStyle name="_KT (2)_2_TG-TH_FORM RFI TSON_01- QUE HAN chim sao" xfId="202" xr:uid="{00000000-0005-0000-0000-0000C9000000}"/>
    <cellStyle name="_KT (2)_2_TG-TH_FORM RFI TSON_01- QUE HAN chim sao 2" xfId="203" xr:uid="{00000000-0005-0000-0000-0000CA000000}"/>
    <cellStyle name="_KT (2)_2_TG-TH_FORM RFI TSON_Book1" xfId="204" xr:uid="{00000000-0005-0000-0000-0000CB000000}"/>
    <cellStyle name="_KT (2)_2_TG-TH_FORM RFI TSON_Book1 2" xfId="205" xr:uid="{00000000-0005-0000-0000-0000CC000000}"/>
    <cellStyle name="_KT (2)_2_TG-TH_FORM RFI TSON_Sheet2" xfId="206" xr:uid="{00000000-0005-0000-0000-0000CD000000}"/>
    <cellStyle name="_KT (2)_2_TG-TH_FORM RFI TSON_Sheet2 2" xfId="207" xr:uid="{00000000-0005-0000-0000-0000CE000000}"/>
    <cellStyle name="_KT (2)_2_TG-TH_HOP DONG KHOAN SDA-WHP Jacket-10" xfId="208" xr:uid="{00000000-0005-0000-0000-0000CF000000}"/>
    <cellStyle name="_KT (2)_2_TG-TH_HOP DONG KHOAN SDA-WHP Jacket-10 2" xfId="209" xr:uid="{00000000-0005-0000-0000-0000D0000000}"/>
    <cellStyle name="_KT (2)_2_TG-TH_HOP DONG KHOAN SDA-WHP Jacket-12" xfId="210" xr:uid="{00000000-0005-0000-0000-0000D1000000}"/>
    <cellStyle name="_KT (2)_2_TG-TH_HOP DONG KHOAN SDA-WHP Jacket-12 2" xfId="211" xr:uid="{00000000-0005-0000-0000-0000D2000000}"/>
    <cellStyle name="_KT (2)_2_TG-TH_KHOI LUONG CNV -WHP " xfId="212" xr:uid="{00000000-0005-0000-0000-0000D3000000}"/>
    <cellStyle name="_KT (2)_2_TG-TH_KHOI LUONG CNV -WHP  2" xfId="213" xr:uid="{00000000-0005-0000-0000-0000D4000000}"/>
    <cellStyle name="_KT (2)_2_TG-TH_KHOI LUONG CNV -WHP  3" xfId="214" xr:uid="{00000000-0005-0000-0000-0000D5000000}"/>
    <cellStyle name="_KT (2)_2_TG-TH_KHOI LUONG CNV -WHP _01- QUE HAN chim sao" xfId="215" xr:uid="{00000000-0005-0000-0000-0000D6000000}"/>
    <cellStyle name="_KT (2)_2_TG-TH_KHOI LUONG CNV -WHP _01- QUE HAN chim sao 2" xfId="216" xr:uid="{00000000-0005-0000-0000-0000D7000000}"/>
    <cellStyle name="_KT (2)_2_TG-TH_KHOI LUONG CNV -WHP _Book1" xfId="217" xr:uid="{00000000-0005-0000-0000-0000D8000000}"/>
    <cellStyle name="_KT (2)_2_TG-TH_KHOI LUONG CNV -WHP _Book1 2" xfId="218" xr:uid="{00000000-0005-0000-0000-0000D9000000}"/>
    <cellStyle name="_KT (2)_2_TG-TH_Material Request &amp; issue voucher-05-01-08-GUI THIEN LOE" xfId="219" xr:uid="{00000000-0005-0000-0000-0000DA000000}"/>
    <cellStyle name="_KT (2)_2_TG-TH_Material Request &amp; issue voucher-05-01-08-GUI THIEN LOE 2" xfId="220" xr:uid="{00000000-0005-0000-0000-0000DB000000}"/>
    <cellStyle name="_KT (2)_2_TG-TH_Nomenclature PHA1 M15 DU 042 A" xfId="221" xr:uid="{00000000-0005-0000-0000-0000DC000000}"/>
    <cellStyle name="_KT (2)_2_TG-TH_Nomenclature PHA1 M15 DU 042 A 2" xfId="222" xr:uid="{00000000-0005-0000-0000-0000DD000000}"/>
    <cellStyle name="_KT (2)_2_TG-TH_Nomenclature PHA1 M15 DU 042 A 3" xfId="223" xr:uid="{00000000-0005-0000-0000-0000DE000000}"/>
    <cellStyle name="_KT (2)_2_TG-TH_Nomenclature PHA1 M15 DU 042 A_01- QUE HAN chim sao" xfId="224" xr:uid="{00000000-0005-0000-0000-0000DF000000}"/>
    <cellStyle name="_KT (2)_2_TG-TH_Nomenclature PHA1 M15 DU 042 A_01- QUE HAN chim sao 2" xfId="225" xr:uid="{00000000-0005-0000-0000-0000E0000000}"/>
    <cellStyle name="_KT (2)_2_TG-TH_Nomenclature PHA1 M15 DU 042 A_Book1" xfId="226" xr:uid="{00000000-0005-0000-0000-0000E1000000}"/>
    <cellStyle name="_KT (2)_2_TG-TH_Nomenclature PHA1 M15 DU 042 A_Book1 2" xfId="227" xr:uid="{00000000-0005-0000-0000-0000E2000000}"/>
    <cellStyle name="_KT (2)_2_TG-TH_Nomenclature PHA1 M15 DU 042 A_Sheet2" xfId="228" xr:uid="{00000000-0005-0000-0000-0000E3000000}"/>
    <cellStyle name="_KT (2)_2_TG-TH_Nomenclature PHA1 M15 DU 042 A_Sheet2 2" xfId="229" xr:uid="{00000000-0005-0000-0000-0000E4000000}"/>
    <cellStyle name="_KT (2)_2_TG-TH_pd" xfId="230" xr:uid="{00000000-0005-0000-0000-0000E5000000}"/>
    <cellStyle name="_KT (2)_2_TG-TH_pd 2" xfId="231" xr:uid="{00000000-0005-0000-0000-0000E6000000}"/>
    <cellStyle name="_KT (2)_2_TG-TH_PD CONTROL FOR STRUCTURAL" xfId="232" xr:uid="{00000000-0005-0000-0000-0000E7000000}"/>
    <cellStyle name="_KT (2)_2_TG-TH_PD CONTROL FOR STRUCTURAL 2" xfId="233" xr:uid="{00000000-0005-0000-0000-0000E8000000}"/>
    <cellStyle name="_KT (2)_2_TG-TH_Phuong Dong01" xfId="234" xr:uid="{00000000-0005-0000-0000-0000E9000000}"/>
    <cellStyle name="_KT (2)_2_TG-TH_Phuong Dong01 2" xfId="235" xr:uid="{00000000-0005-0000-0000-0000EA000000}"/>
    <cellStyle name="_KT (2)_2_TG-TH_rc4helideck-vat tu" xfId="236" xr:uid="{00000000-0005-0000-0000-0000EB000000}"/>
    <cellStyle name="_KT (2)_2_TG-TH_rc4helideck-vat tu 2" xfId="237" xr:uid="{00000000-0005-0000-0000-0000EC000000}"/>
    <cellStyle name="_KT (2)_2_TG-TH_RQ-RC4" xfId="238" xr:uid="{00000000-0005-0000-0000-0000ED000000}"/>
    <cellStyle name="_KT (2)_2_TG-TH_RQ-RC4 2" xfId="239" xr:uid="{00000000-0005-0000-0000-0000EE000000}"/>
    <cellStyle name="_KT (2)_2_TG-TH_SP HAN-T03-pd" xfId="240" xr:uid="{00000000-0005-0000-0000-0000EF000000}"/>
    <cellStyle name="_KT (2)_2_TG-TH_SP HAN-T03-pd 2" xfId="241" xr:uid="{00000000-0005-0000-0000-0000F0000000}"/>
    <cellStyle name="_KT (2)_2_TG-TH_SP HAN-T04-pd" xfId="242" xr:uid="{00000000-0005-0000-0000-0000F1000000}"/>
    <cellStyle name="_KT (2)_2_TG-TH_SP HAN-T04-pd 2" xfId="243" xr:uid="{00000000-0005-0000-0000-0000F2000000}"/>
    <cellStyle name="_KT (2)_2_TG-TH_spool fabrication progress 123" xfId="244" xr:uid="{00000000-0005-0000-0000-0000F3000000}"/>
    <cellStyle name="_KT (2)_2_TG-TH_spool fabrication progress 123 2" xfId="245" xr:uid="{00000000-0005-0000-0000-0000F4000000}"/>
    <cellStyle name="_KT (2)_2_TG-TH_Spool Installation Progress" xfId="246" xr:uid="{00000000-0005-0000-0000-0000F5000000}"/>
    <cellStyle name="_KT (2)_2_TG-TH_Spool Installation Progress 2" xfId="247" xr:uid="{00000000-0005-0000-0000-0000F6000000}"/>
    <cellStyle name="_KT (2)_2_TG-TH_TONG HOP KHOI LUONG SAT GOC SUPPORT RC4" xfId="271" xr:uid="{00000000-0005-0000-0000-00000E010000}"/>
    <cellStyle name="_KT (2)_2_TG-TH_TONG HOP KHOI LUONG SAT GOC SUPPORT RC4 2" xfId="272" xr:uid="{00000000-0005-0000-0000-00000F010000}"/>
    <cellStyle name="_KT (2)_2_TG-TH_tong hop- rc4helideck-vat tu" xfId="273" xr:uid="{00000000-0005-0000-0000-000010010000}"/>
    <cellStyle name="_KT (2)_2_TG-TH_tong hop- rc4helideck-vat tu 2" xfId="274" xr:uid="{00000000-0005-0000-0000-000011010000}"/>
    <cellStyle name="_KT (2)_2_TG-TH_Tong hop so luong cac muc" xfId="275" xr:uid="{00000000-0005-0000-0000-000012010000}"/>
    <cellStyle name="_KT (2)_2_TG-TH_Tong hop so luong cac muc 2" xfId="276" xr:uid="{00000000-0005-0000-0000-000013010000}"/>
    <cellStyle name="_KT (2)_2_TG-TH_Tong hop so luong cac muc 3" xfId="277" xr:uid="{00000000-0005-0000-0000-000014010000}"/>
    <cellStyle name="_KT (2)_2_TG-TH_Tong hop so luong cac muc_01- QUE HAN chim sao" xfId="278" xr:uid="{00000000-0005-0000-0000-000015010000}"/>
    <cellStyle name="_KT (2)_2_TG-TH_Tong hop so luong cac muc_01- QUE HAN chim sao 2" xfId="279" xr:uid="{00000000-0005-0000-0000-000016010000}"/>
    <cellStyle name="_KT (2)_2_TG-TH_Tong hop so luong cac muc_Book1" xfId="280" xr:uid="{00000000-0005-0000-0000-000017010000}"/>
    <cellStyle name="_KT (2)_2_TG-TH_Tong hop so luong cac muc_Book1 2" xfId="281" xr:uid="{00000000-0005-0000-0000-000018010000}"/>
    <cellStyle name="_KT (2)_2_TG-TH_Tong hop so luong cac muc_Luong T06-css" xfId="282" xr:uid="{00000000-0005-0000-0000-000019010000}"/>
    <cellStyle name="_KT (2)_2_TG-TH_Tong hop so luong cac muc_Luong T06-css 2" xfId="283" xr:uid="{00000000-0005-0000-0000-00001A010000}"/>
    <cellStyle name="_KT (2)_2_TG-TH_Tong hop so luong cac muc_Luong T9 SP han" xfId="284" xr:uid="{00000000-0005-0000-0000-00001B010000}"/>
    <cellStyle name="_KT (2)_2_TG-TH_Tong hop so luong cac muc_SP HAN-T03-pd" xfId="285" xr:uid="{00000000-0005-0000-0000-00001C010000}"/>
    <cellStyle name="_KT (2)_2_TG-TH_Tong hop so luong cac muc_SP HAN-T03-pd 2" xfId="286" xr:uid="{00000000-0005-0000-0000-00001D010000}"/>
    <cellStyle name="_KT (2)_2_TG-TH_Tong hop so luong cac muc_THANG 08" xfId="287" xr:uid="{00000000-0005-0000-0000-00001E010000}"/>
    <cellStyle name="_KT (2)_2_TG-TH_Tong hop so luong cac muc_THANG 08 2" xfId="288" xr:uid="{00000000-0005-0000-0000-00001F010000}"/>
    <cellStyle name="_KT (2)_2_TG-TH_Tong hop so luong cac muc_THANG 08 3" xfId="289" xr:uid="{00000000-0005-0000-0000-000020010000}"/>
    <cellStyle name="_KT (2)_2_TG-TH_Tong hop so luong cac muc_THANG 08_01- QUE HAN chim sao" xfId="290" xr:uid="{00000000-0005-0000-0000-000021010000}"/>
    <cellStyle name="_KT (2)_2_TG-TH_Tong hop so luong cac muc_THANG 08_01- QUE HAN chim sao 2" xfId="291" xr:uid="{00000000-0005-0000-0000-000022010000}"/>
    <cellStyle name="_KT (2)_2_TG-TH_Tong hop so luong cac muc_THANG 08_Book1" xfId="292" xr:uid="{00000000-0005-0000-0000-000023010000}"/>
    <cellStyle name="_KT (2)_2_TG-TH_Tong hop so luong cac muc_THANG 08_Book1 2" xfId="293" xr:uid="{00000000-0005-0000-0000-000024010000}"/>
    <cellStyle name="_KT (2)_2_TG-TH_Tong hop so luong cac muc_THEO DOI HAN RC4 -TS" xfId="294" xr:uid="{00000000-0005-0000-0000-000025010000}"/>
    <cellStyle name="_KT (2)_2_TG-TH_Tong hop so luong cac muc_THEO DOI HAN RC4 -TS 2" xfId="295" xr:uid="{00000000-0005-0000-0000-000026010000}"/>
    <cellStyle name="_KT (2)_2_TG-TH_Tong hop so luong cac muc_W'SRECORD-DNV-2008-gia han han CHIMSAO-08" xfId="296" xr:uid="{00000000-0005-0000-0000-000027010000}"/>
    <cellStyle name="_KT (2)_2_TG-TH_Tong hop so luong cac muc_W'SRECORD-DNV-2008-gia han han CHIMSAO-08 2" xfId="297" xr:uid="{00000000-0005-0000-0000-000028010000}"/>
    <cellStyle name="_KT (2)_2_TG-TH_Tong hop so luong cac muc_Yeu cau vat tu dung cu PEARL" xfId="298" xr:uid="{00000000-0005-0000-0000-000029010000}"/>
    <cellStyle name="_KT (2)_2_TG-TH_Tong hop so luong cac muc_Yeu cau vat tu dung cu PEARL 2" xfId="299" xr:uid="{00000000-0005-0000-0000-00002A010000}"/>
    <cellStyle name="_KT (2)_2_TG-TH_TUNG T5" xfId="300" xr:uid="{00000000-0005-0000-0000-00002B010000}"/>
    <cellStyle name="_KT (2)_2_TG-TH_TUNG T5 2" xfId="301" xr:uid="{00000000-0005-0000-0000-00002C010000}"/>
    <cellStyle name="_KT (2)_2_TG-TH_THANG 08" xfId="248" xr:uid="{00000000-0005-0000-0000-0000F7000000}"/>
    <cellStyle name="_KT (2)_2_TG-TH_THANG 08 2" xfId="249" xr:uid="{00000000-0005-0000-0000-0000F8000000}"/>
    <cellStyle name="_KT (2)_2_TG-TH_THANG 08 3" xfId="250" xr:uid="{00000000-0005-0000-0000-0000F9000000}"/>
    <cellStyle name="_KT (2)_2_TG-TH_THANG 08_01- QUE HAN chim sao" xfId="251" xr:uid="{00000000-0005-0000-0000-0000FA000000}"/>
    <cellStyle name="_KT (2)_2_TG-TH_THANG 08_01- QUE HAN chim sao 2" xfId="252" xr:uid="{00000000-0005-0000-0000-0000FB000000}"/>
    <cellStyle name="_KT (2)_2_TG-TH_THANG 08_Book1" xfId="253" xr:uid="{00000000-0005-0000-0000-0000FC000000}"/>
    <cellStyle name="_KT (2)_2_TG-TH_THANG 08_Book1 2" xfId="254" xr:uid="{00000000-0005-0000-0000-0000FD000000}"/>
    <cellStyle name="_KT (2)_2_TG-TH_THANG2-07" xfId="255" xr:uid="{00000000-0005-0000-0000-0000FE000000}"/>
    <cellStyle name="_KT (2)_2_TG-TH_THANG2-07 2" xfId="256" xr:uid="{00000000-0005-0000-0000-0000FF000000}"/>
    <cellStyle name="_KT (2)_2_TG-TH_THANG2-07 3" xfId="257" xr:uid="{00000000-0005-0000-0000-000000010000}"/>
    <cellStyle name="_KT (2)_2_TG-TH_THANG2-07_01- QUE HAN chim sao" xfId="258" xr:uid="{00000000-0005-0000-0000-000001010000}"/>
    <cellStyle name="_KT (2)_2_TG-TH_THANG2-07_01- QUE HAN chim sao 2" xfId="259" xr:uid="{00000000-0005-0000-0000-000002010000}"/>
    <cellStyle name="_KT (2)_2_TG-TH_THANG2-07_Book1" xfId="260" xr:uid="{00000000-0005-0000-0000-000003010000}"/>
    <cellStyle name="_KT (2)_2_TG-TH_THANG2-07_Book1 2" xfId="261" xr:uid="{00000000-0005-0000-0000-000004010000}"/>
    <cellStyle name="_KT (2)_2_TG-TH_THANG4-08V" xfId="262" xr:uid="{00000000-0005-0000-0000-000005010000}"/>
    <cellStyle name="_KT (2)_2_TG-TH_THANG4-08V 2" xfId="263" xr:uid="{00000000-0005-0000-0000-000006010000}"/>
    <cellStyle name="_KT (2)_2_TG-TH_THANG4-08V 3" xfId="264" xr:uid="{00000000-0005-0000-0000-000007010000}"/>
    <cellStyle name="_KT (2)_2_TG-TH_THANG4-08V_01- QUE HAN chim sao" xfId="265" xr:uid="{00000000-0005-0000-0000-000008010000}"/>
    <cellStyle name="_KT (2)_2_TG-TH_THANG4-08V_01- QUE HAN chim sao 2" xfId="266" xr:uid="{00000000-0005-0000-0000-000009010000}"/>
    <cellStyle name="_KT (2)_2_TG-TH_THANG4-08V_Book1" xfId="267" xr:uid="{00000000-0005-0000-0000-00000A010000}"/>
    <cellStyle name="_KT (2)_2_TG-TH_THANG4-08V_Book1 2" xfId="268" xr:uid="{00000000-0005-0000-0000-00000B010000}"/>
    <cellStyle name="_KT (2)_2_TG-TH_THEO DOI HAN RC4 -TS" xfId="269" xr:uid="{00000000-0005-0000-0000-00000C010000}"/>
    <cellStyle name="_KT (2)_2_TG-TH_THEO DOI HAN RC4 -TS 2" xfId="270" xr:uid="{00000000-0005-0000-0000-00000D010000}"/>
    <cellStyle name="_KT (2)_2_TG-TH_WELD TRACEABILITY JACKET NEW" xfId="302" xr:uid="{00000000-0005-0000-0000-00002D010000}"/>
    <cellStyle name="_KT (2)_2_TG-TH_WELD TRACEABILITY JACKET NEW 2" xfId="303" xr:uid="{00000000-0005-0000-0000-00002E010000}"/>
    <cellStyle name="_KT (2)_2_TG-TH_Weld Traceability Record" xfId="304" xr:uid="{00000000-0005-0000-0000-00002F010000}"/>
    <cellStyle name="_KT (2)_2_TG-TH_Weld Traceability Record 2" xfId="305" xr:uid="{00000000-0005-0000-0000-000030010000}"/>
    <cellStyle name="_KT (2)_2_TG-TH_WELDING CONTROL JACKET" xfId="306" xr:uid="{00000000-0005-0000-0000-000031010000}"/>
    <cellStyle name="_KT (2)_2_TG-TH_WELDING CONTROL JACKET 2" xfId="307" xr:uid="{00000000-0005-0000-0000-000032010000}"/>
    <cellStyle name="_KT (2)_2_TG-TH_W'SRECORD-DNV-2008-gia han han CHIMSAO-08" xfId="308" xr:uid="{00000000-0005-0000-0000-000033010000}"/>
    <cellStyle name="_KT (2)_2_TG-TH_W'SRECORD-DNV-2008-gia han han CHIMSAO-08 2" xfId="309" xr:uid="{00000000-0005-0000-0000-000034010000}"/>
    <cellStyle name="_KT (2)_2_TG-TH_Yeu cau vat tu dung cu PEARL" xfId="310" xr:uid="{00000000-0005-0000-0000-000035010000}"/>
    <cellStyle name="_KT (2)_2_TG-TH_Yeu cau vat tu dung cu PEARL 2" xfId="311" xr:uid="{00000000-0005-0000-0000-000036010000}"/>
    <cellStyle name="_KT (2)_3" xfId="312" xr:uid="{00000000-0005-0000-0000-000037010000}"/>
    <cellStyle name="_KT (2)_3 2" xfId="313" xr:uid="{00000000-0005-0000-0000-000038010000}"/>
    <cellStyle name="_KT (2)_3_TG-TH" xfId="314" xr:uid="{00000000-0005-0000-0000-000039010000}"/>
    <cellStyle name="_KT (2)_3_TG-TH 2" xfId="315" xr:uid="{00000000-0005-0000-0000-00003A010000}"/>
    <cellStyle name="_KT (2)_3_TG-TH 3" xfId="316" xr:uid="{00000000-0005-0000-0000-00003B010000}"/>
    <cellStyle name="_KT (2)_3_TG-TH_002KM4-19(002)" xfId="317" xr:uid="{00000000-0005-0000-0000-00003C010000}"/>
    <cellStyle name="_KT (2)_3_TG-TH_002KM4-19(002) 2" xfId="318" xr:uid="{00000000-0005-0000-0000-00003D010000}"/>
    <cellStyle name="_KT (2)_3_TG-TH_Book1" xfId="319" xr:uid="{00000000-0005-0000-0000-00003E010000}"/>
    <cellStyle name="_KT (2)_3_TG-TH_Book1 2" xfId="320" xr:uid="{00000000-0005-0000-0000-00003F010000}"/>
    <cellStyle name="_KT (2)_3_TG-TH_Book1_THEO DOI HAN RC4 -TS" xfId="321" xr:uid="{00000000-0005-0000-0000-000040010000}"/>
    <cellStyle name="_KT (2)_3_TG-TH_Book1_THEO DOI HAN RC4 -TS 2" xfId="322" xr:uid="{00000000-0005-0000-0000-000041010000}"/>
    <cellStyle name="_KT (2)_3_TG-TH_PD CONTROL FOR STRUCTURAL" xfId="323" xr:uid="{00000000-0005-0000-0000-000042010000}"/>
    <cellStyle name="_KT (2)_3_TG-TH_PD CONTROL FOR STRUCTURAL 2" xfId="324" xr:uid="{00000000-0005-0000-0000-000043010000}"/>
    <cellStyle name="_KT (2)_3_TG-TH_PERSONAL" xfId="325" xr:uid="{00000000-0005-0000-0000-000044010000}"/>
    <cellStyle name="_KT (2)_3_TG-TH_PERSONAL 2" xfId="326" xr:uid="{00000000-0005-0000-0000-000045010000}"/>
    <cellStyle name="_KT (2)_3_TG-TH_PERSONAL 3" xfId="327" xr:uid="{00000000-0005-0000-0000-000046010000}"/>
    <cellStyle name="_KT (2)_3_TG-TH_PERSONAL_002KM4-19(002)" xfId="328" xr:uid="{00000000-0005-0000-0000-000047010000}"/>
    <cellStyle name="_KT (2)_3_TG-TH_PERSONAL_002KM4-19(002) 2" xfId="329" xr:uid="{00000000-0005-0000-0000-000048010000}"/>
    <cellStyle name="_KT (2)_3_TG-TH_PERSONAL_AFC...CPC-CLPP-S-D" xfId="330" xr:uid="{00000000-0005-0000-0000-000049010000}"/>
    <cellStyle name="_KT (2)_3_TG-TH_PERSONAL_AFC...CPC-CLPP-S-D 2" xfId="331" xr:uid="{00000000-0005-0000-0000-00004A010000}"/>
    <cellStyle name="_KT (2)_3_TG-TH_PERSONAL_Ban du tru vat tu- doan tu LANDFALL STATION den GDS" xfId="332" xr:uid="{00000000-0005-0000-0000-00004B010000}"/>
    <cellStyle name="_KT (2)_3_TG-TH_PERSONAL_Ban du tru vat tu- doan tu LANDFALL STATION den GDS 2" xfId="333" xr:uid="{00000000-0005-0000-0000-00004C010000}"/>
    <cellStyle name="_KT (2)_3_TG-TH_PERSONAL_Ban du tru vat tu- doan tu LANDFALL STATION den GDS 3" xfId="334" xr:uid="{00000000-0005-0000-0000-00004D010000}"/>
    <cellStyle name="_KT (2)_3_TG-TH_PERSONAL_Ban du tru vat tu- doan tu LANDFALL STATION den GDS_Sheet2" xfId="335" xr:uid="{00000000-0005-0000-0000-00004E010000}"/>
    <cellStyle name="_KT (2)_3_TG-TH_PERSONAL_Ban du tru vat tu- doan tu LANDFALL STATION den GDS_Sheet2 2" xfId="336" xr:uid="{00000000-0005-0000-0000-00004F010000}"/>
    <cellStyle name="_KT (2)_3_TG-TH_PERSONAL_Book1" xfId="337" xr:uid="{00000000-0005-0000-0000-000050010000}"/>
    <cellStyle name="_KT (2)_3_TG-TH_PERSONAL_Book1 2" xfId="338" xr:uid="{00000000-0005-0000-0000-000051010000}"/>
    <cellStyle name="_KT (2)_3_TG-TH_PERSONAL_Book1_1" xfId="339" xr:uid="{00000000-0005-0000-0000-000052010000}"/>
    <cellStyle name="_KT (2)_3_TG-TH_PERSONAL_Book1_1 2" xfId="340" xr:uid="{00000000-0005-0000-0000-000053010000}"/>
    <cellStyle name="_KT (2)_3_TG-TH_PERSONAL_Book1_1_THEO DOI HAN RC4 -TS" xfId="341" xr:uid="{00000000-0005-0000-0000-000054010000}"/>
    <cellStyle name="_KT (2)_3_TG-TH_PERSONAL_Book1_1_THEO DOI HAN RC4 -TS 2" xfId="342" xr:uid="{00000000-0005-0000-0000-000055010000}"/>
    <cellStyle name="_KT (2)_3_TG-TH_PERSONAL_cong bien 09-05" xfId="343" xr:uid="{00000000-0005-0000-0000-000056010000}"/>
    <cellStyle name="_KT (2)_3_TG-TH_PERSONAL_cong bien 09-05 2" xfId="344" xr:uid="{00000000-0005-0000-0000-000057010000}"/>
    <cellStyle name="_KT (2)_3_TG-TH_PERSONAL_List of Pipe spool ONSHORE" xfId="345" xr:uid="{00000000-0005-0000-0000-000058010000}"/>
    <cellStyle name="_KT (2)_3_TG-TH_PERSONAL_List of Pipe spool ONSHORE 2" xfId="346" xr:uid="{00000000-0005-0000-0000-000059010000}"/>
    <cellStyle name="_KT (2)_3_TG-TH_PERSONAL_Nomenclature PHA1 M10 EJ 010 A" xfId="347" xr:uid="{00000000-0005-0000-0000-00005A010000}"/>
    <cellStyle name="_KT (2)_3_TG-TH_PERSONAL_Nomenclature PHA1 M10 EJ 010 A 2" xfId="348" xr:uid="{00000000-0005-0000-0000-00005B010000}"/>
    <cellStyle name="_KT (2)_3_TG-TH_PERSONAL_Nomenclature PHA1 M10 EJ 010 A 3" xfId="349" xr:uid="{00000000-0005-0000-0000-00005C010000}"/>
    <cellStyle name="_KT (2)_3_TG-TH_PERSONAL_Nomenclature PHA1 M10 EJ 010 A_Sheet2" xfId="350" xr:uid="{00000000-0005-0000-0000-00005D010000}"/>
    <cellStyle name="_KT (2)_3_TG-TH_PERSONAL_Nomenclature PHA1 M10 EJ 010 A_Sheet2 2" xfId="351" xr:uid="{00000000-0005-0000-0000-00005E010000}"/>
    <cellStyle name="_KT (2)_3_TG-TH_PERSONAL_Nomenclature PHA1 M10 EJ 010 A_THEO DOI HAN RC4 -TS" xfId="352" xr:uid="{00000000-0005-0000-0000-00005F010000}"/>
    <cellStyle name="_KT (2)_3_TG-TH_PERSONAL_Nomenclature PHA1 M10 EJ 010 A_THEO DOI HAN RC4 -TS 2" xfId="353" xr:uid="{00000000-0005-0000-0000-000060010000}"/>
    <cellStyle name="_KT (2)_3_TG-TH_PERSONAL_PD CONTROL FOR STRUCTURAL" xfId="354" xr:uid="{00000000-0005-0000-0000-000061010000}"/>
    <cellStyle name="_KT (2)_3_TG-TH_PERSONAL_PD CONTROL FOR STRUCTURAL 2" xfId="355" xr:uid="{00000000-0005-0000-0000-000062010000}"/>
    <cellStyle name="_KT (2)_3_TG-TH_PERSONAL_Tong hop KHCB 2001" xfId="358" xr:uid="{00000000-0005-0000-0000-000065010000}"/>
    <cellStyle name="_KT (2)_3_TG-TH_PERSONAL_Tong hop KHCB 2001 2" xfId="359" xr:uid="{00000000-0005-0000-0000-000066010000}"/>
    <cellStyle name="_KT (2)_3_TG-TH_PERSONAL_TUNG T5" xfId="360" xr:uid="{00000000-0005-0000-0000-000067010000}"/>
    <cellStyle name="_KT (2)_3_TG-TH_PERSONAL_TUNG T5 2" xfId="361" xr:uid="{00000000-0005-0000-0000-000068010000}"/>
    <cellStyle name="_KT (2)_3_TG-TH_PERSONAL_THEO DOI HAN RC4 -TS" xfId="356" xr:uid="{00000000-0005-0000-0000-000063010000}"/>
    <cellStyle name="_KT (2)_3_TG-TH_PERSONAL_THEO DOI HAN RC4 -TS 2" xfId="357" xr:uid="{00000000-0005-0000-0000-000064010000}"/>
    <cellStyle name="_KT (2)_3_TG-TH_TUNG T5" xfId="364" xr:uid="{00000000-0005-0000-0000-00006B010000}"/>
    <cellStyle name="_KT (2)_3_TG-TH_TUNG T5 2" xfId="365" xr:uid="{00000000-0005-0000-0000-00006C010000}"/>
    <cellStyle name="_KT (2)_3_TG-TH_THEO DOI HAN RC4 -TS" xfId="362" xr:uid="{00000000-0005-0000-0000-000069010000}"/>
    <cellStyle name="_KT (2)_3_TG-TH_THEO DOI HAN RC4 -TS 2" xfId="363" xr:uid="{00000000-0005-0000-0000-00006A010000}"/>
    <cellStyle name="_KT (2)_4" xfId="366" xr:uid="{00000000-0005-0000-0000-00006D010000}"/>
    <cellStyle name="_KT (2)_4 2" xfId="367" xr:uid="{00000000-0005-0000-0000-00006E010000}"/>
    <cellStyle name="_KT (2)_4 3" xfId="368" xr:uid="{00000000-0005-0000-0000-00006F010000}"/>
    <cellStyle name="_KT (2)_4_002KM4-19(002)" xfId="369" xr:uid="{00000000-0005-0000-0000-000070010000}"/>
    <cellStyle name="_KT (2)_4_002KM4-19(002) 2" xfId="370" xr:uid="{00000000-0005-0000-0000-000071010000}"/>
    <cellStyle name="_KT (2)_4_01- QUE HAN chim sao" xfId="371" xr:uid="{00000000-0005-0000-0000-000072010000}"/>
    <cellStyle name="_KT (2)_4_01- QUE HAN chim sao 2" xfId="372" xr:uid="{00000000-0005-0000-0000-000073010000}"/>
    <cellStyle name="_KT (2)_4_anhhieu" xfId="373" xr:uid="{00000000-0005-0000-0000-000074010000}"/>
    <cellStyle name="_KT (2)_4_anhhieu 2" xfId="374" xr:uid="{00000000-0005-0000-0000-000075010000}"/>
    <cellStyle name="_KT (2)_4_BAO CAO TUAN25-02" xfId="375" xr:uid="{00000000-0005-0000-0000-000076010000}"/>
    <cellStyle name="_KT (2)_4_BAO CAO TUAN25-02 2" xfId="376" xr:uid="{00000000-0005-0000-0000-000077010000}"/>
    <cellStyle name="_KT (2)_4_baûng chaám coâng ñoâi bieân" xfId="377" xr:uid="{00000000-0005-0000-0000-000078010000}"/>
    <cellStyle name="_KT (2)_4_baûng chaám coâng ñoâi bieân 2" xfId="378" xr:uid="{00000000-0005-0000-0000-000079010000}"/>
    <cellStyle name="_KT (2)_4_Book1" xfId="379" xr:uid="{00000000-0005-0000-0000-00007A010000}"/>
    <cellStyle name="_KT (2)_4_Book1 2" xfId="380" xr:uid="{00000000-0005-0000-0000-00007B010000}"/>
    <cellStyle name="_KT (2)_4_Book1_1" xfId="381" xr:uid="{00000000-0005-0000-0000-00007C010000}"/>
    <cellStyle name="_KT (2)_4_Book1_1 2" xfId="382" xr:uid="{00000000-0005-0000-0000-00007D010000}"/>
    <cellStyle name="_KT (2)_4_Book1_1_01-Cong tring cang VSP-Khoi luong thuc hien T9" xfId="383" xr:uid="{00000000-0005-0000-0000-00007E010000}"/>
    <cellStyle name="_KT (2)_4_Book1_1_01-Cong tring cang VSP-Khoi luong thuc hien T9 2" xfId="384" xr:uid="{00000000-0005-0000-0000-00007F010000}"/>
    <cellStyle name="_KT (2)_4_Book1_1_BAO CAO TUAN25-02" xfId="385" xr:uid="{00000000-0005-0000-0000-000080010000}"/>
    <cellStyle name="_KT (2)_4_Book1_1_BAO CAO TUAN25-02 2" xfId="386" xr:uid="{00000000-0005-0000-0000-000081010000}"/>
    <cellStyle name="_KT (2)_4_Book1_1_BAO CAO TUAN25-02 3" xfId="387" xr:uid="{00000000-0005-0000-0000-000082010000}"/>
    <cellStyle name="_KT (2)_4_Book1_1_BAO CAO TUAN25-02_01- QUE HAN chim sao" xfId="388" xr:uid="{00000000-0005-0000-0000-000083010000}"/>
    <cellStyle name="_KT (2)_4_Book1_1_BAO CAO TUAN25-02_01- QUE HAN chim sao 2" xfId="389" xr:uid="{00000000-0005-0000-0000-000084010000}"/>
    <cellStyle name="_KT (2)_4_Book1_1_BAO CAO TUAN25-02_Book1" xfId="390" xr:uid="{00000000-0005-0000-0000-000085010000}"/>
    <cellStyle name="_KT (2)_4_Book1_1_BAO CAO TUAN25-02_Book1 2" xfId="391" xr:uid="{00000000-0005-0000-0000-000086010000}"/>
    <cellStyle name="_KT (2)_4_Book1_1_Book1" xfId="392" xr:uid="{00000000-0005-0000-0000-000087010000}"/>
    <cellStyle name="_KT (2)_4_Book1_1_Book1 2" xfId="393" xr:uid="{00000000-0005-0000-0000-000088010000}"/>
    <cellStyle name="_KT (2)_4_Book1_1_Book1 3" xfId="394" xr:uid="{00000000-0005-0000-0000-000089010000}"/>
    <cellStyle name="_KT (2)_4_Book1_1_Book1_01- QUE HAN chim sao" xfId="395" xr:uid="{00000000-0005-0000-0000-00008A010000}"/>
    <cellStyle name="_KT (2)_4_Book1_1_Book1_01- QUE HAN chim sao 2" xfId="396" xr:uid="{00000000-0005-0000-0000-00008B010000}"/>
    <cellStyle name="_KT (2)_4_Book1_1_Book1_Book1" xfId="397" xr:uid="{00000000-0005-0000-0000-00008C010000}"/>
    <cellStyle name="_KT (2)_4_Book1_1_Book1_Book1 2" xfId="398" xr:uid="{00000000-0005-0000-0000-00008D010000}"/>
    <cellStyle name="_KT (2)_4_Book1_1_Book1_Book1 3" xfId="399" xr:uid="{00000000-0005-0000-0000-00008E010000}"/>
    <cellStyle name="_KT (2)_4_Book1_1_Book1_Book1_Book1" xfId="400" xr:uid="{00000000-0005-0000-0000-00008F010000}"/>
    <cellStyle name="_KT (2)_4_Book1_1_Book1_Book1_Book1 2" xfId="401" xr:uid="{00000000-0005-0000-0000-000090010000}"/>
    <cellStyle name="_KT (2)_4_Book1_1_Book1_Sheet2" xfId="402" xr:uid="{00000000-0005-0000-0000-000091010000}"/>
    <cellStyle name="_KT (2)_4_Book1_1_Book1_Sheet2 2" xfId="403" xr:uid="{00000000-0005-0000-0000-000092010000}"/>
    <cellStyle name="_KT (2)_4_Book1_1_Book1_TH KL thiet bi room shelter final" xfId="404" xr:uid="{00000000-0005-0000-0000-000093010000}"/>
    <cellStyle name="_KT (2)_4_Book1_1_Book1_TH KL thiet bi room shelter final 2" xfId="405" xr:uid="{00000000-0005-0000-0000-000094010000}"/>
    <cellStyle name="_KT (2)_4_Book1_1_Book1_THEO DOI HAN RC4 -TS" xfId="406" xr:uid="{00000000-0005-0000-0000-000095010000}"/>
    <cellStyle name="_KT (2)_4_Book1_1_Book1_THEO DOI HAN RC4 -TS 2" xfId="407" xr:uid="{00000000-0005-0000-0000-000096010000}"/>
    <cellStyle name="_KT (2)_4_Book1_1_Book1_W'SRECORD-DNV-2008-gia han han CHIMSAO-08" xfId="408" xr:uid="{00000000-0005-0000-0000-000097010000}"/>
    <cellStyle name="_KT (2)_4_Book1_1_Book1_W'SRECORD-DNV-2008-gia han han CHIMSAO-08 2" xfId="409" xr:uid="{00000000-0005-0000-0000-000098010000}"/>
    <cellStyle name="_KT (2)_4_Book1_1_Book1_Yeu cau vat tu dung cu PEARL" xfId="410" xr:uid="{00000000-0005-0000-0000-000099010000}"/>
    <cellStyle name="_KT (2)_4_Book1_1_Book1_Yeu cau vat tu dung cu PEARL 2" xfId="411" xr:uid="{00000000-0005-0000-0000-00009A010000}"/>
    <cellStyle name="_KT (2)_4_Book1_1_Copy of THE-FRONT-1" xfId="412" xr:uid="{00000000-0005-0000-0000-00009B010000}"/>
    <cellStyle name="_KT (2)_4_Book1_1_Copy of THE-FRONT-1 2" xfId="413" xr:uid="{00000000-0005-0000-0000-00009C010000}"/>
    <cellStyle name="_KT (2)_4_Book1_1_Copy of THE-FRONT-1 3" xfId="414" xr:uid="{00000000-0005-0000-0000-00009D010000}"/>
    <cellStyle name="_KT (2)_4_Book1_1_Copy of THE-FRONT-1_01- QUE HAN chim sao" xfId="415" xr:uid="{00000000-0005-0000-0000-00009E010000}"/>
    <cellStyle name="_KT (2)_4_Book1_1_Copy of THE-FRONT-1_01- QUE HAN chim sao 2" xfId="416" xr:uid="{00000000-0005-0000-0000-00009F010000}"/>
    <cellStyle name="_KT (2)_4_Book1_1_Copy of THE-FRONT-1_Book1" xfId="417" xr:uid="{00000000-0005-0000-0000-0000A0010000}"/>
    <cellStyle name="_KT (2)_4_Book1_1_Copy of THE-FRONT-1_Book1 2" xfId="418" xr:uid="{00000000-0005-0000-0000-0000A1010000}"/>
    <cellStyle name="_KT (2)_4_Book1_1_Copy of THE-FRONT-1_SP HAN-T03-pd" xfId="419" xr:uid="{00000000-0005-0000-0000-0000A2010000}"/>
    <cellStyle name="_KT (2)_4_Book1_1_Copy of THE-FRONT-1_SP HAN-T03-pd 2" xfId="420" xr:uid="{00000000-0005-0000-0000-0000A3010000}"/>
    <cellStyle name="_KT (2)_4_Book1_1_Copy of THE-FRONT-1_SP HAN-T04-pd" xfId="421" xr:uid="{00000000-0005-0000-0000-0000A4010000}"/>
    <cellStyle name="_KT (2)_4_Book1_1_Copy of THE-FRONT-1_SP HAN-T04-pd 2" xfId="422" xr:uid="{00000000-0005-0000-0000-0000A5010000}"/>
    <cellStyle name="_KT (2)_4_Book1_1_Copy of THE-FRONT-1_THANG 08" xfId="423" xr:uid="{00000000-0005-0000-0000-0000A6010000}"/>
    <cellStyle name="_KT (2)_4_Book1_1_Copy of THE-FRONT-1_THANG 08 2" xfId="424" xr:uid="{00000000-0005-0000-0000-0000A7010000}"/>
    <cellStyle name="_KT (2)_4_Book1_1_Copy of THE-FRONT-1_THANG 08 3" xfId="425" xr:uid="{00000000-0005-0000-0000-0000A8010000}"/>
    <cellStyle name="_KT (2)_4_Book1_1_Copy of THE-FRONT-1_THANG 08_01- QUE HAN chim sao" xfId="426" xr:uid="{00000000-0005-0000-0000-0000A9010000}"/>
    <cellStyle name="_KT (2)_4_Book1_1_Copy of THE-FRONT-1_THANG 08_01- QUE HAN chim sao 2" xfId="427" xr:uid="{00000000-0005-0000-0000-0000AA010000}"/>
    <cellStyle name="_KT (2)_4_Book1_1_Copy of THE-FRONT-1_THANG 08_Book1" xfId="428" xr:uid="{00000000-0005-0000-0000-0000AB010000}"/>
    <cellStyle name="_KT (2)_4_Book1_1_Copy of THE-FRONT-1_THANG 08_Book1 2" xfId="429" xr:uid="{00000000-0005-0000-0000-0000AC010000}"/>
    <cellStyle name="_KT (2)_4_Book1_1_Copy of THE-FRONT-1_W'SRECORD-DNV-2008-gia han han CHIMSAO-08" xfId="430" xr:uid="{00000000-0005-0000-0000-0000AD010000}"/>
    <cellStyle name="_KT (2)_4_Book1_1_Copy of THE-FRONT-1_W'SRECORD-DNV-2008-gia han han CHIMSAO-08 2" xfId="431" xr:uid="{00000000-0005-0000-0000-0000AE010000}"/>
    <cellStyle name="_KT (2)_4_Book1_1_Copy of THE-FRONT-1_Yeu cau vat tu dung cu PEARL" xfId="432" xr:uid="{00000000-0005-0000-0000-0000AF010000}"/>
    <cellStyle name="_KT (2)_4_Book1_1_Copy of THE-FRONT-1_Yeu cau vat tu dung cu PEARL 2" xfId="433" xr:uid="{00000000-0005-0000-0000-0000B0010000}"/>
    <cellStyle name="_KT (2)_4_Book1_1_HOP DONG KHOAN SDA-WHP Jacket-10" xfId="434" xr:uid="{00000000-0005-0000-0000-0000B1010000}"/>
    <cellStyle name="_KT (2)_4_Book1_1_HOP DONG KHOAN SDA-WHP Jacket-10 2" xfId="435" xr:uid="{00000000-0005-0000-0000-0000B2010000}"/>
    <cellStyle name="_KT (2)_4_Book1_1_HOP DONG KHOAN SDA-WHP Jacket-10 3" xfId="436" xr:uid="{00000000-0005-0000-0000-0000B3010000}"/>
    <cellStyle name="_KT (2)_4_Book1_1_HOP DONG KHOAN SDA-WHP Jacket-10_01- QUE HAN chim sao" xfId="437" xr:uid="{00000000-0005-0000-0000-0000B4010000}"/>
    <cellStyle name="_KT (2)_4_Book1_1_HOP DONG KHOAN SDA-WHP Jacket-10_01- QUE HAN chim sao 2" xfId="438" xr:uid="{00000000-0005-0000-0000-0000B5010000}"/>
    <cellStyle name="_KT (2)_4_Book1_1_HOP DONG KHOAN SDA-WHP Jacket-10_Book1" xfId="439" xr:uid="{00000000-0005-0000-0000-0000B6010000}"/>
    <cellStyle name="_KT (2)_4_Book1_1_HOP DONG KHOAN SDA-WHP Jacket-10_Book1 2" xfId="440" xr:uid="{00000000-0005-0000-0000-0000B7010000}"/>
    <cellStyle name="_KT (2)_4_Book1_1_HOP DONG KHOAN SDA-WHP Jacket-12" xfId="441" xr:uid="{00000000-0005-0000-0000-0000B8010000}"/>
    <cellStyle name="_KT (2)_4_Book1_1_HOP DONG KHOAN SDA-WHP Jacket-12 2" xfId="442" xr:uid="{00000000-0005-0000-0000-0000B9010000}"/>
    <cellStyle name="_KT (2)_4_Book1_1_HOP DONG KHOAN SDA-WHP Jacket-12 3" xfId="443" xr:uid="{00000000-0005-0000-0000-0000BA010000}"/>
    <cellStyle name="_KT (2)_4_Book1_1_HOP DONG KHOAN SDA-WHP Jacket-12_01- QUE HAN chim sao" xfId="444" xr:uid="{00000000-0005-0000-0000-0000BB010000}"/>
    <cellStyle name="_KT (2)_4_Book1_1_HOP DONG KHOAN SDA-WHP Jacket-12_01- QUE HAN chim sao 2" xfId="445" xr:uid="{00000000-0005-0000-0000-0000BC010000}"/>
    <cellStyle name="_KT (2)_4_Book1_1_HOP DONG KHOAN SDA-WHP Jacket-12_Book1" xfId="446" xr:uid="{00000000-0005-0000-0000-0000BD010000}"/>
    <cellStyle name="_KT (2)_4_Book1_1_HOP DONG KHOAN SDA-WHP Jacket-12_Book1 2" xfId="447" xr:uid="{00000000-0005-0000-0000-0000BE010000}"/>
    <cellStyle name="_KT (2)_4_Book1_1_KHOI LUONG CNV -WHP " xfId="448" xr:uid="{00000000-0005-0000-0000-0000BF010000}"/>
    <cellStyle name="_KT (2)_4_Book1_1_KHOI LUONG CNV -WHP  2" xfId="449" xr:uid="{00000000-0005-0000-0000-0000C0010000}"/>
    <cellStyle name="_KT (2)_4_Book1_1_MR THAI QC" xfId="450" xr:uid="{00000000-0005-0000-0000-0000C1010000}"/>
    <cellStyle name="_KT (2)_4_Book1_1_MR THAI QC 2" xfId="451" xr:uid="{00000000-0005-0000-0000-0000C2010000}"/>
    <cellStyle name="_KT (2)_4_Book1_1_rc4helideck-vat tu" xfId="452" xr:uid="{00000000-0005-0000-0000-0000C3010000}"/>
    <cellStyle name="_KT (2)_4_Book1_1_rc4helideck-vat tu 2" xfId="453" xr:uid="{00000000-0005-0000-0000-0000C4010000}"/>
    <cellStyle name="_KT (2)_4_Book1_1_tong hop- rc4helideck-vat tu" xfId="460" xr:uid="{00000000-0005-0000-0000-0000CB010000}"/>
    <cellStyle name="_KT (2)_4_Book1_1_tong hop- rc4helideck-vat tu 2" xfId="461" xr:uid="{00000000-0005-0000-0000-0000CC010000}"/>
    <cellStyle name="_KT (2)_4_Book1_1_TH KL thiet bi room shelter final" xfId="454" xr:uid="{00000000-0005-0000-0000-0000C5010000}"/>
    <cellStyle name="_KT (2)_4_Book1_1_TH KL thiet bi room shelter final 2" xfId="455" xr:uid="{00000000-0005-0000-0000-0000C6010000}"/>
    <cellStyle name="_KT (2)_4_Book1_1_THANG 08" xfId="456" xr:uid="{00000000-0005-0000-0000-0000C7010000}"/>
    <cellStyle name="_KT (2)_4_Book1_1_THANG 08 2" xfId="457" xr:uid="{00000000-0005-0000-0000-0000C8010000}"/>
    <cellStyle name="_KT (2)_4_Book1_1_THANG2-07" xfId="458" xr:uid="{00000000-0005-0000-0000-0000C9010000}"/>
    <cellStyle name="_KT (2)_4_Book1_1_THANG2-07 2" xfId="459" xr:uid="{00000000-0005-0000-0000-0000CA010000}"/>
    <cellStyle name="_KT (2)_4_Book1_1_W'SRECORD-DNV-2008-gia han han CHIMSAO-08" xfId="462" xr:uid="{00000000-0005-0000-0000-0000CD010000}"/>
    <cellStyle name="_KT (2)_4_Book1_1_W'SRECORD-DNV-2008-gia han han CHIMSAO-08 2" xfId="463" xr:uid="{00000000-0005-0000-0000-0000CE010000}"/>
    <cellStyle name="_KT (2)_4_Book1_1_Yeu cau vat tu dung cu PEARL" xfId="464" xr:uid="{00000000-0005-0000-0000-0000CF010000}"/>
    <cellStyle name="_KT (2)_4_Book1_1_Yeu cau vat tu dung cu PEARL 2" xfId="465" xr:uid="{00000000-0005-0000-0000-0000D0010000}"/>
    <cellStyle name="_KT (2)_4_C-TH an ca Thang 04-08" xfId="466" xr:uid="{00000000-0005-0000-0000-0000D1010000}"/>
    <cellStyle name="_KT (2)_4_C-TH an ca Thang 04-08 2" xfId="467" xr:uid="{00000000-0005-0000-0000-0000D2010000}"/>
    <cellStyle name="_KT (2)_4_C-TH an ca Thang 04-08 3" xfId="468" xr:uid="{00000000-0005-0000-0000-0000D3010000}"/>
    <cellStyle name="_KT (2)_4_C-TH an ca Thang 04-08_01- QUE HAN chim sao" xfId="469" xr:uid="{00000000-0005-0000-0000-0000D4010000}"/>
    <cellStyle name="_KT (2)_4_C-TH an ca Thang 04-08_01- QUE HAN chim sao 2" xfId="470" xr:uid="{00000000-0005-0000-0000-0000D5010000}"/>
    <cellStyle name="_KT (2)_4_C-TH an ca Thang 04-08_Book1" xfId="471" xr:uid="{00000000-0005-0000-0000-0000D6010000}"/>
    <cellStyle name="_KT (2)_4_C-TH an ca Thang 04-08_Book1 2" xfId="472" xr:uid="{00000000-0005-0000-0000-0000D7010000}"/>
    <cellStyle name="_KT (2)_4_Danh muc tai lieu" xfId="473" xr:uid="{00000000-0005-0000-0000-0000D8010000}"/>
    <cellStyle name="_KT (2)_4_Danh muc tai lieu 2" xfId="474" xr:uid="{00000000-0005-0000-0000-0000D9010000}"/>
    <cellStyle name="_KT (2)_4_DANH SACH CBCNV CT CANG" xfId="475" xr:uid="{00000000-0005-0000-0000-0000DA010000}"/>
    <cellStyle name="_KT (2)_4_DANH SACH CBCNV CT CANG 2" xfId="476" xr:uid="{00000000-0005-0000-0000-0000DB010000}"/>
    <cellStyle name="_KT (2)_4_DANH SACH CBCNV CT CANG 3" xfId="477" xr:uid="{00000000-0005-0000-0000-0000DC010000}"/>
    <cellStyle name="_KT (2)_4_DANH SACH CBCNV CT CANG_01- QUE HAN chim sao" xfId="478" xr:uid="{00000000-0005-0000-0000-0000DD010000}"/>
    <cellStyle name="_KT (2)_4_DANH SACH CBCNV CT CANG_01- QUE HAN chim sao 2" xfId="479" xr:uid="{00000000-0005-0000-0000-0000DE010000}"/>
    <cellStyle name="_KT (2)_4_DANH SACH CBCNV CT CANG_Book1" xfId="480" xr:uid="{00000000-0005-0000-0000-0000DF010000}"/>
    <cellStyle name="_KT (2)_4_DANH SACH CBCNV CT CANG_Book1 2" xfId="481" xr:uid="{00000000-0005-0000-0000-0000E0010000}"/>
    <cellStyle name="_KT (2)_4_FORM RFI TSON" xfId="482" xr:uid="{00000000-0005-0000-0000-0000E1010000}"/>
    <cellStyle name="_KT (2)_4_FORM RFI TSON 2" xfId="483" xr:uid="{00000000-0005-0000-0000-0000E2010000}"/>
    <cellStyle name="_KT (2)_4_FORM RFI TSON 3" xfId="484" xr:uid="{00000000-0005-0000-0000-0000E3010000}"/>
    <cellStyle name="_KT (2)_4_FORM RFI TSON_01- QUE HAN chim sao" xfId="485" xr:uid="{00000000-0005-0000-0000-0000E4010000}"/>
    <cellStyle name="_KT (2)_4_FORM RFI TSON_01- QUE HAN chim sao 2" xfId="486" xr:uid="{00000000-0005-0000-0000-0000E5010000}"/>
    <cellStyle name="_KT (2)_4_FORM RFI TSON_Book1" xfId="487" xr:uid="{00000000-0005-0000-0000-0000E6010000}"/>
    <cellStyle name="_KT (2)_4_FORM RFI TSON_Book1 2" xfId="488" xr:uid="{00000000-0005-0000-0000-0000E7010000}"/>
    <cellStyle name="_KT (2)_4_FORM RFI TSON_Sheet2" xfId="489" xr:uid="{00000000-0005-0000-0000-0000E8010000}"/>
    <cellStyle name="_KT (2)_4_FORM RFI TSON_Sheet2 2" xfId="490" xr:uid="{00000000-0005-0000-0000-0000E9010000}"/>
    <cellStyle name="_KT (2)_4_HOP DONG KHOAN SDA-WHP Jacket-10" xfId="491" xr:uid="{00000000-0005-0000-0000-0000EA010000}"/>
    <cellStyle name="_KT (2)_4_HOP DONG KHOAN SDA-WHP Jacket-10 2" xfId="492" xr:uid="{00000000-0005-0000-0000-0000EB010000}"/>
    <cellStyle name="_KT (2)_4_HOP DONG KHOAN SDA-WHP Jacket-12" xfId="493" xr:uid="{00000000-0005-0000-0000-0000EC010000}"/>
    <cellStyle name="_KT (2)_4_HOP DONG KHOAN SDA-WHP Jacket-12 2" xfId="494" xr:uid="{00000000-0005-0000-0000-0000ED010000}"/>
    <cellStyle name="_KT (2)_4_KHOI LUONG CNV -WHP " xfId="495" xr:uid="{00000000-0005-0000-0000-0000EE010000}"/>
    <cellStyle name="_KT (2)_4_KHOI LUONG CNV -WHP  2" xfId="496" xr:uid="{00000000-0005-0000-0000-0000EF010000}"/>
    <cellStyle name="_KT (2)_4_KHOI LUONG CNV -WHP  3" xfId="497" xr:uid="{00000000-0005-0000-0000-0000F0010000}"/>
    <cellStyle name="_KT (2)_4_KHOI LUONG CNV -WHP _01- QUE HAN chim sao" xfId="498" xr:uid="{00000000-0005-0000-0000-0000F1010000}"/>
    <cellStyle name="_KT (2)_4_KHOI LUONG CNV -WHP _01- QUE HAN chim sao 2" xfId="499" xr:uid="{00000000-0005-0000-0000-0000F2010000}"/>
    <cellStyle name="_KT (2)_4_KHOI LUONG CNV -WHP _Book1" xfId="500" xr:uid="{00000000-0005-0000-0000-0000F3010000}"/>
    <cellStyle name="_KT (2)_4_KHOI LUONG CNV -WHP _Book1 2" xfId="501" xr:uid="{00000000-0005-0000-0000-0000F4010000}"/>
    <cellStyle name="_KT (2)_4_Material Request &amp; issue voucher-05-01-08-GUI THIEN LOE" xfId="502" xr:uid="{00000000-0005-0000-0000-0000F5010000}"/>
    <cellStyle name="_KT (2)_4_Material Request &amp; issue voucher-05-01-08-GUI THIEN LOE 2" xfId="503" xr:uid="{00000000-0005-0000-0000-0000F6010000}"/>
    <cellStyle name="_KT (2)_4_Nomenclature PHA1 M15 DU 042 A" xfId="504" xr:uid="{00000000-0005-0000-0000-0000F7010000}"/>
    <cellStyle name="_KT (2)_4_Nomenclature PHA1 M15 DU 042 A 2" xfId="505" xr:uid="{00000000-0005-0000-0000-0000F8010000}"/>
    <cellStyle name="_KT (2)_4_Nomenclature PHA1 M15 DU 042 A 3" xfId="506" xr:uid="{00000000-0005-0000-0000-0000F9010000}"/>
    <cellStyle name="_KT (2)_4_Nomenclature PHA1 M15 DU 042 A_01- QUE HAN chim sao" xfId="507" xr:uid="{00000000-0005-0000-0000-0000FA010000}"/>
    <cellStyle name="_KT (2)_4_Nomenclature PHA1 M15 DU 042 A_01- QUE HAN chim sao 2" xfId="508" xr:uid="{00000000-0005-0000-0000-0000FB010000}"/>
    <cellStyle name="_KT (2)_4_Nomenclature PHA1 M15 DU 042 A_Book1" xfId="509" xr:uid="{00000000-0005-0000-0000-0000FC010000}"/>
    <cellStyle name="_KT (2)_4_Nomenclature PHA1 M15 DU 042 A_Book1 2" xfId="510" xr:uid="{00000000-0005-0000-0000-0000FD010000}"/>
    <cellStyle name="_KT (2)_4_Nomenclature PHA1 M15 DU 042 A_Sheet2" xfId="511" xr:uid="{00000000-0005-0000-0000-0000FE010000}"/>
    <cellStyle name="_KT (2)_4_Nomenclature PHA1 M15 DU 042 A_Sheet2 2" xfId="512" xr:uid="{00000000-0005-0000-0000-0000FF010000}"/>
    <cellStyle name="_KT (2)_4_pd" xfId="513" xr:uid="{00000000-0005-0000-0000-000000020000}"/>
    <cellStyle name="_KT (2)_4_pd 2" xfId="514" xr:uid="{00000000-0005-0000-0000-000001020000}"/>
    <cellStyle name="_KT (2)_4_PD CONTROL FOR STRUCTURAL" xfId="515" xr:uid="{00000000-0005-0000-0000-000002020000}"/>
    <cellStyle name="_KT (2)_4_PD CONTROL FOR STRUCTURAL 2" xfId="516" xr:uid="{00000000-0005-0000-0000-000003020000}"/>
    <cellStyle name="_KT (2)_4_Phuong Dong01" xfId="517" xr:uid="{00000000-0005-0000-0000-000004020000}"/>
    <cellStyle name="_KT (2)_4_Phuong Dong01 2" xfId="518" xr:uid="{00000000-0005-0000-0000-000005020000}"/>
    <cellStyle name="_KT (2)_4_rc4helideck-vat tu" xfId="519" xr:uid="{00000000-0005-0000-0000-000006020000}"/>
    <cellStyle name="_KT (2)_4_rc4helideck-vat tu 2" xfId="520" xr:uid="{00000000-0005-0000-0000-000007020000}"/>
    <cellStyle name="_KT (2)_4_RQ-RC4" xfId="521" xr:uid="{00000000-0005-0000-0000-000008020000}"/>
    <cellStyle name="_KT (2)_4_RQ-RC4 2" xfId="522" xr:uid="{00000000-0005-0000-0000-000009020000}"/>
    <cellStyle name="_KT (2)_4_SP HAN-T03-pd" xfId="523" xr:uid="{00000000-0005-0000-0000-00000A020000}"/>
    <cellStyle name="_KT (2)_4_SP HAN-T03-pd 2" xfId="524" xr:uid="{00000000-0005-0000-0000-00000B020000}"/>
    <cellStyle name="_KT (2)_4_SP HAN-T04-pd" xfId="525" xr:uid="{00000000-0005-0000-0000-00000C020000}"/>
    <cellStyle name="_KT (2)_4_SP HAN-T04-pd 2" xfId="526" xr:uid="{00000000-0005-0000-0000-00000D020000}"/>
    <cellStyle name="_KT (2)_4_spool fabrication progress 123" xfId="527" xr:uid="{00000000-0005-0000-0000-00000E020000}"/>
    <cellStyle name="_KT (2)_4_spool fabrication progress 123 2" xfId="528" xr:uid="{00000000-0005-0000-0000-00000F020000}"/>
    <cellStyle name="_KT (2)_4_Spool Installation Progress" xfId="529" xr:uid="{00000000-0005-0000-0000-000010020000}"/>
    <cellStyle name="_KT (2)_4_Spool Installation Progress 2" xfId="530" xr:uid="{00000000-0005-0000-0000-000011020000}"/>
    <cellStyle name="_KT (2)_4_TG-TH" xfId="531" xr:uid="{00000000-0005-0000-0000-000012020000}"/>
    <cellStyle name="_KT (2)_4_TG-TH 2" xfId="532" xr:uid="{00000000-0005-0000-0000-000013020000}"/>
    <cellStyle name="_KT (2)_4_TONG HOP KHOI LUONG SAT GOC SUPPORT RC4" xfId="556" xr:uid="{00000000-0005-0000-0000-00002B020000}"/>
    <cellStyle name="_KT (2)_4_TONG HOP KHOI LUONG SAT GOC SUPPORT RC4 2" xfId="557" xr:uid="{00000000-0005-0000-0000-00002C020000}"/>
    <cellStyle name="_KT (2)_4_tong hop- rc4helideck-vat tu" xfId="558" xr:uid="{00000000-0005-0000-0000-00002D020000}"/>
    <cellStyle name="_KT (2)_4_tong hop- rc4helideck-vat tu 2" xfId="559" xr:uid="{00000000-0005-0000-0000-00002E020000}"/>
    <cellStyle name="_KT (2)_4_Tong hop so luong cac muc" xfId="560" xr:uid="{00000000-0005-0000-0000-00002F020000}"/>
    <cellStyle name="_KT (2)_4_Tong hop so luong cac muc 2" xfId="561" xr:uid="{00000000-0005-0000-0000-000030020000}"/>
    <cellStyle name="_KT (2)_4_Tong hop so luong cac muc 3" xfId="562" xr:uid="{00000000-0005-0000-0000-000031020000}"/>
    <cellStyle name="_KT (2)_4_Tong hop so luong cac muc_01- QUE HAN chim sao" xfId="563" xr:uid="{00000000-0005-0000-0000-000032020000}"/>
    <cellStyle name="_KT (2)_4_Tong hop so luong cac muc_01- QUE HAN chim sao 2" xfId="564" xr:uid="{00000000-0005-0000-0000-000033020000}"/>
    <cellStyle name="_KT (2)_4_Tong hop so luong cac muc_Book1" xfId="565" xr:uid="{00000000-0005-0000-0000-000034020000}"/>
    <cellStyle name="_KT (2)_4_Tong hop so luong cac muc_Book1 2" xfId="566" xr:uid="{00000000-0005-0000-0000-000035020000}"/>
    <cellStyle name="_KT (2)_4_Tong hop so luong cac muc_Luong T06-css" xfId="567" xr:uid="{00000000-0005-0000-0000-000036020000}"/>
    <cellStyle name="_KT (2)_4_Tong hop so luong cac muc_Luong T06-css 2" xfId="568" xr:uid="{00000000-0005-0000-0000-000037020000}"/>
    <cellStyle name="_KT (2)_4_Tong hop so luong cac muc_Luong T9 SP han" xfId="569" xr:uid="{00000000-0005-0000-0000-000038020000}"/>
    <cellStyle name="_KT (2)_4_Tong hop so luong cac muc_SP HAN-T03-pd" xfId="570" xr:uid="{00000000-0005-0000-0000-000039020000}"/>
    <cellStyle name="_KT (2)_4_Tong hop so luong cac muc_SP HAN-T03-pd 2" xfId="571" xr:uid="{00000000-0005-0000-0000-00003A020000}"/>
    <cellStyle name="_KT (2)_4_Tong hop so luong cac muc_THANG 08" xfId="572" xr:uid="{00000000-0005-0000-0000-00003B020000}"/>
    <cellStyle name="_KT (2)_4_Tong hop so luong cac muc_THANG 08 2" xfId="573" xr:uid="{00000000-0005-0000-0000-00003C020000}"/>
    <cellStyle name="_KT (2)_4_Tong hop so luong cac muc_THANG 08 3" xfId="574" xr:uid="{00000000-0005-0000-0000-00003D020000}"/>
    <cellStyle name="_KT (2)_4_Tong hop so luong cac muc_THANG 08_01- QUE HAN chim sao" xfId="575" xr:uid="{00000000-0005-0000-0000-00003E020000}"/>
    <cellStyle name="_KT (2)_4_Tong hop so luong cac muc_THANG 08_01- QUE HAN chim sao 2" xfId="576" xr:uid="{00000000-0005-0000-0000-00003F020000}"/>
    <cellStyle name="_KT (2)_4_Tong hop so luong cac muc_THANG 08_Book1" xfId="577" xr:uid="{00000000-0005-0000-0000-000040020000}"/>
    <cellStyle name="_KT (2)_4_Tong hop so luong cac muc_THANG 08_Book1 2" xfId="578" xr:uid="{00000000-0005-0000-0000-000041020000}"/>
    <cellStyle name="_KT (2)_4_Tong hop so luong cac muc_THEO DOI HAN RC4 -TS" xfId="579" xr:uid="{00000000-0005-0000-0000-000042020000}"/>
    <cellStyle name="_KT (2)_4_Tong hop so luong cac muc_THEO DOI HAN RC4 -TS 2" xfId="580" xr:uid="{00000000-0005-0000-0000-000043020000}"/>
    <cellStyle name="_KT (2)_4_Tong hop so luong cac muc_W'SRECORD-DNV-2008-gia han han CHIMSAO-08" xfId="581" xr:uid="{00000000-0005-0000-0000-000044020000}"/>
    <cellStyle name="_KT (2)_4_Tong hop so luong cac muc_W'SRECORD-DNV-2008-gia han han CHIMSAO-08 2" xfId="582" xr:uid="{00000000-0005-0000-0000-000045020000}"/>
    <cellStyle name="_KT (2)_4_Tong hop so luong cac muc_Yeu cau vat tu dung cu PEARL" xfId="583" xr:uid="{00000000-0005-0000-0000-000046020000}"/>
    <cellStyle name="_KT (2)_4_Tong hop so luong cac muc_Yeu cau vat tu dung cu PEARL 2" xfId="584" xr:uid="{00000000-0005-0000-0000-000047020000}"/>
    <cellStyle name="_KT (2)_4_TUNG T5" xfId="585" xr:uid="{00000000-0005-0000-0000-000048020000}"/>
    <cellStyle name="_KT (2)_4_TUNG T5 2" xfId="586" xr:uid="{00000000-0005-0000-0000-000049020000}"/>
    <cellStyle name="_KT (2)_4_THANG 08" xfId="533" xr:uid="{00000000-0005-0000-0000-000014020000}"/>
    <cellStyle name="_KT (2)_4_THANG 08 2" xfId="534" xr:uid="{00000000-0005-0000-0000-000015020000}"/>
    <cellStyle name="_KT (2)_4_THANG 08 3" xfId="535" xr:uid="{00000000-0005-0000-0000-000016020000}"/>
    <cellStyle name="_KT (2)_4_THANG 08_01- QUE HAN chim sao" xfId="536" xr:uid="{00000000-0005-0000-0000-000017020000}"/>
    <cellStyle name="_KT (2)_4_THANG 08_01- QUE HAN chim sao 2" xfId="537" xr:uid="{00000000-0005-0000-0000-000018020000}"/>
    <cellStyle name="_KT (2)_4_THANG 08_Book1" xfId="538" xr:uid="{00000000-0005-0000-0000-000019020000}"/>
    <cellStyle name="_KT (2)_4_THANG 08_Book1 2" xfId="539" xr:uid="{00000000-0005-0000-0000-00001A020000}"/>
    <cellStyle name="_KT (2)_4_THANG2-07" xfId="540" xr:uid="{00000000-0005-0000-0000-00001B020000}"/>
    <cellStyle name="_KT (2)_4_THANG2-07 2" xfId="541" xr:uid="{00000000-0005-0000-0000-00001C020000}"/>
    <cellStyle name="_KT (2)_4_THANG2-07 3" xfId="542" xr:uid="{00000000-0005-0000-0000-00001D020000}"/>
    <cellStyle name="_KT (2)_4_THANG2-07_01- QUE HAN chim sao" xfId="543" xr:uid="{00000000-0005-0000-0000-00001E020000}"/>
    <cellStyle name="_KT (2)_4_THANG2-07_01- QUE HAN chim sao 2" xfId="544" xr:uid="{00000000-0005-0000-0000-00001F020000}"/>
    <cellStyle name="_KT (2)_4_THANG2-07_Book1" xfId="545" xr:uid="{00000000-0005-0000-0000-000020020000}"/>
    <cellStyle name="_KT (2)_4_THANG2-07_Book1 2" xfId="546" xr:uid="{00000000-0005-0000-0000-000021020000}"/>
    <cellStyle name="_KT (2)_4_THANG4-08V" xfId="547" xr:uid="{00000000-0005-0000-0000-000022020000}"/>
    <cellStyle name="_KT (2)_4_THANG4-08V 2" xfId="548" xr:uid="{00000000-0005-0000-0000-000023020000}"/>
    <cellStyle name="_KT (2)_4_THANG4-08V 3" xfId="549" xr:uid="{00000000-0005-0000-0000-000024020000}"/>
    <cellStyle name="_KT (2)_4_THANG4-08V_01- QUE HAN chim sao" xfId="550" xr:uid="{00000000-0005-0000-0000-000025020000}"/>
    <cellStyle name="_KT (2)_4_THANG4-08V_01- QUE HAN chim sao 2" xfId="551" xr:uid="{00000000-0005-0000-0000-000026020000}"/>
    <cellStyle name="_KT (2)_4_THANG4-08V_Book1" xfId="552" xr:uid="{00000000-0005-0000-0000-000027020000}"/>
    <cellStyle name="_KT (2)_4_THANG4-08V_Book1 2" xfId="553" xr:uid="{00000000-0005-0000-0000-000028020000}"/>
    <cellStyle name="_KT (2)_4_THEO DOI HAN RC4 -TS" xfId="554" xr:uid="{00000000-0005-0000-0000-000029020000}"/>
    <cellStyle name="_KT (2)_4_THEO DOI HAN RC4 -TS 2" xfId="555" xr:uid="{00000000-0005-0000-0000-00002A020000}"/>
    <cellStyle name="_KT (2)_4_WELD TRACEABILITY JACKET NEW" xfId="587" xr:uid="{00000000-0005-0000-0000-00004A020000}"/>
    <cellStyle name="_KT (2)_4_WELD TRACEABILITY JACKET NEW 2" xfId="588" xr:uid="{00000000-0005-0000-0000-00004B020000}"/>
    <cellStyle name="_KT (2)_4_Weld Traceability Record" xfId="589" xr:uid="{00000000-0005-0000-0000-00004C020000}"/>
    <cellStyle name="_KT (2)_4_Weld Traceability Record 2" xfId="590" xr:uid="{00000000-0005-0000-0000-00004D020000}"/>
    <cellStyle name="_KT (2)_4_WELDING CONTROL JACKET" xfId="591" xr:uid="{00000000-0005-0000-0000-00004E020000}"/>
    <cellStyle name="_KT (2)_4_WELDING CONTROL JACKET 2" xfId="592" xr:uid="{00000000-0005-0000-0000-00004F020000}"/>
    <cellStyle name="_KT (2)_4_W'SRECORD-DNV-2008-gia han han CHIMSAO-08" xfId="593" xr:uid="{00000000-0005-0000-0000-000050020000}"/>
    <cellStyle name="_KT (2)_4_W'SRECORD-DNV-2008-gia han han CHIMSAO-08 2" xfId="594" xr:uid="{00000000-0005-0000-0000-000051020000}"/>
    <cellStyle name="_KT (2)_4_Yeu cau vat tu dung cu PEARL" xfId="595" xr:uid="{00000000-0005-0000-0000-000052020000}"/>
    <cellStyle name="_KT (2)_4_Yeu cau vat tu dung cu PEARL 2" xfId="596" xr:uid="{00000000-0005-0000-0000-000053020000}"/>
    <cellStyle name="_KT (2)_5" xfId="597" xr:uid="{00000000-0005-0000-0000-000054020000}"/>
    <cellStyle name="_KT (2)_5 2" xfId="598" xr:uid="{00000000-0005-0000-0000-000055020000}"/>
    <cellStyle name="_KT (2)_5 3" xfId="599" xr:uid="{00000000-0005-0000-0000-000056020000}"/>
    <cellStyle name="_KT (2)_5_002KM4-19(002)" xfId="600" xr:uid="{00000000-0005-0000-0000-000057020000}"/>
    <cellStyle name="_KT (2)_5_002KM4-19(002) 2" xfId="601" xr:uid="{00000000-0005-0000-0000-000058020000}"/>
    <cellStyle name="_KT (2)_5_01- QUE HAN chim sao" xfId="602" xr:uid="{00000000-0005-0000-0000-000059020000}"/>
    <cellStyle name="_KT (2)_5_01- QUE HAN chim sao 2" xfId="603" xr:uid="{00000000-0005-0000-0000-00005A020000}"/>
    <cellStyle name="_KT (2)_5_anhhieu" xfId="604" xr:uid="{00000000-0005-0000-0000-00005B020000}"/>
    <cellStyle name="_KT (2)_5_anhhieu 2" xfId="605" xr:uid="{00000000-0005-0000-0000-00005C020000}"/>
    <cellStyle name="_KT (2)_5_BAO CAO TUAN25-02" xfId="606" xr:uid="{00000000-0005-0000-0000-00005D020000}"/>
    <cellStyle name="_KT (2)_5_BAO CAO TUAN25-02 2" xfId="607" xr:uid="{00000000-0005-0000-0000-00005E020000}"/>
    <cellStyle name="_KT (2)_5_baûng chaám coâng ñoâi bieân" xfId="608" xr:uid="{00000000-0005-0000-0000-00005F020000}"/>
    <cellStyle name="_KT (2)_5_baûng chaám coâng ñoâi bieân 2" xfId="609" xr:uid="{00000000-0005-0000-0000-000060020000}"/>
    <cellStyle name="_KT (2)_5_Book1" xfId="610" xr:uid="{00000000-0005-0000-0000-000061020000}"/>
    <cellStyle name="_KT (2)_5_Book1 2" xfId="611" xr:uid="{00000000-0005-0000-0000-000062020000}"/>
    <cellStyle name="_KT (2)_5_Book1_1" xfId="612" xr:uid="{00000000-0005-0000-0000-000063020000}"/>
    <cellStyle name="_KT (2)_5_Book1_1 2" xfId="613" xr:uid="{00000000-0005-0000-0000-000064020000}"/>
    <cellStyle name="_KT (2)_5_Book1_1_01-Cong tring cang VSP-Khoi luong thuc hien T9" xfId="614" xr:uid="{00000000-0005-0000-0000-000065020000}"/>
    <cellStyle name="_KT (2)_5_Book1_1_01-Cong tring cang VSP-Khoi luong thuc hien T9 2" xfId="615" xr:uid="{00000000-0005-0000-0000-000066020000}"/>
    <cellStyle name="_KT (2)_5_Book1_1_BAO CAO TUAN25-02" xfId="616" xr:uid="{00000000-0005-0000-0000-000067020000}"/>
    <cellStyle name="_KT (2)_5_Book1_1_BAO CAO TUAN25-02 2" xfId="617" xr:uid="{00000000-0005-0000-0000-000068020000}"/>
    <cellStyle name="_KT (2)_5_Book1_1_BAO CAO TUAN25-02 3" xfId="618" xr:uid="{00000000-0005-0000-0000-000069020000}"/>
    <cellStyle name="_KT (2)_5_Book1_1_BAO CAO TUAN25-02_01- QUE HAN chim sao" xfId="619" xr:uid="{00000000-0005-0000-0000-00006A020000}"/>
    <cellStyle name="_KT (2)_5_Book1_1_BAO CAO TUAN25-02_01- QUE HAN chim sao 2" xfId="620" xr:uid="{00000000-0005-0000-0000-00006B020000}"/>
    <cellStyle name="_KT (2)_5_Book1_1_BAO CAO TUAN25-02_Book1" xfId="621" xr:uid="{00000000-0005-0000-0000-00006C020000}"/>
    <cellStyle name="_KT (2)_5_Book1_1_BAO CAO TUAN25-02_Book1 2" xfId="622" xr:uid="{00000000-0005-0000-0000-00006D020000}"/>
    <cellStyle name="_KT (2)_5_Book1_1_Book1" xfId="623" xr:uid="{00000000-0005-0000-0000-00006E020000}"/>
    <cellStyle name="_KT (2)_5_Book1_1_Book1 2" xfId="624" xr:uid="{00000000-0005-0000-0000-00006F020000}"/>
    <cellStyle name="_KT (2)_5_Book1_1_Book1 3" xfId="625" xr:uid="{00000000-0005-0000-0000-000070020000}"/>
    <cellStyle name="_KT (2)_5_Book1_1_Book1_01- QUE HAN chim sao" xfId="626" xr:uid="{00000000-0005-0000-0000-000071020000}"/>
    <cellStyle name="_KT (2)_5_Book1_1_Book1_01- QUE HAN chim sao 2" xfId="627" xr:uid="{00000000-0005-0000-0000-000072020000}"/>
    <cellStyle name="_KT (2)_5_Book1_1_Book1_Book1" xfId="628" xr:uid="{00000000-0005-0000-0000-000073020000}"/>
    <cellStyle name="_KT (2)_5_Book1_1_Book1_Book1 2" xfId="629" xr:uid="{00000000-0005-0000-0000-000074020000}"/>
    <cellStyle name="_KT (2)_5_Book1_1_Book1_Book1 3" xfId="630" xr:uid="{00000000-0005-0000-0000-000075020000}"/>
    <cellStyle name="_KT (2)_5_Book1_1_Book1_Book1_Book1" xfId="631" xr:uid="{00000000-0005-0000-0000-000076020000}"/>
    <cellStyle name="_KT (2)_5_Book1_1_Book1_Book1_Book1 2" xfId="632" xr:uid="{00000000-0005-0000-0000-000077020000}"/>
    <cellStyle name="_KT (2)_5_Book1_1_Book1_Sheet2" xfId="633" xr:uid="{00000000-0005-0000-0000-000078020000}"/>
    <cellStyle name="_KT (2)_5_Book1_1_Book1_Sheet2 2" xfId="634" xr:uid="{00000000-0005-0000-0000-000079020000}"/>
    <cellStyle name="_KT (2)_5_Book1_1_Book1_TH KL thiet bi room shelter final" xfId="635" xr:uid="{00000000-0005-0000-0000-00007A020000}"/>
    <cellStyle name="_KT (2)_5_Book1_1_Book1_TH KL thiet bi room shelter final 2" xfId="636" xr:uid="{00000000-0005-0000-0000-00007B020000}"/>
    <cellStyle name="_KT (2)_5_Book1_1_Book1_THEO DOI HAN RC4 -TS" xfId="637" xr:uid="{00000000-0005-0000-0000-00007C020000}"/>
    <cellStyle name="_KT (2)_5_Book1_1_Book1_THEO DOI HAN RC4 -TS 2" xfId="638" xr:uid="{00000000-0005-0000-0000-00007D020000}"/>
    <cellStyle name="_KT (2)_5_Book1_1_Book1_W'SRECORD-DNV-2008-gia han han CHIMSAO-08" xfId="639" xr:uid="{00000000-0005-0000-0000-00007E020000}"/>
    <cellStyle name="_KT (2)_5_Book1_1_Book1_W'SRECORD-DNV-2008-gia han han CHIMSAO-08 2" xfId="640" xr:uid="{00000000-0005-0000-0000-00007F020000}"/>
    <cellStyle name="_KT (2)_5_Book1_1_Book1_Yeu cau vat tu dung cu PEARL" xfId="641" xr:uid="{00000000-0005-0000-0000-000080020000}"/>
    <cellStyle name="_KT (2)_5_Book1_1_Book1_Yeu cau vat tu dung cu PEARL 2" xfId="642" xr:uid="{00000000-0005-0000-0000-000081020000}"/>
    <cellStyle name="_KT (2)_5_Book1_1_Copy of THE-FRONT-1" xfId="643" xr:uid="{00000000-0005-0000-0000-000082020000}"/>
    <cellStyle name="_KT (2)_5_Book1_1_Copy of THE-FRONT-1 2" xfId="644" xr:uid="{00000000-0005-0000-0000-000083020000}"/>
    <cellStyle name="_KT (2)_5_Book1_1_Copy of THE-FRONT-1 3" xfId="645" xr:uid="{00000000-0005-0000-0000-000084020000}"/>
    <cellStyle name="_KT (2)_5_Book1_1_Copy of THE-FRONT-1_01- QUE HAN chim sao" xfId="646" xr:uid="{00000000-0005-0000-0000-000085020000}"/>
    <cellStyle name="_KT (2)_5_Book1_1_Copy of THE-FRONT-1_01- QUE HAN chim sao 2" xfId="647" xr:uid="{00000000-0005-0000-0000-000086020000}"/>
    <cellStyle name="_KT (2)_5_Book1_1_Copy of THE-FRONT-1_Book1" xfId="648" xr:uid="{00000000-0005-0000-0000-000087020000}"/>
    <cellStyle name="_KT (2)_5_Book1_1_Copy of THE-FRONT-1_Book1 2" xfId="649" xr:uid="{00000000-0005-0000-0000-000088020000}"/>
    <cellStyle name="_KT (2)_5_Book1_1_Copy of THE-FRONT-1_SP HAN-T03-pd" xfId="650" xr:uid="{00000000-0005-0000-0000-000089020000}"/>
    <cellStyle name="_KT (2)_5_Book1_1_Copy of THE-FRONT-1_SP HAN-T03-pd 2" xfId="651" xr:uid="{00000000-0005-0000-0000-00008A020000}"/>
    <cellStyle name="_KT (2)_5_Book1_1_Copy of THE-FRONT-1_SP HAN-T04-pd" xfId="652" xr:uid="{00000000-0005-0000-0000-00008B020000}"/>
    <cellStyle name="_KT (2)_5_Book1_1_Copy of THE-FRONT-1_SP HAN-T04-pd 2" xfId="653" xr:uid="{00000000-0005-0000-0000-00008C020000}"/>
    <cellStyle name="_KT (2)_5_Book1_1_Copy of THE-FRONT-1_THANG 08" xfId="654" xr:uid="{00000000-0005-0000-0000-00008D020000}"/>
    <cellStyle name="_KT (2)_5_Book1_1_Copy of THE-FRONT-1_THANG 08 2" xfId="655" xr:uid="{00000000-0005-0000-0000-00008E020000}"/>
    <cellStyle name="_KT (2)_5_Book1_1_Copy of THE-FRONT-1_THANG 08 3" xfId="656" xr:uid="{00000000-0005-0000-0000-00008F020000}"/>
    <cellStyle name="_KT (2)_5_Book1_1_Copy of THE-FRONT-1_THANG 08_01- QUE HAN chim sao" xfId="657" xr:uid="{00000000-0005-0000-0000-000090020000}"/>
    <cellStyle name="_KT (2)_5_Book1_1_Copy of THE-FRONT-1_THANG 08_01- QUE HAN chim sao 2" xfId="658" xr:uid="{00000000-0005-0000-0000-000091020000}"/>
    <cellStyle name="_KT (2)_5_Book1_1_Copy of THE-FRONT-1_THANG 08_Book1" xfId="659" xr:uid="{00000000-0005-0000-0000-000092020000}"/>
    <cellStyle name="_KT (2)_5_Book1_1_Copy of THE-FRONT-1_THANG 08_Book1 2" xfId="660" xr:uid="{00000000-0005-0000-0000-000093020000}"/>
    <cellStyle name="_KT (2)_5_Book1_1_Copy of THE-FRONT-1_W'SRECORD-DNV-2008-gia han han CHIMSAO-08" xfId="661" xr:uid="{00000000-0005-0000-0000-000094020000}"/>
    <cellStyle name="_KT (2)_5_Book1_1_Copy of THE-FRONT-1_W'SRECORD-DNV-2008-gia han han CHIMSAO-08 2" xfId="662" xr:uid="{00000000-0005-0000-0000-000095020000}"/>
    <cellStyle name="_KT (2)_5_Book1_1_Copy of THE-FRONT-1_Yeu cau vat tu dung cu PEARL" xfId="663" xr:uid="{00000000-0005-0000-0000-000096020000}"/>
    <cellStyle name="_KT (2)_5_Book1_1_Copy of THE-FRONT-1_Yeu cau vat tu dung cu PEARL 2" xfId="664" xr:uid="{00000000-0005-0000-0000-000097020000}"/>
    <cellStyle name="_KT (2)_5_Book1_1_HOP DONG KHOAN SDA-WHP Jacket-10" xfId="665" xr:uid="{00000000-0005-0000-0000-000098020000}"/>
    <cellStyle name="_KT (2)_5_Book1_1_HOP DONG KHOAN SDA-WHP Jacket-10 2" xfId="666" xr:uid="{00000000-0005-0000-0000-000099020000}"/>
    <cellStyle name="_KT (2)_5_Book1_1_HOP DONG KHOAN SDA-WHP Jacket-10 3" xfId="667" xr:uid="{00000000-0005-0000-0000-00009A020000}"/>
    <cellStyle name="_KT (2)_5_Book1_1_HOP DONG KHOAN SDA-WHP Jacket-10_01- QUE HAN chim sao" xfId="668" xr:uid="{00000000-0005-0000-0000-00009B020000}"/>
    <cellStyle name="_KT (2)_5_Book1_1_HOP DONG KHOAN SDA-WHP Jacket-10_01- QUE HAN chim sao 2" xfId="669" xr:uid="{00000000-0005-0000-0000-00009C020000}"/>
    <cellStyle name="_KT (2)_5_Book1_1_HOP DONG KHOAN SDA-WHP Jacket-10_Book1" xfId="670" xr:uid="{00000000-0005-0000-0000-00009D020000}"/>
    <cellStyle name="_KT (2)_5_Book1_1_HOP DONG KHOAN SDA-WHP Jacket-10_Book1 2" xfId="671" xr:uid="{00000000-0005-0000-0000-00009E020000}"/>
    <cellStyle name="_KT (2)_5_Book1_1_HOP DONG KHOAN SDA-WHP Jacket-12" xfId="672" xr:uid="{00000000-0005-0000-0000-00009F020000}"/>
    <cellStyle name="_KT (2)_5_Book1_1_HOP DONG KHOAN SDA-WHP Jacket-12 2" xfId="673" xr:uid="{00000000-0005-0000-0000-0000A0020000}"/>
    <cellStyle name="_KT (2)_5_Book1_1_HOP DONG KHOAN SDA-WHP Jacket-12 3" xfId="674" xr:uid="{00000000-0005-0000-0000-0000A1020000}"/>
    <cellStyle name="_KT (2)_5_Book1_1_HOP DONG KHOAN SDA-WHP Jacket-12_01- QUE HAN chim sao" xfId="675" xr:uid="{00000000-0005-0000-0000-0000A2020000}"/>
    <cellStyle name="_KT (2)_5_Book1_1_HOP DONG KHOAN SDA-WHP Jacket-12_01- QUE HAN chim sao 2" xfId="676" xr:uid="{00000000-0005-0000-0000-0000A3020000}"/>
    <cellStyle name="_KT (2)_5_Book1_1_HOP DONG KHOAN SDA-WHP Jacket-12_Book1" xfId="677" xr:uid="{00000000-0005-0000-0000-0000A4020000}"/>
    <cellStyle name="_KT (2)_5_Book1_1_HOP DONG KHOAN SDA-WHP Jacket-12_Book1 2" xfId="678" xr:uid="{00000000-0005-0000-0000-0000A5020000}"/>
    <cellStyle name="_KT (2)_5_Book1_1_KHOI LUONG CNV -WHP " xfId="679" xr:uid="{00000000-0005-0000-0000-0000A6020000}"/>
    <cellStyle name="_KT (2)_5_Book1_1_KHOI LUONG CNV -WHP  2" xfId="680" xr:uid="{00000000-0005-0000-0000-0000A7020000}"/>
    <cellStyle name="_KT (2)_5_Book1_1_MR THAI QC" xfId="681" xr:uid="{00000000-0005-0000-0000-0000A8020000}"/>
    <cellStyle name="_KT (2)_5_Book1_1_MR THAI QC 2" xfId="682" xr:uid="{00000000-0005-0000-0000-0000A9020000}"/>
    <cellStyle name="_KT (2)_5_Book1_1_rc4helideck-vat tu" xfId="683" xr:uid="{00000000-0005-0000-0000-0000AA020000}"/>
    <cellStyle name="_KT (2)_5_Book1_1_rc4helideck-vat tu 2" xfId="684" xr:uid="{00000000-0005-0000-0000-0000AB020000}"/>
    <cellStyle name="_KT (2)_5_Book1_1_tong hop- rc4helideck-vat tu" xfId="691" xr:uid="{00000000-0005-0000-0000-0000B2020000}"/>
    <cellStyle name="_KT (2)_5_Book1_1_tong hop- rc4helideck-vat tu 2" xfId="692" xr:uid="{00000000-0005-0000-0000-0000B3020000}"/>
    <cellStyle name="_KT (2)_5_Book1_1_TH KL thiet bi room shelter final" xfId="685" xr:uid="{00000000-0005-0000-0000-0000AC020000}"/>
    <cellStyle name="_KT (2)_5_Book1_1_TH KL thiet bi room shelter final 2" xfId="686" xr:uid="{00000000-0005-0000-0000-0000AD020000}"/>
    <cellStyle name="_KT (2)_5_Book1_1_THANG 08" xfId="687" xr:uid="{00000000-0005-0000-0000-0000AE020000}"/>
    <cellStyle name="_KT (2)_5_Book1_1_THANG 08 2" xfId="688" xr:uid="{00000000-0005-0000-0000-0000AF020000}"/>
    <cellStyle name="_KT (2)_5_Book1_1_THANG2-07" xfId="689" xr:uid="{00000000-0005-0000-0000-0000B0020000}"/>
    <cellStyle name="_KT (2)_5_Book1_1_THANG2-07 2" xfId="690" xr:uid="{00000000-0005-0000-0000-0000B1020000}"/>
    <cellStyle name="_KT (2)_5_Book1_1_W'SRECORD-DNV-2008-gia han han CHIMSAO-08" xfId="693" xr:uid="{00000000-0005-0000-0000-0000B4020000}"/>
    <cellStyle name="_KT (2)_5_Book1_1_W'SRECORD-DNV-2008-gia han han CHIMSAO-08 2" xfId="694" xr:uid="{00000000-0005-0000-0000-0000B5020000}"/>
    <cellStyle name="_KT (2)_5_Book1_1_Yeu cau vat tu dung cu PEARL" xfId="695" xr:uid="{00000000-0005-0000-0000-0000B6020000}"/>
    <cellStyle name="_KT (2)_5_Book1_1_Yeu cau vat tu dung cu PEARL 2" xfId="696" xr:uid="{00000000-0005-0000-0000-0000B7020000}"/>
    <cellStyle name="_KT (2)_5_C-TH an ca Thang 04-08" xfId="697" xr:uid="{00000000-0005-0000-0000-0000B8020000}"/>
    <cellStyle name="_KT (2)_5_C-TH an ca Thang 04-08 2" xfId="698" xr:uid="{00000000-0005-0000-0000-0000B9020000}"/>
    <cellStyle name="_KT (2)_5_C-TH an ca Thang 04-08 3" xfId="699" xr:uid="{00000000-0005-0000-0000-0000BA020000}"/>
    <cellStyle name="_KT (2)_5_C-TH an ca Thang 04-08_01- QUE HAN chim sao" xfId="700" xr:uid="{00000000-0005-0000-0000-0000BB020000}"/>
    <cellStyle name="_KT (2)_5_C-TH an ca Thang 04-08_01- QUE HAN chim sao 2" xfId="701" xr:uid="{00000000-0005-0000-0000-0000BC020000}"/>
    <cellStyle name="_KT (2)_5_C-TH an ca Thang 04-08_Book1" xfId="702" xr:uid="{00000000-0005-0000-0000-0000BD020000}"/>
    <cellStyle name="_KT (2)_5_C-TH an ca Thang 04-08_Book1 2" xfId="703" xr:uid="{00000000-0005-0000-0000-0000BE020000}"/>
    <cellStyle name="_KT (2)_5_Danh muc tai lieu" xfId="704" xr:uid="{00000000-0005-0000-0000-0000BF020000}"/>
    <cellStyle name="_KT (2)_5_Danh muc tai lieu 2" xfId="705" xr:uid="{00000000-0005-0000-0000-0000C0020000}"/>
    <cellStyle name="_KT (2)_5_DANH SACH CBCNV CT CANG" xfId="706" xr:uid="{00000000-0005-0000-0000-0000C1020000}"/>
    <cellStyle name="_KT (2)_5_DANH SACH CBCNV CT CANG 2" xfId="707" xr:uid="{00000000-0005-0000-0000-0000C2020000}"/>
    <cellStyle name="_KT (2)_5_DANH SACH CBCNV CT CANG 3" xfId="708" xr:uid="{00000000-0005-0000-0000-0000C3020000}"/>
    <cellStyle name="_KT (2)_5_DANH SACH CBCNV CT CANG_01- QUE HAN chim sao" xfId="709" xr:uid="{00000000-0005-0000-0000-0000C4020000}"/>
    <cellStyle name="_KT (2)_5_DANH SACH CBCNV CT CANG_01- QUE HAN chim sao 2" xfId="710" xr:uid="{00000000-0005-0000-0000-0000C5020000}"/>
    <cellStyle name="_KT (2)_5_DANH SACH CBCNV CT CANG_Book1" xfId="711" xr:uid="{00000000-0005-0000-0000-0000C6020000}"/>
    <cellStyle name="_KT (2)_5_DANH SACH CBCNV CT CANG_Book1 2" xfId="712" xr:uid="{00000000-0005-0000-0000-0000C7020000}"/>
    <cellStyle name="_KT (2)_5_FORM RFI TSON" xfId="713" xr:uid="{00000000-0005-0000-0000-0000C8020000}"/>
    <cellStyle name="_KT (2)_5_FORM RFI TSON 2" xfId="714" xr:uid="{00000000-0005-0000-0000-0000C9020000}"/>
    <cellStyle name="_KT (2)_5_FORM RFI TSON 3" xfId="715" xr:uid="{00000000-0005-0000-0000-0000CA020000}"/>
    <cellStyle name="_KT (2)_5_FORM RFI TSON_01- QUE HAN chim sao" xfId="716" xr:uid="{00000000-0005-0000-0000-0000CB020000}"/>
    <cellStyle name="_KT (2)_5_FORM RFI TSON_01- QUE HAN chim sao 2" xfId="717" xr:uid="{00000000-0005-0000-0000-0000CC020000}"/>
    <cellStyle name="_KT (2)_5_FORM RFI TSON_Book1" xfId="718" xr:uid="{00000000-0005-0000-0000-0000CD020000}"/>
    <cellStyle name="_KT (2)_5_FORM RFI TSON_Book1 2" xfId="719" xr:uid="{00000000-0005-0000-0000-0000CE020000}"/>
    <cellStyle name="_KT (2)_5_FORM RFI TSON_Sheet2" xfId="720" xr:uid="{00000000-0005-0000-0000-0000CF020000}"/>
    <cellStyle name="_KT (2)_5_FORM RFI TSON_Sheet2 2" xfId="721" xr:uid="{00000000-0005-0000-0000-0000D0020000}"/>
    <cellStyle name="_KT (2)_5_HOP DONG KHOAN SDA-WHP Jacket-10" xfId="722" xr:uid="{00000000-0005-0000-0000-0000D1020000}"/>
    <cellStyle name="_KT (2)_5_HOP DONG KHOAN SDA-WHP Jacket-10 2" xfId="723" xr:uid="{00000000-0005-0000-0000-0000D2020000}"/>
    <cellStyle name="_KT (2)_5_HOP DONG KHOAN SDA-WHP Jacket-12" xfId="724" xr:uid="{00000000-0005-0000-0000-0000D3020000}"/>
    <cellStyle name="_KT (2)_5_HOP DONG KHOAN SDA-WHP Jacket-12 2" xfId="725" xr:uid="{00000000-0005-0000-0000-0000D4020000}"/>
    <cellStyle name="_KT (2)_5_KHOI LUONG CNV -WHP " xfId="726" xr:uid="{00000000-0005-0000-0000-0000D5020000}"/>
    <cellStyle name="_KT (2)_5_KHOI LUONG CNV -WHP  2" xfId="727" xr:uid="{00000000-0005-0000-0000-0000D6020000}"/>
    <cellStyle name="_KT (2)_5_KHOI LUONG CNV -WHP  3" xfId="728" xr:uid="{00000000-0005-0000-0000-0000D7020000}"/>
    <cellStyle name="_KT (2)_5_KHOI LUONG CNV -WHP _01- QUE HAN chim sao" xfId="729" xr:uid="{00000000-0005-0000-0000-0000D8020000}"/>
    <cellStyle name="_KT (2)_5_KHOI LUONG CNV -WHP _01- QUE HAN chim sao 2" xfId="730" xr:uid="{00000000-0005-0000-0000-0000D9020000}"/>
    <cellStyle name="_KT (2)_5_KHOI LUONG CNV -WHP _Book1" xfId="731" xr:uid="{00000000-0005-0000-0000-0000DA020000}"/>
    <cellStyle name="_KT (2)_5_KHOI LUONG CNV -WHP _Book1 2" xfId="732" xr:uid="{00000000-0005-0000-0000-0000DB020000}"/>
    <cellStyle name="_KT (2)_5_Material Request &amp; issue voucher-05-01-08-GUI THIEN LOE" xfId="733" xr:uid="{00000000-0005-0000-0000-0000DC020000}"/>
    <cellStyle name="_KT (2)_5_Material Request &amp; issue voucher-05-01-08-GUI THIEN LOE 2" xfId="734" xr:uid="{00000000-0005-0000-0000-0000DD020000}"/>
    <cellStyle name="_KT (2)_5_Nomenclature PHA1 M15 DU 042 A" xfId="735" xr:uid="{00000000-0005-0000-0000-0000DE020000}"/>
    <cellStyle name="_KT (2)_5_Nomenclature PHA1 M15 DU 042 A 2" xfId="736" xr:uid="{00000000-0005-0000-0000-0000DF020000}"/>
    <cellStyle name="_KT (2)_5_Nomenclature PHA1 M15 DU 042 A 3" xfId="737" xr:uid="{00000000-0005-0000-0000-0000E0020000}"/>
    <cellStyle name="_KT (2)_5_Nomenclature PHA1 M15 DU 042 A_01- QUE HAN chim sao" xfId="738" xr:uid="{00000000-0005-0000-0000-0000E1020000}"/>
    <cellStyle name="_KT (2)_5_Nomenclature PHA1 M15 DU 042 A_01- QUE HAN chim sao 2" xfId="739" xr:uid="{00000000-0005-0000-0000-0000E2020000}"/>
    <cellStyle name="_KT (2)_5_Nomenclature PHA1 M15 DU 042 A_Book1" xfId="740" xr:uid="{00000000-0005-0000-0000-0000E3020000}"/>
    <cellStyle name="_KT (2)_5_Nomenclature PHA1 M15 DU 042 A_Book1 2" xfId="741" xr:uid="{00000000-0005-0000-0000-0000E4020000}"/>
    <cellStyle name="_KT (2)_5_Nomenclature PHA1 M15 DU 042 A_Sheet2" xfId="742" xr:uid="{00000000-0005-0000-0000-0000E5020000}"/>
    <cellStyle name="_KT (2)_5_Nomenclature PHA1 M15 DU 042 A_Sheet2 2" xfId="743" xr:uid="{00000000-0005-0000-0000-0000E6020000}"/>
    <cellStyle name="_KT (2)_5_pd" xfId="744" xr:uid="{00000000-0005-0000-0000-0000E7020000}"/>
    <cellStyle name="_KT (2)_5_pd 2" xfId="745" xr:uid="{00000000-0005-0000-0000-0000E8020000}"/>
    <cellStyle name="_KT (2)_5_PD CONTROL FOR STRUCTURAL" xfId="746" xr:uid="{00000000-0005-0000-0000-0000E9020000}"/>
    <cellStyle name="_KT (2)_5_PD CONTROL FOR STRUCTURAL 2" xfId="747" xr:uid="{00000000-0005-0000-0000-0000EA020000}"/>
    <cellStyle name="_KT (2)_5_Phuong Dong01" xfId="748" xr:uid="{00000000-0005-0000-0000-0000EB020000}"/>
    <cellStyle name="_KT (2)_5_Phuong Dong01 2" xfId="749" xr:uid="{00000000-0005-0000-0000-0000EC020000}"/>
    <cellStyle name="_KT (2)_5_rc4helideck-vat tu" xfId="750" xr:uid="{00000000-0005-0000-0000-0000ED020000}"/>
    <cellStyle name="_KT (2)_5_rc4helideck-vat tu 2" xfId="751" xr:uid="{00000000-0005-0000-0000-0000EE020000}"/>
    <cellStyle name="_KT (2)_5_RQ-RC4" xfId="752" xr:uid="{00000000-0005-0000-0000-0000EF020000}"/>
    <cellStyle name="_KT (2)_5_RQ-RC4 2" xfId="753" xr:uid="{00000000-0005-0000-0000-0000F0020000}"/>
    <cellStyle name="_KT (2)_5_SP HAN-T03-pd" xfId="754" xr:uid="{00000000-0005-0000-0000-0000F1020000}"/>
    <cellStyle name="_KT (2)_5_SP HAN-T03-pd 2" xfId="755" xr:uid="{00000000-0005-0000-0000-0000F2020000}"/>
    <cellStyle name="_KT (2)_5_SP HAN-T04-pd" xfId="756" xr:uid="{00000000-0005-0000-0000-0000F3020000}"/>
    <cellStyle name="_KT (2)_5_SP HAN-T04-pd 2" xfId="757" xr:uid="{00000000-0005-0000-0000-0000F4020000}"/>
    <cellStyle name="_KT (2)_5_spool fabrication progress 123" xfId="758" xr:uid="{00000000-0005-0000-0000-0000F5020000}"/>
    <cellStyle name="_KT (2)_5_spool fabrication progress 123 2" xfId="759" xr:uid="{00000000-0005-0000-0000-0000F6020000}"/>
    <cellStyle name="_KT (2)_5_Spool Installation Progress" xfId="760" xr:uid="{00000000-0005-0000-0000-0000F7020000}"/>
    <cellStyle name="_KT (2)_5_Spool Installation Progress 2" xfId="761" xr:uid="{00000000-0005-0000-0000-0000F8020000}"/>
    <cellStyle name="_KT (2)_5_TONG HOP KHOI LUONG SAT GOC SUPPORT RC4" xfId="785" xr:uid="{00000000-0005-0000-0000-000010030000}"/>
    <cellStyle name="_KT (2)_5_TONG HOP KHOI LUONG SAT GOC SUPPORT RC4 2" xfId="786" xr:uid="{00000000-0005-0000-0000-000011030000}"/>
    <cellStyle name="_KT (2)_5_tong hop- rc4helideck-vat tu" xfId="787" xr:uid="{00000000-0005-0000-0000-000012030000}"/>
    <cellStyle name="_KT (2)_5_tong hop- rc4helideck-vat tu 2" xfId="788" xr:uid="{00000000-0005-0000-0000-000013030000}"/>
    <cellStyle name="_KT (2)_5_Tong hop so luong cac muc" xfId="789" xr:uid="{00000000-0005-0000-0000-000014030000}"/>
    <cellStyle name="_KT (2)_5_Tong hop so luong cac muc 2" xfId="790" xr:uid="{00000000-0005-0000-0000-000015030000}"/>
    <cellStyle name="_KT (2)_5_Tong hop so luong cac muc 3" xfId="791" xr:uid="{00000000-0005-0000-0000-000016030000}"/>
    <cellStyle name="_KT (2)_5_Tong hop so luong cac muc_01- QUE HAN chim sao" xfId="792" xr:uid="{00000000-0005-0000-0000-000017030000}"/>
    <cellStyle name="_KT (2)_5_Tong hop so luong cac muc_01- QUE HAN chim sao 2" xfId="793" xr:uid="{00000000-0005-0000-0000-000018030000}"/>
    <cellStyle name="_KT (2)_5_Tong hop so luong cac muc_Book1" xfId="794" xr:uid="{00000000-0005-0000-0000-000019030000}"/>
    <cellStyle name="_KT (2)_5_Tong hop so luong cac muc_Book1 2" xfId="795" xr:uid="{00000000-0005-0000-0000-00001A030000}"/>
    <cellStyle name="_KT (2)_5_Tong hop so luong cac muc_Luong T06-css" xfId="796" xr:uid="{00000000-0005-0000-0000-00001B030000}"/>
    <cellStyle name="_KT (2)_5_Tong hop so luong cac muc_Luong T06-css 2" xfId="797" xr:uid="{00000000-0005-0000-0000-00001C030000}"/>
    <cellStyle name="_KT (2)_5_Tong hop so luong cac muc_Luong T9 SP han" xfId="798" xr:uid="{00000000-0005-0000-0000-00001D030000}"/>
    <cellStyle name="_KT (2)_5_Tong hop so luong cac muc_SP HAN-T03-pd" xfId="799" xr:uid="{00000000-0005-0000-0000-00001E030000}"/>
    <cellStyle name="_KT (2)_5_Tong hop so luong cac muc_SP HAN-T03-pd 2" xfId="800" xr:uid="{00000000-0005-0000-0000-00001F030000}"/>
    <cellStyle name="_KT (2)_5_Tong hop so luong cac muc_THANG 08" xfId="801" xr:uid="{00000000-0005-0000-0000-000020030000}"/>
    <cellStyle name="_KT (2)_5_Tong hop so luong cac muc_THANG 08 2" xfId="802" xr:uid="{00000000-0005-0000-0000-000021030000}"/>
    <cellStyle name="_KT (2)_5_Tong hop so luong cac muc_THANG 08 3" xfId="803" xr:uid="{00000000-0005-0000-0000-000022030000}"/>
    <cellStyle name="_KT (2)_5_Tong hop so luong cac muc_THANG 08_01- QUE HAN chim sao" xfId="804" xr:uid="{00000000-0005-0000-0000-000023030000}"/>
    <cellStyle name="_KT (2)_5_Tong hop so luong cac muc_THANG 08_01- QUE HAN chim sao 2" xfId="805" xr:uid="{00000000-0005-0000-0000-000024030000}"/>
    <cellStyle name="_KT (2)_5_Tong hop so luong cac muc_THANG 08_Book1" xfId="806" xr:uid="{00000000-0005-0000-0000-000025030000}"/>
    <cellStyle name="_KT (2)_5_Tong hop so luong cac muc_THANG 08_Book1 2" xfId="807" xr:uid="{00000000-0005-0000-0000-000026030000}"/>
    <cellStyle name="_KT (2)_5_Tong hop so luong cac muc_THEO DOI HAN RC4 -TS" xfId="808" xr:uid="{00000000-0005-0000-0000-000027030000}"/>
    <cellStyle name="_KT (2)_5_Tong hop so luong cac muc_THEO DOI HAN RC4 -TS 2" xfId="809" xr:uid="{00000000-0005-0000-0000-000028030000}"/>
    <cellStyle name="_KT (2)_5_Tong hop so luong cac muc_W'SRECORD-DNV-2008-gia han han CHIMSAO-08" xfId="810" xr:uid="{00000000-0005-0000-0000-000029030000}"/>
    <cellStyle name="_KT (2)_5_Tong hop so luong cac muc_W'SRECORD-DNV-2008-gia han han CHIMSAO-08 2" xfId="811" xr:uid="{00000000-0005-0000-0000-00002A030000}"/>
    <cellStyle name="_KT (2)_5_Tong hop so luong cac muc_Yeu cau vat tu dung cu PEARL" xfId="812" xr:uid="{00000000-0005-0000-0000-00002B030000}"/>
    <cellStyle name="_KT (2)_5_Tong hop so luong cac muc_Yeu cau vat tu dung cu PEARL 2" xfId="813" xr:uid="{00000000-0005-0000-0000-00002C030000}"/>
    <cellStyle name="_KT (2)_5_TUNG T5" xfId="814" xr:uid="{00000000-0005-0000-0000-00002D030000}"/>
    <cellStyle name="_KT (2)_5_TUNG T5 2" xfId="815" xr:uid="{00000000-0005-0000-0000-00002E030000}"/>
    <cellStyle name="_KT (2)_5_THANG 08" xfId="762" xr:uid="{00000000-0005-0000-0000-0000F9020000}"/>
    <cellStyle name="_KT (2)_5_THANG 08 2" xfId="763" xr:uid="{00000000-0005-0000-0000-0000FA020000}"/>
    <cellStyle name="_KT (2)_5_THANG 08 3" xfId="764" xr:uid="{00000000-0005-0000-0000-0000FB020000}"/>
    <cellStyle name="_KT (2)_5_THANG 08_01- QUE HAN chim sao" xfId="765" xr:uid="{00000000-0005-0000-0000-0000FC020000}"/>
    <cellStyle name="_KT (2)_5_THANG 08_01- QUE HAN chim sao 2" xfId="766" xr:uid="{00000000-0005-0000-0000-0000FD020000}"/>
    <cellStyle name="_KT (2)_5_THANG 08_Book1" xfId="767" xr:uid="{00000000-0005-0000-0000-0000FE020000}"/>
    <cellStyle name="_KT (2)_5_THANG 08_Book1 2" xfId="768" xr:uid="{00000000-0005-0000-0000-0000FF020000}"/>
    <cellStyle name="_KT (2)_5_THANG2-07" xfId="769" xr:uid="{00000000-0005-0000-0000-000000030000}"/>
    <cellStyle name="_KT (2)_5_THANG2-07 2" xfId="770" xr:uid="{00000000-0005-0000-0000-000001030000}"/>
    <cellStyle name="_KT (2)_5_THANG2-07 3" xfId="771" xr:uid="{00000000-0005-0000-0000-000002030000}"/>
    <cellStyle name="_KT (2)_5_THANG2-07_01- QUE HAN chim sao" xfId="772" xr:uid="{00000000-0005-0000-0000-000003030000}"/>
    <cellStyle name="_KT (2)_5_THANG2-07_01- QUE HAN chim sao 2" xfId="773" xr:uid="{00000000-0005-0000-0000-000004030000}"/>
    <cellStyle name="_KT (2)_5_THANG2-07_Book1" xfId="774" xr:uid="{00000000-0005-0000-0000-000005030000}"/>
    <cellStyle name="_KT (2)_5_THANG2-07_Book1 2" xfId="775" xr:uid="{00000000-0005-0000-0000-000006030000}"/>
    <cellStyle name="_KT (2)_5_THANG4-08V" xfId="776" xr:uid="{00000000-0005-0000-0000-000007030000}"/>
    <cellStyle name="_KT (2)_5_THANG4-08V 2" xfId="777" xr:uid="{00000000-0005-0000-0000-000008030000}"/>
    <cellStyle name="_KT (2)_5_THANG4-08V 3" xfId="778" xr:uid="{00000000-0005-0000-0000-000009030000}"/>
    <cellStyle name="_KT (2)_5_THANG4-08V_01- QUE HAN chim sao" xfId="779" xr:uid="{00000000-0005-0000-0000-00000A030000}"/>
    <cellStyle name="_KT (2)_5_THANG4-08V_01- QUE HAN chim sao 2" xfId="780" xr:uid="{00000000-0005-0000-0000-00000B030000}"/>
    <cellStyle name="_KT (2)_5_THANG4-08V_Book1" xfId="781" xr:uid="{00000000-0005-0000-0000-00000C030000}"/>
    <cellStyle name="_KT (2)_5_THANG4-08V_Book1 2" xfId="782" xr:uid="{00000000-0005-0000-0000-00000D030000}"/>
    <cellStyle name="_KT (2)_5_THEO DOI HAN RC4 -TS" xfId="783" xr:uid="{00000000-0005-0000-0000-00000E030000}"/>
    <cellStyle name="_KT (2)_5_THEO DOI HAN RC4 -TS 2" xfId="784" xr:uid="{00000000-0005-0000-0000-00000F030000}"/>
    <cellStyle name="_KT (2)_5_WELD TRACEABILITY JACKET NEW" xfId="816" xr:uid="{00000000-0005-0000-0000-00002F030000}"/>
    <cellStyle name="_KT (2)_5_WELD TRACEABILITY JACKET NEW 2" xfId="817" xr:uid="{00000000-0005-0000-0000-000030030000}"/>
    <cellStyle name="_KT (2)_5_Weld Traceability Record" xfId="818" xr:uid="{00000000-0005-0000-0000-000031030000}"/>
    <cellStyle name="_KT (2)_5_Weld Traceability Record 2" xfId="819" xr:uid="{00000000-0005-0000-0000-000032030000}"/>
    <cellStyle name="_KT (2)_5_WELDING CONTROL JACKET" xfId="820" xr:uid="{00000000-0005-0000-0000-000033030000}"/>
    <cellStyle name="_KT (2)_5_WELDING CONTROL JACKET 2" xfId="821" xr:uid="{00000000-0005-0000-0000-000034030000}"/>
    <cellStyle name="_KT (2)_5_W'SRECORD-DNV-2008-gia han han CHIMSAO-08" xfId="822" xr:uid="{00000000-0005-0000-0000-000035030000}"/>
    <cellStyle name="_KT (2)_5_W'SRECORD-DNV-2008-gia han han CHIMSAO-08 2" xfId="823" xr:uid="{00000000-0005-0000-0000-000036030000}"/>
    <cellStyle name="_KT (2)_5_Yeu cau vat tu dung cu PEARL" xfId="824" xr:uid="{00000000-0005-0000-0000-000037030000}"/>
    <cellStyle name="_KT (2)_5_Yeu cau vat tu dung cu PEARL 2" xfId="825" xr:uid="{00000000-0005-0000-0000-000038030000}"/>
    <cellStyle name="_KT (2)_Book1" xfId="826" xr:uid="{00000000-0005-0000-0000-000039030000}"/>
    <cellStyle name="_KT (2)_Book1 2" xfId="827" xr:uid="{00000000-0005-0000-0000-00003A030000}"/>
    <cellStyle name="_KT (2)_Book1_THEO DOI HAN RC4 -TS" xfId="828" xr:uid="{00000000-0005-0000-0000-00003B030000}"/>
    <cellStyle name="_KT (2)_Book1_THEO DOI HAN RC4 -TS 2" xfId="829" xr:uid="{00000000-0005-0000-0000-00003C030000}"/>
    <cellStyle name="_KT (2)_PD CONTROL FOR STRUCTURAL" xfId="830" xr:uid="{00000000-0005-0000-0000-00003D030000}"/>
    <cellStyle name="_KT (2)_PD CONTROL FOR STRUCTURAL 2" xfId="831" xr:uid="{00000000-0005-0000-0000-00003E030000}"/>
    <cellStyle name="_KT (2)_PERSONAL" xfId="832" xr:uid="{00000000-0005-0000-0000-00003F030000}"/>
    <cellStyle name="_KT (2)_PERSONAL 2" xfId="833" xr:uid="{00000000-0005-0000-0000-000040030000}"/>
    <cellStyle name="_KT (2)_PERSONAL 3" xfId="834" xr:uid="{00000000-0005-0000-0000-000041030000}"/>
    <cellStyle name="_KT (2)_PERSONAL_002KM4-19(002)" xfId="835" xr:uid="{00000000-0005-0000-0000-000042030000}"/>
    <cellStyle name="_KT (2)_PERSONAL_002KM4-19(002) 2" xfId="836" xr:uid="{00000000-0005-0000-0000-000043030000}"/>
    <cellStyle name="_KT (2)_PERSONAL_AFC...CPC-CLPP-S-D" xfId="837" xr:uid="{00000000-0005-0000-0000-000044030000}"/>
    <cellStyle name="_KT (2)_PERSONAL_AFC...CPC-CLPP-S-D 2" xfId="838" xr:uid="{00000000-0005-0000-0000-000045030000}"/>
    <cellStyle name="_KT (2)_PERSONAL_Ban du tru vat tu- doan tu LANDFALL STATION den GDS" xfId="839" xr:uid="{00000000-0005-0000-0000-000046030000}"/>
    <cellStyle name="_KT (2)_PERSONAL_Ban du tru vat tu- doan tu LANDFALL STATION den GDS 2" xfId="840" xr:uid="{00000000-0005-0000-0000-000047030000}"/>
    <cellStyle name="_KT (2)_PERSONAL_Ban du tru vat tu- doan tu LANDFALL STATION den GDS 3" xfId="841" xr:uid="{00000000-0005-0000-0000-000048030000}"/>
    <cellStyle name="_KT (2)_PERSONAL_Ban du tru vat tu- doan tu LANDFALL STATION den GDS_Sheet2" xfId="842" xr:uid="{00000000-0005-0000-0000-000049030000}"/>
    <cellStyle name="_KT (2)_PERSONAL_Ban du tru vat tu- doan tu LANDFALL STATION den GDS_Sheet2 2" xfId="843" xr:uid="{00000000-0005-0000-0000-00004A030000}"/>
    <cellStyle name="_KT (2)_PERSONAL_Book1" xfId="844" xr:uid="{00000000-0005-0000-0000-00004B030000}"/>
    <cellStyle name="_KT (2)_PERSONAL_Book1 2" xfId="845" xr:uid="{00000000-0005-0000-0000-00004C030000}"/>
    <cellStyle name="_KT (2)_PERSONAL_Book1_1" xfId="846" xr:uid="{00000000-0005-0000-0000-00004D030000}"/>
    <cellStyle name="_KT (2)_PERSONAL_Book1_1 2" xfId="847" xr:uid="{00000000-0005-0000-0000-00004E030000}"/>
    <cellStyle name="_KT (2)_PERSONAL_Book1_1_THEO DOI HAN RC4 -TS" xfId="848" xr:uid="{00000000-0005-0000-0000-00004F030000}"/>
    <cellStyle name="_KT (2)_PERSONAL_Book1_1_THEO DOI HAN RC4 -TS 2" xfId="849" xr:uid="{00000000-0005-0000-0000-000050030000}"/>
    <cellStyle name="_KT (2)_PERSONAL_cong bien 09-05" xfId="850" xr:uid="{00000000-0005-0000-0000-000051030000}"/>
    <cellStyle name="_KT (2)_PERSONAL_cong bien 09-05 2" xfId="851" xr:uid="{00000000-0005-0000-0000-000052030000}"/>
    <cellStyle name="_KT (2)_PERSONAL_List of Pipe spool ONSHORE" xfId="852" xr:uid="{00000000-0005-0000-0000-000053030000}"/>
    <cellStyle name="_KT (2)_PERSONAL_List of Pipe spool ONSHORE 2" xfId="853" xr:uid="{00000000-0005-0000-0000-000054030000}"/>
    <cellStyle name="_KT (2)_PERSONAL_Nomenclature PHA1 M10 EJ 010 A" xfId="854" xr:uid="{00000000-0005-0000-0000-000055030000}"/>
    <cellStyle name="_KT (2)_PERSONAL_Nomenclature PHA1 M10 EJ 010 A 2" xfId="855" xr:uid="{00000000-0005-0000-0000-000056030000}"/>
    <cellStyle name="_KT (2)_PERSONAL_Nomenclature PHA1 M10 EJ 010 A 3" xfId="856" xr:uid="{00000000-0005-0000-0000-000057030000}"/>
    <cellStyle name="_KT (2)_PERSONAL_Nomenclature PHA1 M10 EJ 010 A_Sheet2" xfId="857" xr:uid="{00000000-0005-0000-0000-000058030000}"/>
    <cellStyle name="_KT (2)_PERSONAL_Nomenclature PHA1 M10 EJ 010 A_Sheet2 2" xfId="858" xr:uid="{00000000-0005-0000-0000-000059030000}"/>
    <cellStyle name="_KT (2)_PERSONAL_Nomenclature PHA1 M10 EJ 010 A_THEO DOI HAN RC4 -TS" xfId="859" xr:uid="{00000000-0005-0000-0000-00005A030000}"/>
    <cellStyle name="_KT (2)_PERSONAL_Nomenclature PHA1 M10 EJ 010 A_THEO DOI HAN RC4 -TS 2" xfId="860" xr:uid="{00000000-0005-0000-0000-00005B030000}"/>
    <cellStyle name="_KT (2)_PERSONAL_PD CONTROL FOR STRUCTURAL" xfId="861" xr:uid="{00000000-0005-0000-0000-00005C030000}"/>
    <cellStyle name="_KT (2)_PERSONAL_PD CONTROL FOR STRUCTURAL 2" xfId="862" xr:uid="{00000000-0005-0000-0000-00005D030000}"/>
    <cellStyle name="_KT (2)_PERSONAL_Tong hop KHCB 2001" xfId="865" xr:uid="{00000000-0005-0000-0000-000060030000}"/>
    <cellStyle name="_KT (2)_PERSONAL_Tong hop KHCB 2001 2" xfId="866" xr:uid="{00000000-0005-0000-0000-000061030000}"/>
    <cellStyle name="_KT (2)_PERSONAL_TUNG T5" xfId="867" xr:uid="{00000000-0005-0000-0000-000062030000}"/>
    <cellStyle name="_KT (2)_PERSONAL_TUNG T5 2" xfId="868" xr:uid="{00000000-0005-0000-0000-000063030000}"/>
    <cellStyle name="_KT (2)_PERSONAL_THEO DOI HAN RC4 -TS" xfId="863" xr:uid="{00000000-0005-0000-0000-00005E030000}"/>
    <cellStyle name="_KT (2)_PERSONAL_THEO DOI HAN RC4 -TS 2" xfId="864" xr:uid="{00000000-0005-0000-0000-00005F030000}"/>
    <cellStyle name="_KT (2)_TG-TH" xfId="869" xr:uid="{00000000-0005-0000-0000-000064030000}"/>
    <cellStyle name="_KT (2)_TG-TH 2" xfId="870" xr:uid="{00000000-0005-0000-0000-000065030000}"/>
    <cellStyle name="_KT (2)_TUNG T5" xfId="873" xr:uid="{00000000-0005-0000-0000-000068030000}"/>
    <cellStyle name="_KT (2)_TUNG T5 2" xfId="874" xr:uid="{00000000-0005-0000-0000-000069030000}"/>
    <cellStyle name="_KT (2)_THEO DOI HAN RC4 -TS" xfId="871" xr:uid="{00000000-0005-0000-0000-000066030000}"/>
    <cellStyle name="_KT (2)_THEO DOI HAN RC4 -TS 2" xfId="872" xr:uid="{00000000-0005-0000-0000-000067030000}"/>
    <cellStyle name="_KT_TG" xfId="875" xr:uid="{00000000-0005-0000-0000-00006A030000}"/>
    <cellStyle name="_KT_TG 2" xfId="876" xr:uid="{00000000-0005-0000-0000-00006B030000}"/>
    <cellStyle name="_KT_TG_1" xfId="877" xr:uid="{00000000-0005-0000-0000-00006C030000}"/>
    <cellStyle name="_KT_TG_1 2" xfId="878" xr:uid="{00000000-0005-0000-0000-00006D030000}"/>
    <cellStyle name="_KT_TG_1 3" xfId="879" xr:uid="{00000000-0005-0000-0000-00006E030000}"/>
    <cellStyle name="_KT_TG_1_002KM4-19(002)" xfId="880" xr:uid="{00000000-0005-0000-0000-00006F030000}"/>
    <cellStyle name="_KT_TG_1_002KM4-19(002) 2" xfId="881" xr:uid="{00000000-0005-0000-0000-000070030000}"/>
    <cellStyle name="_KT_TG_1_01- QUE HAN chim sao" xfId="882" xr:uid="{00000000-0005-0000-0000-000071030000}"/>
    <cellStyle name="_KT_TG_1_01- QUE HAN chim sao 2" xfId="883" xr:uid="{00000000-0005-0000-0000-000072030000}"/>
    <cellStyle name="_KT_TG_1_anhhieu" xfId="884" xr:uid="{00000000-0005-0000-0000-000073030000}"/>
    <cellStyle name="_KT_TG_1_anhhieu 2" xfId="885" xr:uid="{00000000-0005-0000-0000-000074030000}"/>
    <cellStyle name="_KT_TG_1_BAO CAO TUAN25-02" xfId="886" xr:uid="{00000000-0005-0000-0000-000075030000}"/>
    <cellStyle name="_KT_TG_1_BAO CAO TUAN25-02 2" xfId="887" xr:uid="{00000000-0005-0000-0000-000076030000}"/>
    <cellStyle name="_KT_TG_1_baûng chaám coâng ñoâi bieân" xfId="888" xr:uid="{00000000-0005-0000-0000-000077030000}"/>
    <cellStyle name="_KT_TG_1_baûng chaám coâng ñoâi bieân 2" xfId="889" xr:uid="{00000000-0005-0000-0000-000078030000}"/>
    <cellStyle name="_KT_TG_1_Book1" xfId="890" xr:uid="{00000000-0005-0000-0000-000079030000}"/>
    <cellStyle name="_KT_TG_1_Book1 2" xfId="891" xr:uid="{00000000-0005-0000-0000-00007A030000}"/>
    <cellStyle name="_KT_TG_1_Book1_1" xfId="892" xr:uid="{00000000-0005-0000-0000-00007B030000}"/>
    <cellStyle name="_KT_TG_1_Book1_1 2" xfId="893" xr:uid="{00000000-0005-0000-0000-00007C030000}"/>
    <cellStyle name="_KT_TG_1_Book1_1_01-Cong tring cang VSP-Khoi luong thuc hien T9" xfId="894" xr:uid="{00000000-0005-0000-0000-00007D030000}"/>
    <cellStyle name="_KT_TG_1_Book1_1_01-Cong tring cang VSP-Khoi luong thuc hien T9 2" xfId="895" xr:uid="{00000000-0005-0000-0000-00007E030000}"/>
    <cellStyle name="_KT_TG_1_Book1_1_BAO CAO TUAN25-02" xfId="896" xr:uid="{00000000-0005-0000-0000-00007F030000}"/>
    <cellStyle name="_KT_TG_1_Book1_1_BAO CAO TUAN25-02 2" xfId="897" xr:uid="{00000000-0005-0000-0000-000080030000}"/>
    <cellStyle name="_KT_TG_1_Book1_1_BAO CAO TUAN25-02 3" xfId="898" xr:uid="{00000000-0005-0000-0000-000081030000}"/>
    <cellStyle name="_KT_TG_1_Book1_1_BAO CAO TUAN25-02_01- QUE HAN chim sao" xfId="899" xr:uid="{00000000-0005-0000-0000-000082030000}"/>
    <cellStyle name="_KT_TG_1_Book1_1_BAO CAO TUAN25-02_01- QUE HAN chim sao 2" xfId="900" xr:uid="{00000000-0005-0000-0000-000083030000}"/>
    <cellStyle name="_KT_TG_1_Book1_1_BAO CAO TUAN25-02_Book1" xfId="901" xr:uid="{00000000-0005-0000-0000-000084030000}"/>
    <cellStyle name="_KT_TG_1_Book1_1_BAO CAO TUAN25-02_Book1 2" xfId="902" xr:uid="{00000000-0005-0000-0000-000085030000}"/>
    <cellStyle name="_KT_TG_1_Book1_1_Book1" xfId="903" xr:uid="{00000000-0005-0000-0000-000086030000}"/>
    <cellStyle name="_KT_TG_1_Book1_1_Book1 2" xfId="904" xr:uid="{00000000-0005-0000-0000-000087030000}"/>
    <cellStyle name="_KT_TG_1_Book1_1_Book1 3" xfId="905" xr:uid="{00000000-0005-0000-0000-000088030000}"/>
    <cellStyle name="_KT_TG_1_Book1_1_Book1_01- QUE HAN chim sao" xfId="906" xr:uid="{00000000-0005-0000-0000-000089030000}"/>
    <cellStyle name="_KT_TG_1_Book1_1_Book1_01- QUE HAN chim sao 2" xfId="907" xr:uid="{00000000-0005-0000-0000-00008A030000}"/>
    <cellStyle name="_KT_TG_1_Book1_1_Book1_Book1" xfId="908" xr:uid="{00000000-0005-0000-0000-00008B030000}"/>
    <cellStyle name="_KT_TG_1_Book1_1_Book1_Book1 2" xfId="909" xr:uid="{00000000-0005-0000-0000-00008C030000}"/>
    <cellStyle name="_KT_TG_1_Book1_1_Book1_Book1 3" xfId="910" xr:uid="{00000000-0005-0000-0000-00008D030000}"/>
    <cellStyle name="_KT_TG_1_Book1_1_Book1_Book1_Book1" xfId="911" xr:uid="{00000000-0005-0000-0000-00008E030000}"/>
    <cellStyle name="_KT_TG_1_Book1_1_Book1_Book1_Book1 2" xfId="912" xr:uid="{00000000-0005-0000-0000-00008F030000}"/>
    <cellStyle name="_KT_TG_1_Book1_1_Book1_Sheet2" xfId="913" xr:uid="{00000000-0005-0000-0000-000090030000}"/>
    <cellStyle name="_KT_TG_1_Book1_1_Book1_Sheet2 2" xfId="914" xr:uid="{00000000-0005-0000-0000-000091030000}"/>
    <cellStyle name="_KT_TG_1_Book1_1_Book1_TH KL thiet bi room shelter final" xfId="915" xr:uid="{00000000-0005-0000-0000-000092030000}"/>
    <cellStyle name="_KT_TG_1_Book1_1_Book1_TH KL thiet bi room shelter final 2" xfId="916" xr:uid="{00000000-0005-0000-0000-000093030000}"/>
    <cellStyle name="_KT_TG_1_Book1_1_Book1_THEO DOI HAN RC4 -TS" xfId="917" xr:uid="{00000000-0005-0000-0000-000094030000}"/>
    <cellStyle name="_KT_TG_1_Book1_1_Book1_THEO DOI HAN RC4 -TS 2" xfId="918" xr:uid="{00000000-0005-0000-0000-000095030000}"/>
    <cellStyle name="_KT_TG_1_Book1_1_Book1_W'SRECORD-DNV-2008-gia han han CHIMSAO-08" xfId="919" xr:uid="{00000000-0005-0000-0000-000096030000}"/>
    <cellStyle name="_KT_TG_1_Book1_1_Book1_W'SRECORD-DNV-2008-gia han han CHIMSAO-08 2" xfId="920" xr:uid="{00000000-0005-0000-0000-000097030000}"/>
    <cellStyle name="_KT_TG_1_Book1_1_Book1_Yeu cau vat tu dung cu PEARL" xfId="921" xr:uid="{00000000-0005-0000-0000-000098030000}"/>
    <cellStyle name="_KT_TG_1_Book1_1_Book1_Yeu cau vat tu dung cu PEARL 2" xfId="922" xr:uid="{00000000-0005-0000-0000-000099030000}"/>
    <cellStyle name="_KT_TG_1_Book1_1_Copy of THE-FRONT-1" xfId="923" xr:uid="{00000000-0005-0000-0000-00009A030000}"/>
    <cellStyle name="_KT_TG_1_Book1_1_Copy of THE-FRONT-1 2" xfId="924" xr:uid="{00000000-0005-0000-0000-00009B030000}"/>
    <cellStyle name="_KT_TG_1_Book1_1_Copy of THE-FRONT-1 3" xfId="925" xr:uid="{00000000-0005-0000-0000-00009C030000}"/>
    <cellStyle name="_KT_TG_1_Book1_1_Copy of THE-FRONT-1_01- QUE HAN chim sao" xfId="926" xr:uid="{00000000-0005-0000-0000-00009D030000}"/>
    <cellStyle name="_KT_TG_1_Book1_1_Copy of THE-FRONT-1_01- QUE HAN chim sao 2" xfId="927" xr:uid="{00000000-0005-0000-0000-00009E030000}"/>
    <cellStyle name="_KT_TG_1_Book1_1_Copy of THE-FRONT-1_Book1" xfId="928" xr:uid="{00000000-0005-0000-0000-00009F030000}"/>
    <cellStyle name="_KT_TG_1_Book1_1_Copy of THE-FRONT-1_Book1 2" xfId="929" xr:uid="{00000000-0005-0000-0000-0000A0030000}"/>
    <cellStyle name="_KT_TG_1_Book1_1_Copy of THE-FRONT-1_SP HAN-T03-pd" xfId="930" xr:uid="{00000000-0005-0000-0000-0000A1030000}"/>
    <cellStyle name="_KT_TG_1_Book1_1_Copy of THE-FRONT-1_SP HAN-T03-pd 2" xfId="931" xr:uid="{00000000-0005-0000-0000-0000A2030000}"/>
    <cellStyle name="_KT_TG_1_Book1_1_Copy of THE-FRONT-1_SP HAN-T04-pd" xfId="932" xr:uid="{00000000-0005-0000-0000-0000A3030000}"/>
    <cellStyle name="_KT_TG_1_Book1_1_Copy of THE-FRONT-1_SP HAN-T04-pd 2" xfId="933" xr:uid="{00000000-0005-0000-0000-0000A4030000}"/>
    <cellStyle name="_KT_TG_1_Book1_1_Copy of THE-FRONT-1_THANG 08" xfId="934" xr:uid="{00000000-0005-0000-0000-0000A5030000}"/>
    <cellStyle name="_KT_TG_1_Book1_1_Copy of THE-FRONT-1_THANG 08 2" xfId="935" xr:uid="{00000000-0005-0000-0000-0000A6030000}"/>
    <cellStyle name="_KT_TG_1_Book1_1_Copy of THE-FRONT-1_THANG 08 3" xfId="936" xr:uid="{00000000-0005-0000-0000-0000A7030000}"/>
    <cellStyle name="_KT_TG_1_Book1_1_Copy of THE-FRONT-1_THANG 08_01- QUE HAN chim sao" xfId="937" xr:uid="{00000000-0005-0000-0000-0000A8030000}"/>
    <cellStyle name="_KT_TG_1_Book1_1_Copy of THE-FRONT-1_THANG 08_01- QUE HAN chim sao 2" xfId="938" xr:uid="{00000000-0005-0000-0000-0000A9030000}"/>
    <cellStyle name="_KT_TG_1_Book1_1_Copy of THE-FRONT-1_THANG 08_Book1" xfId="939" xr:uid="{00000000-0005-0000-0000-0000AA030000}"/>
    <cellStyle name="_KT_TG_1_Book1_1_Copy of THE-FRONT-1_THANG 08_Book1 2" xfId="940" xr:uid="{00000000-0005-0000-0000-0000AB030000}"/>
    <cellStyle name="_KT_TG_1_Book1_1_Copy of THE-FRONT-1_W'SRECORD-DNV-2008-gia han han CHIMSAO-08" xfId="941" xr:uid="{00000000-0005-0000-0000-0000AC030000}"/>
    <cellStyle name="_KT_TG_1_Book1_1_Copy of THE-FRONT-1_W'SRECORD-DNV-2008-gia han han CHIMSAO-08 2" xfId="942" xr:uid="{00000000-0005-0000-0000-0000AD030000}"/>
    <cellStyle name="_KT_TG_1_Book1_1_Copy of THE-FRONT-1_Yeu cau vat tu dung cu PEARL" xfId="943" xr:uid="{00000000-0005-0000-0000-0000AE030000}"/>
    <cellStyle name="_KT_TG_1_Book1_1_Copy of THE-FRONT-1_Yeu cau vat tu dung cu PEARL 2" xfId="944" xr:uid="{00000000-0005-0000-0000-0000AF030000}"/>
    <cellStyle name="_KT_TG_1_Book1_1_HOP DONG KHOAN SDA-WHP Jacket-10" xfId="945" xr:uid="{00000000-0005-0000-0000-0000B0030000}"/>
    <cellStyle name="_KT_TG_1_Book1_1_HOP DONG KHOAN SDA-WHP Jacket-10 2" xfId="946" xr:uid="{00000000-0005-0000-0000-0000B1030000}"/>
    <cellStyle name="_KT_TG_1_Book1_1_HOP DONG KHOAN SDA-WHP Jacket-10 3" xfId="947" xr:uid="{00000000-0005-0000-0000-0000B2030000}"/>
    <cellStyle name="_KT_TG_1_Book1_1_HOP DONG KHOAN SDA-WHP Jacket-10_01- QUE HAN chim sao" xfId="948" xr:uid="{00000000-0005-0000-0000-0000B3030000}"/>
    <cellStyle name="_KT_TG_1_Book1_1_HOP DONG KHOAN SDA-WHP Jacket-10_01- QUE HAN chim sao 2" xfId="949" xr:uid="{00000000-0005-0000-0000-0000B4030000}"/>
    <cellStyle name="_KT_TG_1_Book1_1_HOP DONG KHOAN SDA-WHP Jacket-10_Book1" xfId="950" xr:uid="{00000000-0005-0000-0000-0000B5030000}"/>
    <cellStyle name="_KT_TG_1_Book1_1_HOP DONG KHOAN SDA-WHP Jacket-10_Book1 2" xfId="951" xr:uid="{00000000-0005-0000-0000-0000B6030000}"/>
    <cellStyle name="_KT_TG_1_Book1_1_HOP DONG KHOAN SDA-WHP Jacket-12" xfId="952" xr:uid="{00000000-0005-0000-0000-0000B7030000}"/>
    <cellStyle name="_KT_TG_1_Book1_1_HOP DONG KHOAN SDA-WHP Jacket-12 2" xfId="953" xr:uid="{00000000-0005-0000-0000-0000B8030000}"/>
    <cellStyle name="_KT_TG_1_Book1_1_HOP DONG KHOAN SDA-WHP Jacket-12 3" xfId="954" xr:uid="{00000000-0005-0000-0000-0000B9030000}"/>
    <cellStyle name="_KT_TG_1_Book1_1_HOP DONG KHOAN SDA-WHP Jacket-12_01- QUE HAN chim sao" xfId="955" xr:uid="{00000000-0005-0000-0000-0000BA030000}"/>
    <cellStyle name="_KT_TG_1_Book1_1_HOP DONG KHOAN SDA-WHP Jacket-12_01- QUE HAN chim sao 2" xfId="956" xr:uid="{00000000-0005-0000-0000-0000BB030000}"/>
    <cellStyle name="_KT_TG_1_Book1_1_HOP DONG KHOAN SDA-WHP Jacket-12_Book1" xfId="957" xr:uid="{00000000-0005-0000-0000-0000BC030000}"/>
    <cellStyle name="_KT_TG_1_Book1_1_HOP DONG KHOAN SDA-WHP Jacket-12_Book1 2" xfId="958" xr:uid="{00000000-0005-0000-0000-0000BD030000}"/>
    <cellStyle name="_KT_TG_1_Book1_1_KHOI LUONG CNV -WHP " xfId="959" xr:uid="{00000000-0005-0000-0000-0000BE030000}"/>
    <cellStyle name="_KT_TG_1_Book1_1_KHOI LUONG CNV -WHP  2" xfId="960" xr:uid="{00000000-0005-0000-0000-0000BF030000}"/>
    <cellStyle name="_KT_TG_1_Book1_1_MR THAI QC" xfId="961" xr:uid="{00000000-0005-0000-0000-0000C0030000}"/>
    <cellStyle name="_KT_TG_1_Book1_1_MR THAI QC 2" xfId="962" xr:uid="{00000000-0005-0000-0000-0000C1030000}"/>
    <cellStyle name="_KT_TG_1_Book1_1_rc4helideck-vat tu" xfId="963" xr:uid="{00000000-0005-0000-0000-0000C2030000}"/>
    <cellStyle name="_KT_TG_1_Book1_1_rc4helideck-vat tu 2" xfId="964" xr:uid="{00000000-0005-0000-0000-0000C3030000}"/>
    <cellStyle name="_KT_TG_1_Book1_1_tong hop- rc4helideck-vat tu" xfId="971" xr:uid="{00000000-0005-0000-0000-0000CA030000}"/>
    <cellStyle name="_KT_TG_1_Book1_1_tong hop- rc4helideck-vat tu 2" xfId="972" xr:uid="{00000000-0005-0000-0000-0000CB030000}"/>
    <cellStyle name="_KT_TG_1_Book1_1_TH KL thiet bi room shelter final" xfId="965" xr:uid="{00000000-0005-0000-0000-0000C4030000}"/>
    <cellStyle name="_KT_TG_1_Book1_1_TH KL thiet bi room shelter final 2" xfId="966" xr:uid="{00000000-0005-0000-0000-0000C5030000}"/>
    <cellStyle name="_KT_TG_1_Book1_1_THANG 08" xfId="967" xr:uid="{00000000-0005-0000-0000-0000C6030000}"/>
    <cellStyle name="_KT_TG_1_Book1_1_THANG 08 2" xfId="968" xr:uid="{00000000-0005-0000-0000-0000C7030000}"/>
    <cellStyle name="_KT_TG_1_Book1_1_THANG2-07" xfId="969" xr:uid="{00000000-0005-0000-0000-0000C8030000}"/>
    <cellStyle name="_KT_TG_1_Book1_1_THANG2-07 2" xfId="970" xr:uid="{00000000-0005-0000-0000-0000C9030000}"/>
    <cellStyle name="_KT_TG_1_Book1_1_W'SRECORD-DNV-2008-gia han han CHIMSAO-08" xfId="973" xr:uid="{00000000-0005-0000-0000-0000CC030000}"/>
    <cellStyle name="_KT_TG_1_Book1_1_W'SRECORD-DNV-2008-gia han han CHIMSAO-08 2" xfId="974" xr:uid="{00000000-0005-0000-0000-0000CD030000}"/>
    <cellStyle name="_KT_TG_1_Book1_1_Yeu cau vat tu dung cu PEARL" xfId="975" xr:uid="{00000000-0005-0000-0000-0000CE030000}"/>
    <cellStyle name="_KT_TG_1_Book1_1_Yeu cau vat tu dung cu PEARL 2" xfId="976" xr:uid="{00000000-0005-0000-0000-0000CF030000}"/>
    <cellStyle name="_KT_TG_1_C-TH an ca Thang 04-08" xfId="977" xr:uid="{00000000-0005-0000-0000-0000D0030000}"/>
    <cellStyle name="_KT_TG_1_C-TH an ca Thang 04-08 2" xfId="978" xr:uid="{00000000-0005-0000-0000-0000D1030000}"/>
    <cellStyle name="_KT_TG_1_C-TH an ca Thang 04-08 3" xfId="979" xr:uid="{00000000-0005-0000-0000-0000D2030000}"/>
    <cellStyle name="_KT_TG_1_C-TH an ca Thang 04-08_01- QUE HAN chim sao" xfId="980" xr:uid="{00000000-0005-0000-0000-0000D3030000}"/>
    <cellStyle name="_KT_TG_1_C-TH an ca Thang 04-08_01- QUE HAN chim sao 2" xfId="981" xr:uid="{00000000-0005-0000-0000-0000D4030000}"/>
    <cellStyle name="_KT_TG_1_C-TH an ca Thang 04-08_Book1" xfId="982" xr:uid="{00000000-0005-0000-0000-0000D5030000}"/>
    <cellStyle name="_KT_TG_1_C-TH an ca Thang 04-08_Book1 2" xfId="983" xr:uid="{00000000-0005-0000-0000-0000D6030000}"/>
    <cellStyle name="_KT_TG_1_Danh muc tai lieu" xfId="984" xr:uid="{00000000-0005-0000-0000-0000D7030000}"/>
    <cellStyle name="_KT_TG_1_Danh muc tai lieu 2" xfId="985" xr:uid="{00000000-0005-0000-0000-0000D8030000}"/>
    <cellStyle name="_KT_TG_1_DANH SACH CBCNV CT CANG" xfId="986" xr:uid="{00000000-0005-0000-0000-0000D9030000}"/>
    <cellStyle name="_KT_TG_1_DANH SACH CBCNV CT CANG 2" xfId="987" xr:uid="{00000000-0005-0000-0000-0000DA030000}"/>
    <cellStyle name="_KT_TG_1_DANH SACH CBCNV CT CANG 3" xfId="988" xr:uid="{00000000-0005-0000-0000-0000DB030000}"/>
    <cellStyle name="_KT_TG_1_DANH SACH CBCNV CT CANG_01- QUE HAN chim sao" xfId="989" xr:uid="{00000000-0005-0000-0000-0000DC030000}"/>
    <cellStyle name="_KT_TG_1_DANH SACH CBCNV CT CANG_01- QUE HAN chim sao 2" xfId="990" xr:uid="{00000000-0005-0000-0000-0000DD030000}"/>
    <cellStyle name="_KT_TG_1_DANH SACH CBCNV CT CANG_Book1" xfId="991" xr:uid="{00000000-0005-0000-0000-0000DE030000}"/>
    <cellStyle name="_KT_TG_1_DANH SACH CBCNV CT CANG_Book1 2" xfId="992" xr:uid="{00000000-0005-0000-0000-0000DF030000}"/>
    <cellStyle name="_KT_TG_1_FORM RFI TSON" xfId="993" xr:uid="{00000000-0005-0000-0000-0000E0030000}"/>
    <cellStyle name="_KT_TG_1_FORM RFI TSON 2" xfId="994" xr:uid="{00000000-0005-0000-0000-0000E1030000}"/>
    <cellStyle name="_KT_TG_1_FORM RFI TSON 3" xfId="995" xr:uid="{00000000-0005-0000-0000-0000E2030000}"/>
    <cellStyle name="_KT_TG_1_FORM RFI TSON_01- QUE HAN chim sao" xfId="996" xr:uid="{00000000-0005-0000-0000-0000E3030000}"/>
    <cellStyle name="_KT_TG_1_FORM RFI TSON_01- QUE HAN chim sao 2" xfId="997" xr:uid="{00000000-0005-0000-0000-0000E4030000}"/>
    <cellStyle name="_KT_TG_1_FORM RFI TSON_Book1" xfId="998" xr:uid="{00000000-0005-0000-0000-0000E5030000}"/>
    <cellStyle name="_KT_TG_1_FORM RFI TSON_Book1 2" xfId="999" xr:uid="{00000000-0005-0000-0000-0000E6030000}"/>
    <cellStyle name="_KT_TG_1_FORM RFI TSON_Sheet2" xfId="1000" xr:uid="{00000000-0005-0000-0000-0000E7030000}"/>
    <cellStyle name="_KT_TG_1_FORM RFI TSON_Sheet2 2" xfId="1001" xr:uid="{00000000-0005-0000-0000-0000E8030000}"/>
    <cellStyle name="_KT_TG_1_HOP DONG KHOAN SDA-WHP Jacket-10" xfId="1002" xr:uid="{00000000-0005-0000-0000-0000E9030000}"/>
    <cellStyle name="_KT_TG_1_HOP DONG KHOAN SDA-WHP Jacket-10 2" xfId="1003" xr:uid="{00000000-0005-0000-0000-0000EA030000}"/>
    <cellStyle name="_KT_TG_1_HOP DONG KHOAN SDA-WHP Jacket-12" xfId="1004" xr:uid="{00000000-0005-0000-0000-0000EB030000}"/>
    <cellStyle name="_KT_TG_1_HOP DONG KHOAN SDA-WHP Jacket-12 2" xfId="1005" xr:uid="{00000000-0005-0000-0000-0000EC030000}"/>
    <cellStyle name="_KT_TG_1_KHOI LUONG CNV -WHP " xfId="1006" xr:uid="{00000000-0005-0000-0000-0000ED030000}"/>
    <cellStyle name="_KT_TG_1_KHOI LUONG CNV -WHP  2" xfId="1007" xr:uid="{00000000-0005-0000-0000-0000EE030000}"/>
    <cellStyle name="_KT_TG_1_KHOI LUONG CNV -WHP  3" xfId="1008" xr:uid="{00000000-0005-0000-0000-0000EF030000}"/>
    <cellStyle name="_KT_TG_1_KHOI LUONG CNV -WHP _01- QUE HAN chim sao" xfId="1009" xr:uid="{00000000-0005-0000-0000-0000F0030000}"/>
    <cellStyle name="_KT_TG_1_KHOI LUONG CNV -WHP _01- QUE HAN chim sao 2" xfId="1010" xr:uid="{00000000-0005-0000-0000-0000F1030000}"/>
    <cellStyle name="_KT_TG_1_KHOI LUONG CNV -WHP _Book1" xfId="1011" xr:uid="{00000000-0005-0000-0000-0000F2030000}"/>
    <cellStyle name="_KT_TG_1_KHOI LUONG CNV -WHP _Book1 2" xfId="1012" xr:uid="{00000000-0005-0000-0000-0000F3030000}"/>
    <cellStyle name="_KT_TG_1_Material Request &amp; issue voucher-05-01-08-GUI THIEN LOE" xfId="1013" xr:uid="{00000000-0005-0000-0000-0000F4030000}"/>
    <cellStyle name="_KT_TG_1_Material Request &amp; issue voucher-05-01-08-GUI THIEN LOE 2" xfId="1014" xr:uid="{00000000-0005-0000-0000-0000F5030000}"/>
    <cellStyle name="_KT_TG_1_Nomenclature PHA1 M15 DU 042 A" xfId="1015" xr:uid="{00000000-0005-0000-0000-0000F6030000}"/>
    <cellStyle name="_KT_TG_1_Nomenclature PHA1 M15 DU 042 A 2" xfId="1016" xr:uid="{00000000-0005-0000-0000-0000F7030000}"/>
    <cellStyle name="_KT_TG_1_Nomenclature PHA1 M15 DU 042 A 3" xfId="1017" xr:uid="{00000000-0005-0000-0000-0000F8030000}"/>
    <cellStyle name="_KT_TG_1_Nomenclature PHA1 M15 DU 042 A_01- QUE HAN chim sao" xfId="1018" xr:uid="{00000000-0005-0000-0000-0000F9030000}"/>
    <cellStyle name="_KT_TG_1_Nomenclature PHA1 M15 DU 042 A_01- QUE HAN chim sao 2" xfId="1019" xr:uid="{00000000-0005-0000-0000-0000FA030000}"/>
    <cellStyle name="_KT_TG_1_Nomenclature PHA1 M15 DU 042 A_Book1" xfId="1020" xr:uid="{00000000-0005-0000-0000-0000FB030000}"/>
    <cellStyle name="_KT_TG_1_Nomenclature PHA1 M15 DU 042 A_Book1 2" xfId="1021" xr:uid="{00000000-0005-0000-0000-0000FC030000}"/>
    <cellStyle name="_KT_TG_1_Nomenclature PHA1 M15 DU 042 A_Sheet2" xfId="1022" xr:uid="{00000000-0005-0000-0000-0000FD030000}"/>
    <cellStyle name="_KT_TG_1_Nomenclature PHA1 M15 DU 042 A_Sheet2 2" xfId="1023" xr:uid="{00000000-0005-0000-0000-0000FE030000}"/>
    <cellStyle name="_KT_TG_1_pd" xfId="1024" xr:uid="{00000000-0005-0000-0000-0000FF030000}"/>
    <cellStyle name="_KT_TG_1_pd 2" xfId="1025" xr:uid="{00000000-0005-0000-0000-000000040000}"/>
    <cellStyle name="_KT_TG_1_PD CONTROL FOR STRUCTURAL" xfId="1026" xr:uid="{00000000-0005-0000-0000-000001040000}"/>
    <cellStyle name="_KT_TG_1_PD CONTROL FOR STRUCTURAL 2" xfId="1027" xr:uid="{00000000-0005-0000-0000-000002040000}"/>
    <cellStyle name="_KT_TG_1_Phuong Dong01" xfId="1028" xr:uid="{00000000-0005-0000-0000-000003040000}"/>
    <cellStyle name="_KT_TG_1_Phuong Dong01 2" xfId="1029" xr:uid="{00000000-0005-0000-0000-000004040000}"/>
    <cellStyle name="_KT_TG_1_rc4helideck-vat tu" xfId="1030" xr:uid="{00000000-0005-0000-0000-000005040000}"/>
    <cellStyle name="_KT_TG_1_rc4helideck-vat tu 2" xfId="1031" xr:uid="{00000000-0005-0000-0000-000006040000}"/>
    <cellStyle name="_KT_TG_1_RQ-RC4" xfId="1032" xr:uid="{00000000-0005-0000-0000-000007040000}"/>
    <cellStyle name="_KT_TG_1_RQ-RC4 2" xfId="1033" xr:uid="{00000000-0005-0000-0000-000008040000}"/>
    <cellStyle name="_KT_TG_1_SP HAN-T03-pd" xfId="1034" xr:uid="{00000000-0005-0000-0000-000009040000}"/>
    <cellStyle name="_KT_TG_1_SP HAN-T03-pd 2" xfId="1035" xr:uid="{00000000-0005-0000-0000-00000A040000}"/>
    <cellStyle name="_KT_TG_1_SP HAN-T04-pd" xfId="1036" xr:uid="{00000000-0005-0000-0000-00000B040000}"/>
    <cellStyle name="_KT_TG_1_SP HAN-T04-pd 2" xfId="1037" xr:uid="{00000000-0005-0000-0000-00000C040000}"/>
    <cellStyle name="_KT_TG_1_spool fabrication progress 123" xfId="1038" xr:uid="{00000000-0005-0000-0000-00000D040000}"/>
    <cellStyle name="_KT_TG_1_spool fabrication progress 123 2" xfId="1039" xr:uid="{00000000-0005-0000-0000-00000E040000}"/>
    <cellStyle name="_KT_TG_1_Spool Installation Progress" xfId="1040" xr:uid="{00000000-0005-0000-0000-00000F040000}"/>
    <cellStyle name="_KT_TG_1_Spool Installation Progress 2" xfId="1041" xr:uid="{00000000-0005-0000-0000-000010040000}"/>
    <cellStyle name="_KT_TG_1_TONG HOP KHOI LUONG SAT GOC SUPPORT RC4" xfId="1065" xr:uid="{00000000-0005-0000-0000-000028040000}"/>
    <cellStyle name="_KT_TG_1_TONG HOP KHOI LUONG SAT GOC SUPPORT RC4 2" xfId="1066" xr:uid="{00000000-0005-0000-0000-000029040000}"/>
    <cellStyle name="_KT_TG_1_tong hop- rc4helideck-vat tu" xfId="1067" xr:uid="{00000000-0005-0000-0000-00002A040000}"/>
    <cellStyle name="_KT_TG_1_tong hop- rc4helideck-vat tu 2" xfId="1068" xr:uid="{00000000-0005-0000-0000-00002B040000}"/>
    <cellStyle name="_KT_TG_1_Tong hop so luong cac muc" xfId="1069" xr:uid="{00000000-0005-0000-0000-00002C040000}"/>
    <cellStyle name="_KT_TG_1_Tong hop so luong cac muc 2" xfId="1070" xr:uid="{00000000-0005-0000-0000-00002D040000}"/>
    <cellStyle name="_KT_TG_1_Tong hop so luong cac muc 3" xfId="1071" xr:uid="{00000000-0005-0000-0000-00002E040000}"/>
    <cellStyle name="_KT_TG_1_Tong hop so luong cac muc_01- QUE HAN chim sao" xfId="1072" xr:uid="{00000000-0005-0000-0000-00002F040000}"/>
    <cellStyle name="_KT_TG_1_Tong hop so luong cac muc_01- QUE HAN chim sao 2" xfId="1073" xr:uid="{00000000-0005-0000-0000-000030040000}"/>
    <cellStyle name="_KT_TG_1_Tong hop so luong cac muc_Book1" xfId="1074" xr:uid="{00000000-0005-0000-0000-000031040000}"/>
    <cellStyle name="_KT_TG_1_Tong hop so luong cac muc_Book1 2" xfId="1075" xr:uid="{00000000-0005-0000-0000-000032040000}"/>
    <cellStyle name="_KT_TG_1_Tong hop so luong cac muc_Luong T06-css" xfId="1076" xr:uid="{00000000-0005-0000-0000-000033040000}"/>
    <cellStyle name="_KT_TG_1_Tong hop so luong cac muc_Luong T06-css 2" xfId="1077" xr:uid="{00000000-0005-0000-0000-000034040000}"/>
    <cellStyle name="_KT_TG_1_Tong hop so luong cac muc_Luong T9 SP han" xfId="1078" xr:uid="{00000000-0005-0000-0000-000035040000}"/>
    <cellStyle name="_KT_TG_1_Tong hop so luong cac muc_SP HAN-T03-pd" xfId="1079" xr:uid="{00000000-0005-0000-0000-000036040000}"/>
    <cellStyle name="_KT_TG_1_Tong hop so luong cac muc_SP HAN-T03-pd 2" xfId="1080" xr:uid="{00000000-0005-0000-0000-000037040000}"/>
    <cellStyle name="_KT_TG_1_Tong hop so luong cac muc_THANG 08" xfId="1081" xr:uid="{00000000-0005-0000-0000-000038040000}"/>
    <cellStyle name="_KT_TG_1_Tong hop so luong cac muc_THANG 08 2" xfId="1082" xr:uid="{00000000-0005-0000-0000-000039040000}"/>
    <cellStyle name="_KT_TG_1_Tong hop so luong cac muc_THANG 08 3" xfId="1083" xr:uid="{00000000-0005-0000-0000-00003A040000}"/>
    <cellStyle name="_KT_TG_1_Tong hop so luong cac muc_THANG 08_01- QUE HAN chim sao" xfId="1084" xr:uid="{00000000-0005-0000-0000-00003B040000}"/>
    <cellStyle name="_KT_TG_1_Tong hop so luong cac muc_THANG 08_01- QUE HAN chim sao 2" xfId="1085" xr:uid="{00000000-0005-0000-0000-00003C040000}"/>
    <cellStyle name="_KT_TG_1_Tong hop so luong cac muc_THANG 08_Book1" xfId="1086" xr:uid="{00000000-0005-0000-0000-00003D040000}"/>
    <cellStyle name="_KT_TG_1_Tong hop so luong cac muc_THANG 08_Book1 2" xfId="1087" xr:uid="{00000000-0005-0000-0000-00003E040000}"/>
    <cellStyle name="_KT_TG_1_Tong hop so luong cac muc_THEO DOI HAN RC4 -TS" xfId="1088" xr:uid="{00000000-0005-0000-0000-00003F040000}"/>
    <cellStyle name="_KT_TG_1_Tong hop so luong cac muc_THEO DOI HAN RC4 -TS 2" xfId="1089" xr:uid="{00000000-0005-0000-0000-000040040000}"/>
    <cellStyle name="_KT_TG_1_Tong hop so luong cac muc_W'SRECORD-DNV-2008-gia han han CHIMSAO-08" xfId="1090" xr:uid="{00000000-0005-0000-0000-000041040000}"/>
    <cellStyle name="_KT_TG_1_Tong hop so luong cac muc_W'SRECORD-DNV-2008-gia han han CHIMSAO-08 2" xfId="1091" xr:uid="{00000000-0005-0000-0000-000042040000}"/>
    <cellStyle name="_KT_TG_1_Tong hop so luong cac muc_Yeu cau vat tu dung cu PEARL" xfId="1092" xr:uid="{00000000-0005-0000-0000-000043040000}"/>
    <cellStyle name="_KT_TG_1_Tong hop so luong cac muc_Yeu cau vat tu dung cu PEARL 2" xfId="1093" xr:uid="{00000000-0005-0000-0000-000044040000}"/>
    <cellStyle name="_KT_TG_1_TUNG T5" xfId="1094" xr:uid="{00000000-0005-0000-0000-000045040000}"/>
    <cellStyle name="_KT_TG_1_TUNG T5 2" xfId="1095" xr:uid="{00000000-0005-0000-0000-000046040000}"/>
    <cellStyle name="_KT_TG_1_THANG 08" xfId="1042" xr:uid="{00000000-0005-0000-0000-000011040000}"/>
    <cellStyle name="_KT_TG_1_THANG 08 2" xfId="1043" xr:uid="{00000000-0005-0000-0000-000012040000}"/>
    <cellStyle name="_KT_TG_1_THANG 08 3" xfId="1044" xr:uid="{00000000-0005-0000-0000-000013040000}"/>
    <cellStyle name="_KT_TG_1_THANG 08_01- QUE HAN chim sao" xfId="1045" xr:uid="{00000000-0005-0000-0000-000014040000}"/>
    <cellStyle name="_KT_TG_1_THANG 08_01- QUE HAN chim sao 2" xfId="1046" xr:uid="{00000000-0005-0000-0000-000015040000}"/>
    <cellStyle name="_KT_TG_1_THANG 08_Book1" xfId="1047" xr:uid="{00000000-0005-0000-0000-000016040000}"/>
    <cellStyle name="_KT_TG_1_THANG 08_Book1 2" xfId="1048" xr:uid="{00000000-0005-0000-0000-000017040000}"/>
    <cellStyle name="_KT_TG_1_THANG2-07" xfId="1049" xr:uid="{00000000-0005-0000-0000-000018040000}"/>
    <cellStyle name="_KT_TG_1_THANG2-07 2" xfId="1050" xr:uid="{00000000-0005-0000-0000-000019040000}"/>
    <cellStyle name="_KT_TG_1_THANG2-07 3" xfId="1051" xr:uid="{00000000-0005-0000-0000-00001A040000}"/>
    <cellStyle name="_KT_TG_1_THANG2-07_01- QUE HAN chim sao" xfId="1052" xr:uid="{00000000-0005-0000-0000-00001B040000}"/>
    <cellStyle name="_KT_TG_1_THANG2-07_01- QUE HAN chim sao 2" xfId="1053" xr:uid="{00000000-0005-0000-0000-00001C040000}"/>
    <cellStyle name="_KT_TG_1_THANG2-07_Book1" xfId="1054" xr:uid="{00000000-0005-0000-0000-00001D040000}"/>
    <cellStyle name="_KT_TG_1_THANG2-07_Book1 2" xfId="1055" xr:uid="{00000000-0005-0000-0000-00001E040000}"/>
    <cellStyle name="_KT_TG_1_THANG4-08V" xfId="1056" xr:uid="{00000000-0005-0000-0000-00001F040000}"/>
    <cellStyle name="_KT_TG_1_THANG4-08V 2" xfId="1057" xr:uid="{00000000-0005-0000-0000-000020040000}"/>
    <cellStyle name="_KT_TG_1_THANG4-08V 3" xfId="1058" xr:uid="{00000000-0005-0000-0000-000021040000}"/>
    <cellStyle name="_KT_TG_1_THANG4-08V_01- QUE HAN chim sao" xfId="1059" xr:uid="{00000000-0005-0000-0000-000022040000}"/>
    <cellStyle name="_KT_TG_1_THANG4-08V_01- QUE HAN chim sao 2" xfId="1060" xr:uid="{00000000-0005-0000-0000-000023040000}"/>
    <cellStyle name="_KT_TG_1_THANG4-08V_Book1" xfId="1061" xr:uid="{00000000-0005-0000-0000-000024040000}"/>
    <cellStyle name="_KT_TG_1_THANG4-08V_Book1 2" xfId="1062" xr:uid="{00000000-0005-0000-0000-000025040000}"/>
    <cellStyle name="_KT_TG_1_THEO DOI HAN RC4 -TS" xfId="1063" xr:uid="{00000000-0005-0000-0000-000026040000}"/>
    <cellStyle name="_KT_TG_1_THEO DOI HAN RC4 -TS 2" xfId="1064" xr:uid="{00000000-0005-0000-0000-000027040000}"/>
    <cellStyle name="_KT_TG_1_WELD TRACEABILITY JACKET NEW" xfId="1096" xr:uid="{00000000-0005-0000-0000-000047040000}"/>
    <cellStyle name="_KT_TG_1_WELD TRACEABILITY JACKET NEW 2" xfId="1097" xr:uid="{00000000-0005-0000-0000-000048040000}"/>
    <cellStyle name="_KT_TG_1_Weld Traceability Record" xfId="1098" xr:uid="{00000000-0005-0000-0000-000049040000}"/>
    <cellStyle name="_KT_TG_1_Weld Traceability Record 2" xfId="1099" xr:uid="{00000000-0005-0000-0000-00004A040000}"/>
    <cellStyle name="_KT_TG_1_WELDING CONTROL JACKET" xfId="1100" xr:uid="{00000000-0005-0000-0000-00004B040000}"/>
    <cellStyle name="_KT_TG_1_WELDING CONTROL JACKET 2" xfId="1101" xr:uid="{00000000-0005-0000-0000-00004C040000}"/>
    <cellStyle name="_KT_TG_1_W'SRECORD-DNV-2008-gia han han CHIMSAO-08" xfId="1102" xr:uid="{00000000-0005-0000-0000-00004D040000}"/>
    <cellStyle name="_KT_TG_1_W'SRECORD-DNV-2008-gia han han CHIMSAO-08 2" xfId="1103" xr:uid="{00000000-0005-0000-0000-00004E040000}"/>
    <cellStyle name="_KT_TG_1_Yeu cau vat tu dung cu PEARL" xfId="1104" xr:uid="{00000000-0005-0000-0000-00004F040000}"/>
    <cellStyle name="_KT_TG_1_Yeu cau vat tu dung cu PEARL 2" xfId="1105" xr:uid="{00000000-0005-0000-0000-000050040000}"/>
    <cellStyle name="_KT_TG_2" xfId="1106" xr:uid="{00000000-0005-0000-0000-000051040000}"/>
    <cellStyle name="_KT_TG_2 2" xfId="1107" xr:uid="{00000000-0005-0000-0000-000052040000}"/>
    <cellStyle name="_KT_TG_2 3" xfId="1108" xr:uid="{00000000-0005-0000-0000-000053040000}"/>
    <cellStyle name="_KT_TG_2_002KM4-19(002)" xfId="1109" xr:uid="{00000000-0005-0000-0000-000054040000}"/>
    <cellStyle name="_KT_TG_2_002KM4-19(002) 2" xfId="1110" xr:uid="{00000000-0005-0000-0000-000055040000}"/>
    <cellStyle name="_KT_TG_2_01- QUE HAN chim sao" xfId="1111" xr:uid="{00000000-0005-0000-0000-000056040000}"/>
    <cellStyle name="_KT_TG_2_01- QUE HAN chim sao 2" xfId="1112" xr:uid="{00000000-0005-0000-0000-000057040000}"/>
    <cellStyle name="_KT_TG_2_anhhieu" xfId="1113" xr:uid="{00000000-0005-0000-0000-000058040000}"/>
    <cellStyle name="_KT_TG_2_anhhieu 2" xfId="1114" xr:uid="{00000000-0005-0000-0000-000059040000}"/>
    <cellStyle name="_KT_TG_2_BAO CAO TUAN25-02" xfId="1115" xr:uid="{00000000-0005-0000-0000-00005A040000}"/>
    <cellStyle name="_KT_TG_2_BAO CAO TUAN25-02 2" xfId="1116" xr:uid="{00000000-0005-0000-0000-00005B040000}"/>
    <cellStyle name="_KT_TG_2_baûng chaám coâng ñoâi bieân" xfId="1117" xr:uid="{00000000-0005-0000-0000-00005C040000}"/>
    <cellStyle name="_KT_TG_2_baûng chaám coâng ñoâi bieân 2" xfId="1118" xr:uid="{00000000-0005-0000-0000-00005D040000}"/>
    <cellStyle name="_KT_TG_2_Book1" xfId="1119" xr:uid="{00000000-0005-0000-0000-00005E040000}"/>
    <cellStyle name="_KT_TG_2_Book1 2" xfId="1120" xr:uid="{00000000-0005-0000-0000-00005F040000}"/>
    <cellStyle name="_KT_TG_2_Book1_1" xfId="1121" xr:uid="{00000000-0005-0000-0000-000060040000}"/>
    <cellStyle name="_KT_TG_2_Book1_1 2" xfId="1122" xr:uid="{00000000-0005-0000-0000-000061040000}"/>
    <cellStyle name="_KT_TG_2_Book1_1_01-Cong tring cang VSP-Khoi luong thuc hien T9" xfId="1123" xr:uid="{00000000-0005-0000-0000-000062040000}"/>
    <cellStyle name="_KT_TG_2_Book1_1_01-Cong tring cang VSP-Khoi luong thuc hien T9 2" xfId="1124" xr:uid="{00000000-0005-0000-0000-000063040000}"/>
    <cellStyle name="_KT_TG_2_Book1_1_BAO CAO TUAN25-02" xfId="1125" xr:uid="{00000000-0005-0000-0000-000064040000}"/>
    <cellStyle name="_KT_TG_2_Book1_1_BAO CAO TUAN25-02 2" xfId="1126" xr:uid="{00000000-0005-0000-0000-000065040000}"/>
    <cellStyle name="_KT_TG_2_Book1_1_BAO CAO TUAN25-02 3" xfId="1127" xr:uid="{00000000-0005-0000-0000-000066040000}"/>
    <cellStyle name="_KT_TG_2_Book1_1_BAO CAO TUAN25-02_01- QUE HAN chim sao" xfId="1128" xr:uid="{00000000-0005-0000-0000-000067040000}"/>
    <cellStyle name="_KT_TG_2_Book1_1_BAO CAO TUAN25-02_01- QUE HAN chim sao 2" xfId="1129" xr:uid="{00000000-0005-0000-0000-000068040000}"/>
    <cellStyle name="_KT_TG_2_Book1_1_BAO CAO TUAN25-02_Book1" xfId="1130" xr:uid="{00000000-0005-0000-0000-000069040000}"/>
    <cellStyle name="_KT_TG_2_Book1_1_BAO CAO TUAN25-02_Book1 2" xfId="1131" xr:uid="{00000000-0005-0000-0000-00006A040000}"/>
    <cellStyle name="_KT_TG_2_Book1_1_Book1" xfId="1132" xr:uid="{00000000-0005-0000-0000-00006B040000}"/>
    <cellStyle name="_KT_TG_2_Book1_1_Book1 2" xfId="1133" xr:uid="{00000000-0005-0000-0000-00006C040000}"/>
    <cellStyle name="_KT_TG_2_Book1_1_Book1 3" xfId="1134" xr:uid="{00000000-0005-0000-0000-00006D040000}"/>
    <cellStyle name="_KT_TG_2_Book1_1_Book1_01- QUE HAN chim sao" xfId="1135" xr:uid="{00000000-0005-0000-0000-00006E040000}"/>
    <cellStyle name="_KT_TG_2_Book1_1_Book1_01- QUE HAN chim sao 2" xfId="1136" xr:uid="{00000000-0005-0000-0000-00006F040000}"/>
    <cellStyle name="_KT_TG_2_Book1_1_Book1_Book1" xfId="1137" xr:uid="{00000000-0005-0000-0000-000070040000}"/>
    <cellStyle name="_KT_TG_2_Book1_1_Book1_Book1 2" xfId="1138" xr:uid="{00000000-0005-0000-0000-000071040000}"/>
    <cellStyle name="_KT_TG_2_Book1_1_Book1_Book1 3" xfId="1139" xr:uid="{00000000-0005-0000-0000-000072040000}"/>
    <cellStyle name="_KT_TG_2_Book1_1_Book1_Book1_Book1" xfId="1140" xr:uid="{00000000-0005-0000-0000-000073040000}"/>
    <cellStyle name="_KT_TG_2_Book1_1_Book1_Book1_Book1 2" xfId="1141" xr:uid="{00000000-0005-0000-0000-000074040000}"/>
    <cellStyle name="_KT_TG_2_Book1_1_Book1_Sheet2" xfId="1142" xr:uid="{00000000-0005-0000-0000-000075040000}"/>
    <cellStyle name="_KT_TG_2_Book1_1_Book1_Sheet2 2" xfId="1143" xr:uid="{00000000-0005-0000-0000-000076040000}"/>
    <cellStyle name="_KT_TG_2_Book1_1_Book1_TH KL thiet bi room shelter final" xfId="1144" xr:uid="{00000000-0005-0000-0000-000077040000}"/>
    <cellStyle name="_KT_TG_2_Book1_1_Book1_TH KL thiet bi room shelter final 2" xfId="1145" xr:uid="{00000000-0005-0000-0000-000078040000}"/>
    <cellStyle name="_KT_TG_2_Book1_1_Book1_THEO DOI HAN RC4 -TS" xfId="1146" xr:uid="{00000000-0005-0000-0000-000079040000}"/>
    <cellStyle name="_KT_TG_2_Book1_1_Book1_THEO DOI HAN RC4 -TS 2" xfId="1147" xr:uid="{00000000-0005-0000-0000-00007A040000}"/>
    <cellStyle name="_KT_TG_2_Book1_1_Book1_W'SRECORD-DNV-2008-gia han han CHIMSAO-08" xfId="1148" xr:uid="{00000000-0005-0000-0000-00007B040000}"/>
    <cellStyle name="_KT_TG_2_Book1_1_Book1_W'SRECORD-DNV-2008-gia han han CHIMSAO-08 2" xfId="1149" xr:uid="{00000000-0005-0000-0000-00007C040000}"/>
    <cellStyle name="_KT_TG_2_Book1_1_Book1_Yeu cau vat tu dung cu PEARL" xfId="1150" xr:uid="{00000000-0005-0000-0000-00007D040000}"/>
    <cellStyle name="_KT_TG_2_Book1_1_Book1_Yeu cau vat tu dung cu PEARL 2" xfId="1151" xr:uid="{00000000-0005-0000-0000-00007E040000}"/>
    <cellStyle name="_KT_TG_2_Book1_1_Copy of THE-FRONT-1" xfId="1152" xr:uid="{00000000-0005-0000-0000-00007F040000}"/>
    <cellStyle name="_KT_TG_2_Book1_1_Copy of THE-FRONT-1 2" xfId="1153" xr:uid="{00000000-0005-0000-0000-000080040000}"/>
    <cellStyle name="_KT_TG_2_Book1_1_Copy of THE-FRONT-1 3" xfId="1154" xr:uid="{00000000-0005-0000-0000-000081040000}"/>
    <cellStyle name="_KT_TG_2_Book1_1_Copy of THE-FRONT-1_01- QUE HAN chim sao" xfId="1155" xr:uid="{00000000-0005-0000-0000-000082040000}"/>
    <cellStyle name="_KT_TG_2_Book1_1_Copy of THE-FRONT-1_01- QUE HAN chim sao 2" xfId="1156" xr:uid="{00000000-0005-0000-0000-000083040000}"/>
    <cellStyle name="_KT_TG_2_Book1_1_Copy of THE-FRONT-1_Book1" xfId="1157" xr:uid="{00000000-0005-0000-0000-000084040000}"/>
    <cellStyle name="_KT_TG_2_Book1_1_Copy of THE-FRONT-1_Book1 2" xfId="1158" xr:uid="{00000000-0005-0000-0000-000085040000}"/>
    <cellStyle name="_KT_TG_2_Book1_1_Copy of THE-FRONT-1_SP HAN-T03-pd" xfId="1159" xr:uid="{00000000-0005-0000-0000-000086040000}"/>
    <cellStyle name="_KT_TG_2_Book1_1_Copy of THE-FRONT-1_SP HAN-T03-pd 2" xfId="1160" xr:uid="{00000000-0005-0000-0000-000087040000}"/>
    <cellStyle name="_KT_TG_2_Book1_1_Copy of THE-FRONT-1_SP HAN-T04-pd" xfId="1161" xr:uid="{00000000-0005-0000-0000-000088040000}"/>
    <cellStyle name="_KT_TG_2_Book1_1_Copy of THE-FRONT-1_SP HAN-T04-pd 2" xfId="1162" xr:uid="{00000000-0005-0000-0000-000089040000}"/>
    <cellStyle name="_KT_TG_2_Book1_1_Copy of THE-FRONT-1_THANG 08" xfId="1163" xr:uid="{00000000-0005-0000-0000-00008A040000}"/>
    <cellStyle name="_KT_TG_2_Book1_1_Copy of THE-FRONT-1_THANG 08 2" xfId="1164" xr:uid="{00000000-0005-0000-0000-00008B040000}"/>
    <cellStyle name="_KT_TG_2_Book1_1_Copy of THE-FRONT-1_THANG 08 3" xfId="1165" xr:uid="{00000000-0005-0000-0000-00008C040000}"/>
    <cellStyle name="_KT_TG_2_Book1_1_Copy of THE-FRONT-1_THANG 08_01- QUE HAN chim sao" xfId="1166" xr:uid="{00000000-0005-0000-0000-00008D040000}"/>
    <cellStyle name="_KT_TG_2_Book1_1_Copy of THE-FRONT-1_THANG 08_01- QUE HAN chim sao 2" xfId="1167" xr:uid="{00000000-0005-0000-0000-00008E040000}"/>
    <cellStyle name="_KT_TG_2_Book1_1_Copy of THE-FRONT-1_THANG 08_Book1" xfId="1168" xr:uid="{00000000-0005-0000-0000-00008F040000}"/>
    <cellStyle name="_KT_TG_2_Book1_1_Copy of THE-FRONT-1_THANG 08_Book1 2" xfId="1169" xr:uid="{00000000-0005-0000-0000-000090040000}"/>
    <cellStyle name="_KT_TG_2_Book1_1_Copy of THE-FRONT-1_W'SRECORD-DNV-2008-gia han han CHIMSAO-08" xfId="1170" xr:uid="{00000000-0005-0000-0000-000091040000}"/>
    <cellStyle name="_KT_TG_2_Book1_1_Copy of THE-FRONT-1_W'SRECORD-DNV-2008-gia han han CHIMSAO-08 2" xfId="1171" xr:uid="{00000000-0005-0000-0000-000092040000}"/>
    <cellStyle name="_KT_TG_2_Book1_1_Copy of THE-FRONT-1_Yeu cau vat tu dung cu PEARL" xfId="1172" xr:uid="{00000000-0005-0000-0000-000093040000}"/>
    <cellStyle name="_KT_TG_2_Book1_1_Copy of THE-FRONT-1_Yeu cau vat tu dung cu PEARL 2" xfId="1173" xr:uid="{00000000-0005-0000-0000-000094040000}"/>
    <cellStyle name="_KT_TG_2_Book1_1_HOP DONG KHOAN SDA-WHP Jacket-10" xfId="1174" xr:uid="{00000000-0005-0000-0000-000095040000}"/>
    <cellStyle name="_KT_TG_2_Book1_1_HOP DONG KHOAN SDA-WHP Jacket-10 2" xfId="1175" xr:uid="{00000000-0005-0000-0000-000096040000}"/>
    <cellStyle name="_KT_TG_2_Book1_1_HOP DONG KHOAN SDA-WHP Jacket-10 3" xfId="1176" xr:uid="{00000000-0005-0000-0000-000097040000}"/>
    <cellStyle name="_KT_TG_2_Book1_1_HOP DONG KHOAN SDA-WHP Jacket-10_01- QUE HAN chim sao" xfId="1177" xr:uid="{00000000-0005-0000-0000-000098040000}"/>
    <cellStyle name="_KT_TG_2_Book1_1_HOP DONG KHOAN SDA-WHP Jacket-10_01- QUE HAN chim sao 2" xfId="1178" xr:uid="{00000000-0005-0000-0000-000099040000}"/>
    <cellStyle name="_KT_TG_2_Book1_1_HOP DONG KHOAN SDA-WHP Jacket-10_Book1" xfId="1179" xr:uid="{00000000-0005-0000-0000-00009A040000}"/>
    <cellStyle name="_KT_TG_2_Book1_1_HOP DONG KHOAN SDA-WHP Jacket-10_Book1 2" xfId="1180" xr:uid="{00000000-0005-0000-0000-00009B040000}"/>
    <cellStyle name="_KT_TG_2_Book1_1_HOP DONG KHOAN SDA-WHP Jacket-12" xfId="1181" xr:uid="{00000000-0005-0000-0000-00009C040000}"/>
    <cellStyle name="_KT_TG_2_Book1_1_HOP DONG KHOAN SDA-WHP Jacket-12 2" xfId="1182" xr:uid="{00000000-0005-0000-0000-00009D040000}"/>
    <cellStyle name="_KT_TG_2_Book1_1_HOP DONG KHOAN SDA-WHP Jacket-12 3" xfId="1183" xr:uid="{00000000-0005-0000-0000-00009E040000}"/>
    <cellStyle name="_KT_TG_2_Book1_1_HOP DONG KHOAN SDA-WHP Jacket-12_01- QUE HAN chim sao" xfId="1184" xr:uid="{00000000-0005-0000-0000-00009F040000}"/>
    <cellStyle name="_KT_TG_2_Book1_1_HOP DONG KHOAN SDA-WHP Jacket-12_01- QUE HAN chim sao 2" xfId="1185" xr:uid="{00000000-0005-0000-0000-0000A0040000}"/>
    <cellStyle name="_KT_TG_2_Book1_1_HOP DONG KHOAN SDA-WHP Jacket-12_Book1" xfId="1186" xr:uid="{00000000-0005-0000-0000-0000A1040000}"/>
    <cellStyle name="_KT_TG_2_Book1_1_HOP DONG KHOAN SDA-WHP Jacket-12_Book1 2" xfId="1187" xr:uid="{00000000-0005-0000-0000-0000A2040000}"/>
    <cellStyle name="_KT_TG_2_Book1_1_KHOI LUONG CNV -WHP " xfId="1188" xr:uid="{00000000-0005-0000-0000-0000A3040000}"/>
    <cellStyle name="_KT_TG_2_Book1_1_KHOI LUONG CNV -WHP  2" xfId="1189" xr:uid="{00000000-0005-0000-0000-0000A4040000}"/>
    <cellStyle name="_KT_TG_2_Book1_1_MR THAI QC" xfId="1190" xr:uid="{00000000-0005-0000-0000-0000A5040000}"/>
    <cellStyle name="_KT_TG_2_Book1_1_MR THAI QC 2" xfId="1191" xr:uid="{00000000-0005-0000-0000-0000A6040000}"/>
    <cellStyle name="_KT_TG_2_Book1_1_rc4helideck-vat tu" xfId="1192" xr:uid="{00000000-0005-0000-0000-0000A7040000}"/>
    <cellStyle name="_KT_TG_2_Book1_1_rc4helideck-vat tu 2" xfId="1193" xr:uid="{00000000-0005-0000-0000-0000A8040000}"/>
    <cellStyle name="_KT_TG_2_Book1_1_tong hop- rc4helideck-vat tu" xfId="1200" xr:uid="{00000000-0005-0000-0000-0000AF040000}"/>
    <cellStyle name="_KT_TG_2_Book1_1_tong hop- rc4helideck-vat tu 2" xfId="1201" xr:uid="{00000000-0005-0000-0000-0000B0040000}"/>
    <cellStyle name="_KT_TG_2_Book1_1_TH KL thiet bi room shelter final" xfId="1194" xr:uid="{00000000-0005-0000-0000-0000A9040000}"/>
    <cellStyle name="_KT_TG_2_Book1_1_TH KL thiet bi room shelter final 2" xfId="1195" xr:uid="{00000000-0005-0000-0000-0000AA040000}"/>
    <cellStyle name="_KT_TG_2_Book1_1_THANG 08" xfId="1196" xr:uid="{00000000-0005-0000-0000-0000AB040000}"/>
    <cellStyle name="_KT_TG_2_Book1_1_THANG 08 2" xfId="1197" xr:uid="{00000000-0005-0000-0000-0000AC040000}"/>
    <cellStyle name="_KT_TG_2_Book1_1_THANG2-07" xfId="1198" xr:uid="{00000000-0005-0000-0000-0000AD040000}"/>
    <cellStyle name="_KT_TG_2_Book1_1_THANG2-07 2" xfId="1199" xr:uid="{00000000-0005-0000-0000-0000AE040000}"/>
    <cellStyle name="_KT_TG_2_Book1_1_W'SRECORD-DNV-2008-gia han han CHIMSAO-08" xfId="1202" xr:uid="{00000000-0005-0000-0000-0000B1040000}"/>
    <cellStyle name="_KT_TG_2_Book1_1_W'SRECORD-DNV-2008-gia han han CHIMSAO-08 2" xfId="1203" xr:uid="{00000000-0005-0000-0000-0000B2040000}"/>
    <cellStyle name="_KT_TG_2_Book1_1_Yeu cau vat tu dung cu PEARL" xfId="1204" xr:uid="{00000000-0005-0000-0000-0000B3040000}"/>
    <cellStyle name="_KT_TG_2_Book1_1_Yeu cau vat tu dung cu PEARL 2" xfId="1205" xr:uid="{00000000-0005-0000-0000-0000B4040000}"/>
    <cellStyle name="_KT_TG_2_C-TH an ca Thang 04-08" xfId="1206" xr:uid="{00000000-0005-0000-0000-0000B5040000}"/>
    <cellStyle name="_KT_TG_2_C-TH an ca Thang 04-08 2" xfId="1207" xr:uid="{00000000-0005-0000-0000-0000B6040000}"/>
    <cellStyle name="_KT_TG_2_C-TH an ca Thang 04-08 3" xfId="1208" xr:uid="{00000000-0005-0000-0000-0000B7040000}"/>
    <cellStyle name="_KT_TG_2_C-TH an ca Thang 04-08_01- QUE HAN chim sao" xfId="1209" xr:uid="{00000000-0005-0000-0000-0000B8040000}"/>
    <cellStyle name="_KT_TG_2_C-TH an ca Thang 04-08_01- QUE HAN chim sao 2" xfId="1210" xr:uid="{00000000-0005-0000-0000-0000B9040000}"/>
    <cellStyle name="_KT_TG_2_C-TH an ca Thang 04-08_Book1" xfId="1211" xr:uid="{00000000-0005-0000-0000-0000BA040000}"/>
    <cellStyle name="_KT_TG_2_C-TH an ca Thang 04-08_Book1 2" xfId="1212" xr:uid="{00000000-0005-0000-0000-0000BB040000}"/>
    <cellStyle name="_KT_TG_2_Danh muc tai lieu" xfId="1213" xr:uid="{00000000-0005-0000-0000-0000BC040000}"/>
    <cellStyle name="_KT_TG_2_Danh muc tai lieu 2" xfId="1214" xr:uid="{00000000-0005-0000-0000-0000BD040000}"/>
    <cellStyle name="_KT_TG_2_DANH SACH CBCNV CT CANG" xfId="1215" xr:uid="{00000000-0005-0000-0000-0000BE040000}"/>
    <cellStyle name="_KT_TG_2_DANH SACH CBCNV CT CANG 2" xfId="1216" xr:uid="{00000000-0005-0000-0000-0000BF040000}"/>
    <cellStyle name="_KT_TG_2_DANH SACH CBCNV CT CANG 3" xfId="1217" xr:uid="{00000000-0005-0000-0000-0000C0040000}"/>
    <cellStyle name="_KT_TG_2_DANH SACH CBCNV CT CANG_01- QUE HAN chim sao" xfId="1218" xr:uid="{00000000-0005-0000-0000-0000C1040000}"/>
    <cellStyle name="_KT_TG_2_DANH SACH CBCNV CT CANG_01- QUE HAN chim sao 2" xfId="1219" xr:uid="{00000000-0005-0000-0000-0000C2040000}"/>
    <cellStyle name="_KT_TG_2_DANH SACH CBCNV CT CANG_Book1" xfId="1220" xr:uid="{00000000-0005-0000-0000-0000C3040000}"/>
    <cellStyle name="_KT_TG_2_DANH SACH CBCNV CT CANG_Book1 2" xfId="1221" xr:uid="{00000000-0005-0000-0000-0000C4040000}"/>
    <cellStyle name="_KT_TG_2_FORM RFI TSON" xfId="1222" xr:uid="{00000000-0005-0000-0000-0000C5040000}"/>
    <cellStyle name="_KT_TG_2_FORM RFI TSON 2" xfId="1223" xr:uid="{00000000-0005-0000-0000-0000C6040000}"/>
    <cellStyle name="_KT_TG_2_FORM RFI TSON 3" xfId="1224" xr:uid="{00000000-0005-0000-0000-0000C7040000}"/>
    <cellStyle name="_KT_TG_2_FORM RFI TSON_01- QUE HAN chim sao" xfId="1225" xr:uid="{00000000-0005-0000-0000-0000C8040000}"/>
    <cellStyle name="_KT_TG_2_FORM RFI TSON_01- QUE HAN chim sao 2" xfId="1226" xr:uid="{00000000-0005-0000-0000-0000C9040000}"/>
    <cellStyle name="_KT_TG_2_FORM RFI TSON_Book1" xfId="1227" xr:uid="{00000000-0005-0000-0000-0000CA040000}"/>
    <cellStyle name="_KT_TG_2_FORM RFI TSON_Book1 2" xfId="1228" xr:uid="{00000000-0005-0000-0000-0000CB040000}"/>
    <cellStyle name="_KT_TG_2_FORM RFI TSON_Sheet2" xfId="1229" xr:uid="{00000000-0005-0000-0000-0000CC040000}"/>
    <cellStyle name="_KT_TG_2_FORM RFI TSON_Sheet2 2" xfId="1230" xr:uid="{00000000-0005-0000-0000-0000CD040000}"/>
    <cellStyle name="_KT_TG_2_HOP DONG KHOAN SDA-WHP Jacket-10" xfId="1231" xr:uid="{00000000-0005-0000-0000-0000CE040000}"/>
    <cellStyle name="_KT_TG_2_HOP DONG KHOAN SDA-WHP Jacket-10 2" xfId="1232" xr:uid="{00000000-0005-0000-0000-0000CF040000}"/>
    <cellStyle name="_KT_TG_2_HOP DONG KHOAN SDA-WHP Jacket-12" xfId="1233" xr:uid="{00000000-0005-0000-0000-0000D0040000}"/>
    <cellStyle name="_KT_TG_2_HOP DONG KHOAN SDA-WHP Jacket-12 2" xfId="1234" xr:uid="{00000000-0005-0000-0000-0000D1040000}"/>
    <cellStyle name="_KT_TG_2_KHOI LUONG CNV -WHP " xfId="1235" xr:uid="{00000000-0005-0000-0000-0000D2040000}"/>
    <cellStyle name="_KT_TG_2_KHOI LUONG CNV -WHP  2" xfId="1236" xr:uid="{00000000-0005-0000-0000-0000D3040000}"/>
    <cellStyle name="_KT_TG_2_KHOI LUONG CNV -WHP  3" xfId="1237" xr:uid="{00000000-0005-0000-0000-0000D4040000}"/>
    <cellStyle name="_KT_TG_2_KHOI LUONG CNV -WHP _01- QUE HAN chim sao" xfId="1238" xr:uid="{00000000-0005-0000-0000-0000D5040000}"/>
    <cellStyle name="_KT_TG_2_KHOI LUONG CNV -WHP _01- QUE HAN chim sao 2" xfId="1239" xr:uid="{00000000-0005-0000-0000-0000D6040000}"/>
    <cellStyle name="_KT_TG_2_KHOI LUONG CNV -WHP _Book1" xfId="1240" xr:uid="{00000000-0005-0000-0000-0000D7040000}"/>
    <cellStyle name="_KT_TG_2_KHOI LUONG CNV -WHP _Book1 2" xfId="1241" xr:uid="{00000000-0005-0000-0000-0000D8040000}"/>
    <cellStyle name="_KT_TG_2_Material Request &amp; issue voucher-05-01-08-GUI THIEN LOE" xfId="1242" xr:uid="{00000000-0005-0000-0000-0000D9040000}"/>
    <cellStyle name="_KT_TG_2_Material Request &amp; issue voucher-05-01-08-GUI THIEN LOE 2" xfId="1243" xr:uid="{00000000-0005-0000-0000-0000DA040000}"/>
    <cellStyle name="_KT_TG_2_Nomenclature PHA1 M15 DU 042 A" xfId="1244" xr:uid="{00000000-0005-0000-0000-0000DB040000}"/>
    <cellStyle name="_KT_TG_2_Nomenclature PHA1 M15 DU 042 A 2" xfId="1245" xr:uid="{00000000-0005-0000-0000-0000DC040000}"/>
    <cellStyle name="_KT_TG_2_Nomenclature PHA1 M15 DU 042 A 3" xfId="1246" xr:uid="{00000000-0005-0000-0000-0000DD040000}"/>
    <cellStyle name="_KT_TG_2_Nomenclature PHA1 M15 DU 042 A_01- QUE HAN chim sao" xfId="1247" xr:uid="{00000000-0005-0000-0000-0000DE040000}"/>
    <cellStyle name="_KT_TG_2_Nomenclature PHA1 M15 DU 042 A_01- QUE HAN chim sao 2" xfId="1248" xr:uid="{00000000-0005-0000-0000-0000DF040000}"/>
    <cellStyle name="_KT_TG_2_Nomenclature PHA1 M15 DU 042 A_Book1" xfId="1249" xr:uid="{00000000-0005-0000-0000-0000E0040000}"/>
    <cellStyle name="_KT_TG_2_Nomenclature PHA1 M15 DU 042 A_Book1 2" xfId="1250" xr:uid="{00000000-0005-0000-0000-0000E1040000}"/>
    <cellStyle name="_KT_TG_2_Nomenclature PHA1 M15 DU 042 A_Sheet2" xfId="1251" xr:uid="{00000000-0005-0000-0000-0000E2040000}"/>
    <cellStyle name="_KT_TG_2_Nomenclature PHA1 M15 DU 042 A_Sheet2 2" xfId="1252" xr:uid="{00000000-0005-0000-0000-0000E3040000}"/>
    <cellStyle name="_KT_TG_2_pd" xfId="1253" xr:uid="{00000000-0005-0000-0000-0000E4040000}"/>
    <cellStyle name="_KT_TG_2_pd 2" xfId="1254" xr:uid="{00000000-0005-0000-0000-0000E5040000}"/>
    <cellStyle name="_KT_TG_2_PD CONTROL FOR STRUCTURAL" xfId="1255" xr:uid="{00000000-0005-0000-0000-0000E6040000}"/>
    <cellStyle name="_KT_TG_2_PD CONTROL FOR STRUCTURAL 2" xfId="1256" xr:uid="{00000000-0005-0000-0000-0000E7040000}"/>
    <cellStyle name="_KT_TG_2_Phuong Dong01" xfId="1257" xr:uid="{00000000-0005-0000-0000-0000E8040000}"/>
    <cellStyle name="_KT_TG_2_Phuong Dong01 2" xfId="1258" xr:uid="{00000000-0005-0000-0000-0000E9040000}"/>
    <cellStyle name="_KT_TG_2_rc4helideck-vat tu" xfId="1259" xr:uid="{00000000-0005-0000-0000-0000EA040000}"/>
    <cellStyle name="_KT_TG_2_rc4helideck-vat tu 2" xfId="1260" xr:uid="{00000000-0005-0000-0000-0000EB040000}"/>
    <cellStyle name="_KT_TG_2_RQ-RC4" xfId="1261" xr:uid="{00000000-0005-0000-0000-0000EC040000}"/>
    <cellStyle name="_KT_TG_2_RQ-RC4 2" xfId="1262" xr:uid="{00000000-0005-0000-0000-0000ED040000}"/>
    <cellStyle name="_KT_TG_2_SP HAN-T03-pd" xfId="1263" xr:uid="{00000000-0005-0000-0000-0000EE040000}"/>
    <cellStyle name="_KT_TG_2_SP HAN-T03-pd 2" xfId="1264" xr:uid="{00000000-0005-0000-0000-0000EF040000}"/>
    <cellStyle name="_KT_TG_2_SP HAN-T04-pd" xfId="1265" xr:uid="{00000000-0005-0000-0000-0000F0040000}"/>
    <cellStyle name="_KT_TG_2_SP HAN-T04-pd 2" xfId="1266" xr:uid="{00000000-0005-0000-0000-0000F1040000}"/>
    <cellStyle name="_KT_TG_2_spool fabrication progress 123" xfId="1267" xr:uid="{00000000-0005-0000-0000-0000F2040000}"/>
    <cellStyle name="_KT_TG_2_spool fabrication progress 123 2" xfId="1268" xr:uid="{00000000-0005-0000-0000-0000F3040000}"/>
    <cellStyle name="_KT_TG_2_Spool Installation Progress" xfId="1269" xr:uid="{00000000-0005-0000-0000-0000F4040000}"/>
    <cellStyle name="_KT_TG_2_Spool Installation Progress 2" xfId="1270" xr:uid="{00000000-0005-0000-0000-0000F5040000}"/>
    <cellStyle name="_KT_TG_2_TONG HOP KHOI LUONG SAT GOC SUPPORT RC4" xfId="1294" xr:uid="{00000000-0005-0000-0000-00000D050000}"/>
    <cellStyle name="_KT_TG_2_TONG HOP KHOI LUONG SAT GOC SUPPORT RC4 2" xfId="1295" xr:uid="{00000000-0005-0000-0000-00000E050000}"/>
    <cellStyle name="_KT_TG_2_tong hop- rc4helideck-vat tu" xfId="1296" xr:uid="{00000000-0005-0000-0000-00000F050000}"/>
    <cellStyle name="_KT_TG_2_tong hop- rc4helideck-vat tu 2" xfId="1297" xr:uid="{00000000-0005-0000-0000-000010050000}"/>
    <cellStyle name="_KT_TG_2_Tong hop so luong cac muc" xfId="1298" xr:uid="{00000000-0005-0000-0000-000011050000}"/>
    <cellStyle name="_KT_TG_2_Tong hop so luong cac muc 2" xfId="1299" xr:uid="{00000000-0005-0000-0000-000012050000}"/>
    <cellStyle name="_KT_TG_2_Tong hop so luong cac muc 3" xfId="1300" xr:uid="{00000000-0005-0000-0000-000013050000}"/>
    <cellStyle name="_KT_TG_2_Tong hop so luong cac muc_01- QUE HAN chim sao" xfId="1301" xr:uid="{00000000-0005-0000-0000-000014050000}"/>
    <cellStyle name="_KT_TG_2_Tong hop so luong cac muc_01- QUE HAN chim sao 2" xfId="1302" xr:uid="{00000000-0005-0000-0000-000015050000}"/>
    <cellStyle name="_KT_TG_2_Tong hop so luong cac muc_Book1" xfId="1303" xr:uid="{00000000-0005-0000-0000-000016050000}"/>
    <cellStyle name="_KT_TG_2_Tong hop so luong cac muc_Book1 2" xfId="1304" xr:uid="{00000000-0005-0000-0000-000017050000}"/>
    <cellStyle name="_KT_TG_2_Tong hop so luong cac muc_Luong T06-css" xfId="1305" xr:uid="{00000000-0005-0000-0000-000018050000}"/>
    <cellStyle name="_KT_TG_2_Tong hop so luong cac muc_Luong T06-css 2" xfId="1306" xr:uid="{00000000-0005-0000-0000-000019050000}"/>
    <cellStyle name="_KT_TG_2_Tong hop so luong cac muc_Luong T9 SP han" xfId="1307" xr:uid="{00000000-0005-0000-0000-00001A050000}"/>
    <cellStyle name="_KT_TG_2_Tong hop so luong cac muc_SP HAN-T03-pd" xfId="1308" xr:uid="{00000000-0005-0000-0000-00001B050000}"/>
    <cellStyle name="_KT_TG_2_Tong hop so luong cac muc_SP HAN-T03-pd 2" xfId="1309" xr:uid="{00000000-0005-0000-0000-00001C050000}"/>
    <cellStyle name="_KT_TG_2_Tong hop so luong cac muc_THANG 08" xfId="1310" xr:uid="{00000000-0005-0000-0000-00001D050000}"/>
    <cellStyle name="_KT_TG_2_Tong hop so luong cac muc_THANG 08 2" xfId="1311" xr:uid="{00000000-0005-0000-0000-00001E050000}"/>
    <cellStyle name="_KT_TG_2_Tong hop so luong cac muc_THANG 08 3" xfId="1312" xr:uid="{00000000-0005-0000-0000-00001F050000}"/>
    <cellStyle name="_KT_TG_2_Tong hop so luong cac muc_THANG 08_01- QUE HAN chim sao" xfId="1313" xr:uid="{00000000-0005-0000-0000-000020050000}"/>
    <cellStyle name="_KT_TG_2_Tong hop so luong cac muc_THANG 08_01- QUE HAN chim sao 2" xfId="1314" xr:uid="{00000000-0005-0000-0000-000021050000}"/>
    <cellStyle name="_KT_TG_2_Tong hop so luong cac muc_THANG 08_Book1" xfId="1315" xr:uid="{00000000-0005-0000-0000-000022050000}"/>
    <cellStyle name="_KT_TG_2_Tong hop so luong cac muc_THANG 08_Book1 2" xfId="1316" xr:uid="{00000000-0005-0000-0000-000023050000}"/>
    <cellStyle name="_KT_TG_2_Tong hop so luong cac muc_THEO DOI HAN RC4 -TS" xfId="1317" xr:uid="{00000000-0005-0000-0000-000024050000}"/>
    <cellStyle name="_KT_TG_2_Tong hop so luong cac muc_THEO DOI HAN RC4 -TS 2" xfId="1318" xr:uid="{00000000-0005-0000-0000-000025050000}"/>
    <cellStyle name="_KT_TG_2_Tong hop so luong cac muc_W'SRECORD-DNV-2008-gia han han CHIMSAO-08" xfId="1319" xr:uid="{00000000-0005-0000-0000-000026050000}"/>
    <cellStyle name="_KT_TG_2_Tong hop so luong cac muc_W'SRECORD-DNV-2008-gia han han CHIMSAO-08 2" xfId="1320" xr:uid="{00000000-0005-0000-0000-000027050000}"/>
    <cellStyle name="_KT_TG_2_Tong hop so luong cac muc_Yeu cau vat tu dung cu PEARL" xfId="1321" xr:uid="{00000000-0005-0000-0000-000028050000}"/>
    <cellStyle name="_KT_TG_2_Tong hop so luong cac muc_Yeu cau vat tu dung cu PEARL 2" xfId="1322" xr:uid="{00000000-0005-0000-0000-000029050000}"/>
    <cellStyle name="_KT_TG_2_TUNG T5" xfId="1323" xr:uid="{00000000-0005-0000-0000-00002A050000}"/>
    <cellStyle name="_KT_TG_2_TUNG T5 2" xfId="1324" xr:uid="{00000000-0005-0000-0000-00002B050000}"/>
    <cellStyle name="_KT_TG_2_THANG 08" xfId="1271" xr:uid="{00000000-0005-0000-0000-0000F6040000}"/>
    <cellStyle name="_KT_TG_2_THANG 08 2" xfId="1272" xr:uid="{00000000-0005-0000-0000-0000F7040000}"/>
    <cellStyle name="_KT_TG_2_THANG 08 3" xfId="1273" xr:uid="{00000000-0005-0000-0000-0000F8040000}"/>
    <cellStyle name="_KT_TG_2_THANG 08_01- QUE HAN chim sao" xfId="1274" xr:uid="{00000000-0005-0000-0000-0000F9040000}"/>
    <cellStyle name="_KT_TG_2_THANG 08_01- QUE HAN chim sao 2" xfId="1275" xr:uid="{00000000-0005-0000-0000-0000FA040000}"/>
    <cellStyle name="_KT_TG_2_THANG 08_Book1" xfId="1276" xr:uid="{00000000-0005-0000-0000-0000FB040000}"/>
    <cellStyle name="_KT_TG_2_THANG 08_Book1 2" xfId="1277" xr:uid="{00000000-0005-0000-0000-0000FC040000}"/>
    <cellStyle name="_KT_TG_2_THANG2-07" xfId="1278" xr:uid="{00000000-0005-0000-0000-0000FD040000}"/>
    <cellStyle name="_KT_TG_2_THANG2-07 2" xfId="1279" xr:uid="{00000000-0005-0000-0000-0000FE040000}"/>
    <cellStyle name="_KT_TG_2_THANG2-07 3" xfId="1280" xr:uid="{00000000-0005-0000-0000-0000FF040000}"/>
    <cellStyle name="_KT_TG_2_THANG2-07_01- QUE HAN chim sao" xfId="1281" xr:uid="{00000000-0005-0000-0000-000000050000}"/>
    <cellStyle name="_KT_TG_2_THANG2-07_01- QUE HAN chim sao 2" xfId="1282" xr:uid="{00000000-0005-0000-0000-000001050000}"/>
    <cellStyle name="_KT_TG_2_THANG2-07_Book1" xfId="1283" xr:uid="{00000000-0005-0000-0000-000002050000}"/>
    <cellStyle name="_KT_TG_2_THANG2-07_Book1 2" xfId="1284" xr:uid="{00000000-0005-0000-0000-000003050000}"/>
    <cellStyle name="_KT_TG_2_THANG4-08V" xfId="1285" xr:uid="{00000000-0005-0000-0000-000004050000}"/>
    <cellStyle name="_KT_TG_2_THANG4-08V 2" xfId="1286" xr:uid="{00000000-0005-0000-0000-000005050000}"/>
    <cellStyle name="_KT_TG_2_THANG4-08V 3" xfId="1287" xr:uid="{00000000-0005-0000-0000-000006050000}"/>
    <cellStyle name="_KT_TG_2_THANG4-08V_01- QUE HAN chim sao" xfId="1288" xr:uid="{00000000-0005-0000-0000-000007050000}"/>
    <cellStyle name="_KT_TG_2_THANG4-08V_01- QUE HAN chim sao 2" xfId="1289" xr:uid="{00000000-0005-0000-0000-000008050000}"/>
    <cellStyle name="_KT_TG_2_THANG4-08V_Book1" xfId="1290" xr:uid="{00000000-0005-0000-0000-000009050000}"/>
    <cellStyle name="_KT_TG_2_THANG4-08V_Book1 2" xfId="1291" xr:uid="{00000000-0005-0000-0000-00000A050000}"/>
    <cellStyle name="_KT_TG_2_THEO DOI HAN RC4 -TS" xfId="1292" xr:uid="{00000000-0005-0000-0000-00000B050000}"/>
    <cellStyle name="_KT_TG_2_THEO DOI HAN RC4 -TS 2" xfId="1293" xr:uid="{00000000-0005-0000-0000-00000C050000}"/>
    <cellStyle name="_KT_TG_2_WELD TRACEABILITY JACKET NEW" xfId="1325" xr:uid="{00000000-0005-0000-0000-00002C050000}"/>
    <cellStyle name="_KT_TG_2_WELD TRACEABILITY JACKET NEW 2" xfId="1326" xr:uid="{00000000-0005-0000-0000-00002D050000}"/>
    <cellStyle name="_KT_TG_2_Weld Traceability Record" xfId="1327" xr:uid="{00000000-0005-0000-0000-00002E050000}"/>
    <cellStyle name="_KT_TG_2_Weld Traceability Record 2" xfId="1328" xr:uid="{00000000-0005-0000-0000-00002F050000}"/>
    <cellStyle name="_KT_TG_2_WELDING CONTROL JACKET" xfId="1329" xr:uid="{00000000-0005-0000-0000-000030050000}"/>
    <cellStyle name="_KT_TG_2_WELDING CONTROL JACKET 2" xfId="1330" xr:uid="{00000000-0005-0000-0000-000031050000}"/>
    <cellStyle name="_KT_TG_2_W'SRECORD-DNV-2008-gia han han CHIMSAO-08" xfId="1331" xr:uid="{00000000-0005-0000-0000-000032050000}"/>
    <cellStyle name="_KT_TG_2_W'SRECORD-DNV-2008-gia han han CHIMSAO-08 2" xfId="1332" xr:uid="{00000000-0005-0000-0000-000033050000}"/>
    <cellStyle name="_KT_TG_2_Yeu cau vat tu dung cu PEARL" xfId="1333" xr:uid="{00000000-0005-0000-0000-000034050000}"/>
    <cellStyle name="_KT_TG_2_Yeu cau vat tu dung cu PEARL 2" xfId="1334" xr:uid="{00000000-0005-0000-0000-000035050000}"/>
    <cellStyle name="_KT_TG_3" xfId="1335" xr:uid="{00000000-0005-0000-0000-000036050000}"/>
    <cellStyle name="_KT_TG_3 2" xfId="1336" xr:uid="{00000000-0005-0000-0000-000037050000}"/>
    <cellStyle name="_KT_TG_4" xfId="1337" xr:uid="{00000000-0005-0000-0000-000038050000}"/>
    <cellStyle name="_KT_TG_4 2" xfId="1338" xr:uid="{00000000-0005-0000-0000-000039050000}"/>
    <cellStyle name="_KT_TG_4 3" xfId="1339" xr:uid="{00000000-0005-0000-0000-00003A050000}"/>
    <cellStyle name="_KT_TG_4_002KM4-19(002)" xfId="1340" xr:uid="{00000000-0005-0000-0000-00003B050000}"/>
    <cellStyle name="_KT_TG_4_002KM4-19(002) 2" xfId="1341" xr:uid="{00000000-0005-0000-0000-00003C050000}"/>
    <cellStyle name="_KT_TG_4_Book1" xfId="1342" xr:uid="{00000000-0005-0000-0000-00003D050000}"/>
    <cellStyle name="_KT_TG_4_Book1 2" xfId="1343" xr:uid="{00000000-0005-0000-0000-00003E050000}"/>
    <cellStyle name="_KT_TG_4_Book1_THEO DOI HAN RC4 -TS" xfId="1344" xr:uid="{00000000-0005-0000-0000-00003F050000}"/>
    <cellStyle name="_KT_TG_4_Book1_THEO DOI HAN RC4 -TS 2" xfId="1345" xr:uid="{00000000-0005-0000-0000-000040050000}"/>
    <cellStyle name="_KT_TG_4_PD CONTROL FOR STRUCTURAL" xfId="1346" xr:uid="{00000000-0005-0000-0000-000041050000}"/>
    <cellStyle name="_KT_TG_4_PD CONTROL FOR STRUCTURAL 2" xfId="1347" xr:uid="{00000000-0005-0000-0000-000042050000}"/>
    <cellStyle name="_KT_TG_4_TUNG T5" xfId="1350" xr:uid="{00000000-0005-0000-0000-000045050000}"/>
    <cellStyle name="_KT_TG_4_TUNG T5 2" xfId="1351" xr:uid="{00000000-0005-0000-0000-000046050000}"/>
    <cellStyle name="_KT_TG_4_THEO DOI HAN RC4 -TS" xfId="1348" xr:uid="{00000000-0005-0000-0000-000043050000}"/>
    <cellStyle name="_KT_TG_4_THEO DOI HAN RC4 -TS 2" xfId="1349" xr:uid="{00000000-0005-0000-0000-000044050000}"/>
    <cellStyle name="_PD CONTROL FOR STRUCTURAL" xfId="1352" xr:uid="{00000000-0005-0000-0000-000047050000}"/>
    <cellStyle name="_PD CONTROL FOR STRUCTURAL 2" xfId="1353" xr:uid="{00000000-0005-0000-0000-000048050000}"/>
    <cellStyle name="_PERSONAL" xfId="1354" xr:uid="{00000000-0005-0000-0000-000049050000}"/>
    <cellStyle name="_PERSONAL 2" xfId="1355" xr:uid="{00000000-0005-0000-0000-00004A050000}"/>
    <cellStyle name="_PERSONAL 3" xfId="1356" xr:uid="{00000000-0005-0000-0000-00004B050000}"/>
    <cellStyle name="_PERSONAL_002KM4-19(002)" xfId="1357" xr:uid="{00000000-0005-0000-0000-00004C050000}"/>
    <cellStyle name="_PERSONAL_002KM4-19(002) 2" xfId="1358" xr:uid="{00000000-0005-0000-0000-00004D050000}"/>
    <cellStyle name="_PERSONAL_AFC...CPC-CLPP-S-D" xfId="1359" xr:uid="{00000000-0005-0000-0000-00004E050000}"/>
    <cellStyle name="_PERSONAL_AFC...CPC-CLPP-S-D 2" xfId="1360" xr:uid="{00000000-0005-0000-0000-00004F050000}"/>
    <cellStyle name="_PERSONAL_Ban du tru vat tu- doan tu LANDFALL STATION den GDS" xfId="1361" xr:uid="{00000000-0005-0000-0000-000050050000}"/>
    <cellStyle name="_PERSONAL_Ban du tru vat tu- doan tu LANDFALL STATION den GDS 2" xfId="1362" xr:uid="{00000000-0005-0000-0000-000051050000}"/>
    <cellStyle name="_PERSONAL_Ban du tru vat tu- doan tu LANDFALL STATION den GDS 3" xfId="1363" xr:uid="{00000000-0005-0000-0000-000052050000}"/>
    <cellStyle name="_PERSONAL_Ban du tru vat tu- doan tu LANDFALL STATION den GDS_Sheet2" xfId="1364" xr:uid="{00000000-0005-0000-0000-000053050000}"/>
    <cellStyle name="_PERSONAL_Ban du tru vat tu- doan tu LANDFALL STATION den GDS_Sheet2 2" xfId="1365" xr:uid="{00000000-0005-0000-0000-000054050000}"/>
    <cellStyle name="_PERSONAL_Book1" xfId="1366" xr:uid="{00000000-0005-0000-0000-000055050000}"/>
    <cellStyle name="_PERSONAL_Book1 2" xfId="1367" xr:uid="{00000000-0005-0000-0000-000056050000}"/>
    <cellStyle name="_PERSONAL_Book1_1" xfId="1368" xr:uid="{00000000-0005-0000-0000-000057050000}"/>
    <cellStyle name="_PERSONAL_Book1_1 2" xfId="1369" xr:uid="{00000000-0005-0000-0000-000058050000}"/>
    <cellStyle name="_PERSONAL_Book1_1_THEO DOI HAN RC4 -TS" xfId="1370" xr:uid="{00000000-0005-0000-0000-000059050000}"/>
    <cellStyle name="_PERSONAL_Book1_1_THEO DOI HAN RC4 -TS 2" xfId="1371" xr:uid="{00000000-0005-0000-0000-00005A050000}"/>
    <cellStyle name="_PERSONAL_cong bien 09-05" xfId="1372" xr:uid="{00000000-0005-0000-0000-00005B050000}"/>
    <cellStyle name="_PERSONAL_cong bien 09-05 2" xfId="1373" xr:uid="{00000000-0005-0000-0000-00005C050000}"/>
    <cellStyle name="_PERSONAL_List of Pipe spool ONSHORE" xfId="1374" xr:uid="{00000000-0005-0000-0000-00005D050000}"/>
    <cellStyle name="_PERSONAL_List of Pipe spool ONSHORE 2" xfId="1375" xr:uid="{00000000-0005-0000-0000-00005E050000}"/>
    <cellStyle name="_PERSONAL_Nomenclature PHA1 M10 EJ 010 A" xfId="1376" xr:uid="{00000000-0005-0000-0000-00005F050000}"/>
    <cellStyle name="_PERSONAL_Nomenclature PHA1 M10 EJ 010 A 2" xfId="1377" xr:uid="{00000000-0005-0000-0000-000060050000}"/>
    <cellStyle name="_PERSONAL_Nomenclature PHA1 M10 EJ 010 A 3" xfId="1378" xr:uid="{00000000-0005-0000-0000-000061050000}"/>
    <cellStyle name="_PERSONAL_Nomenclature PHA1 M10 EJ 010 A_Sheet2" xfId="1379" xr:uid="{00000000-0005-0000-0000-000062050000}"/>
    <cellStyle name="_PERSONAL_Nomenclature PHA1 M10 EJ 010 A_Sheet2 2" xfId="1380" xr:uid="{00000000-0005-0000-0000-000063050000}"/>
    <cellStyle name="_PERSONAL_Nomenclature PHA1 M10 EJ 010 A_THEO DOI HAN RC4 -TS" xfId="1381" xr:uid="{00000000-0005-0000-0000-000064050000}"/>
    <cellStyle name="_PERSONAL_Nomenclature PHA1 M10 EJ 010 A_THEO DOI HAN RC4 -TS 2" xfId="1382" xr:uid="{00000000-0005-0000-0000-000065050000}"/>
    <cellStyle name="_PERSONAL_PD CONTROL FOR STRUCTURAL" xfId="1383" xr:uid="{00000000-0005-0000-0000-000066050000}"/>
    <cellStyle name="_PERSONAL_PD CONTROL FOR STRUCTURAL 2" xfId="1384" xr:uid="{00000000-0005-0000-0000-000067050000}"/>
    <cellStyle name="_PERSONAL_Tong hop KHCB 2001" xfId="1387" xr:uid="{00000000-0005-0000-0000-00006A050000}"/>
    <cellStyle name="_PERSONAL_Tong hop KHCB 2001 2" xfId="1388" xr:uid="{00000000-0005-0000-0000-00006B050000}"/>
    <cellStyle name="_PERSONAL_TUNG T5" xfId="1389" xr:uid="{00000000-0005-0000-0000-00006C050000}"/>
    <cellStyle name="_PERSONAL_TUNG T5 2" xfId="1390" xr:uid="{00000000-0005-0000-0000-00006D050000}"/>
    <cellStyle name="_PERSONAL_THEO DOI HAN RC4 -TS" xfId="1385" xr:uid="{00000000-0005-0000-0000-000068050000}"/>
    <cellStyle name="_PERSONAL_THEO DOI HAN RC4 -TS 2" xfId="1386" xr:uid="{00000000-0005-0000-0000-000069050000}"/>
    <cellStyle name="_TG-TH" xfId="1391" xr:uid="{00000000-0005-0000-0000-00006E050000}"/>
    <cellStyle name="_TG-TH 2" xfId="1392" xr:uid="{00000000-0005-0000-0000-00006F050000}"/>
    <cellStyle name="_TG-TH_1" xfId="1393" xr:uid="{00000000-0005-0000-0000-000070050000}"/>
    <cellStyle name="_TG-TH_1 2" xfId="1394" xr:uid="{00000000-0005-0000-0000-000071050000}"/>
    <cellStyle name="_TG-TH_1 3" xfId="1395" xr:uid="{00000000-0005-0000-0000-000072050000}"/>
    <cellStyle name="_TG-TH_1_002KM4-19(002)" xfId="1396" xr:uid="{00000000-0005-0000-0000-000073050000}"/>
    <cellStyle name="_TG-TH_1_002KM4-19(002) 2" xfId="1397" xr:uid="{00000000-0005-0000-0000-000074050000}"/>
    <cellStyle name="_TG-TH_1_01- QUE HAN chim sao" xfId="1398" xr:uid="{00000000-0005-0000-0000-000075050000}"/>
    <cellStyle name="_TG-TH_1_01- QUE HAN chim sao 2" xfId="1399" xr:uid="{00000000-0005-0000-0000-000076050000}"/>
    <cellStyle name="_TG-TH_1_anhhieu" xfId="1400" xr:uid="{00000000-0005-0000-0000-000077050000}"/>
    <cellStyle name="_TG-TH_1_anhhieu 2" xfId="1401" xr:uid="{00000000-0005-0000-0000-000078050000}"/>
    <cellStyle name="_TG-TH_1_BAO CAO TUAN25-02" xfId="1402" xr:uid="{00000000-0005-0000-0000-000079050000}"/>
    <cellStyle name="_TG-TH_1_BAO CAO TUAN25-02 2" xfId="1403" xr:uid="{00000000-0005-0000-0000-00007A050000}"/>
    <cellStyle name="_TG-TH_1_baûng chaám coâng ñoâi bieân" xfId="1404" xr:uid="{00000000-0005-0000-0000-00007B050000}"/>
    <cellStyle name="_TG-TH_1_baûng chaám coâng ñoâi bieân 2" xfId="1405" xr:uid="{00000000-0005-0000-0000-00007C050000}"/>
    <cellStyle name="_TG-TH_1_Book1" xfId="1406" xr:uid="{00000000-0005-0000-0000-00007D050000}"/>
    <cellStyle name="_TG-TH_1_Book1 2" xfId="1407" xr:uid="{00000000-0005-0000-0000-00007E050000}"/>
    <cellStyle name="_TG-TH_1_Book1_1" xfId="1408" xr:uid="{00000000-0005-0000-0000-00007F050000}"/>
    <cellStyle name="_TG-TH_1_Book1_1 2" xfId="1409" xr:uid="{00000000-0005-0000-0000-000080050000}"/>
    <cellStyle name="_TG-TH_1_Book1_1_01-Cong tring cang VSP-Khoi luong thuc hien T9" xfId="1410" xr:uid="{00000000-0005-0000-0000-000081050000}"/>
    <cellStyle name="_TG-TH_1_Book1_1_01-Cong tring cang VSP-Khoi luong thuc hien T9 2" xfId="1411" xr:uid="{00000000-0005-0000-0000-000082050000}"/>
    <cellStyle name="_TG-TH_1_Book1_1_BAO CAO TUAN25-02" xfId="1412" xr:uid="{00000000-0005-0000-0000-000083050000}"/>
    <cellStyle name="_TG-TH_1_Book1_1_BAO CAO TUAN25-02 2" xfId="1413" xr:uid="{00000000-0005-0000-0000-000084050000}"/>
    <cellStyle name="_TG-TH_1_Book1_1_BAO CAO TUAN25-02 3" xfId="1414" xr:uid="{00000000-0005-0000-0000-000085050000}"/>
    <cellStyle name="_TG-TH_1_Book1_1_BAO CAO TUAN25-02_01- QUE HAN chim sao" xfId="1415" xr:uid="{00000000-0005-0000-0000-000086050000}"/>
    <cellStyle name="_TG-TH_1_Book1_1_BAO CAO TUAN25-02_01- QUE HAN chim sao 2" xfId="1416" xr:uid="{00000000-0005-0000-0000-000087050000}"/>
    <cellStyle name="_TG-TH_1_Book1_1_BAO CAO TUAN25-02_Book1" xfId="1417" xr:uid="{00000000-0005-0000-0000-000088050000}"/>
    <cellStyle name="_TG-TH_1_Book1_1_BAO CAO TUAN25-02_Book1 2" xfId="1418" xr:uid="{00000000-0005-0000-0000-000089050000}"/>
    <cellStyle name="_TG-TH_1_Book1_1_Book1" xfId="1419" xr:uid="{00000000-0005-0000-0000-00008A050000}"/>
    <cellStyle name="_TG-TH_1_Book1_1_Book1 2" xfId="1420" xr:uid="{00000000-0005-0000-0000-00008B050000}"/>
    <cellStyle name="_TG-TH_1_Book1_1_Book1 3" xfId="1421" xr:uid="{00000000-0005-0000-0000-00008C050000}"/>
    <cellStyle name="_TG-TH_1_Book1_1_Book1_01- QUE HAN chim sao" xfId="1422" xr:uid="{00000000-0005-0000-0000-00008D050000}"/>
    <cellStyle name="_TG-TH_1_Book1_1_Book1_01- QUE HAN chim sao 2" xfId="1423" xr:uid="{00000000-0005-0000-0000-00008E050000}"/>
    <cellStyle name="_TG-TH_1_Book1_1_Book1_Book1" xfId="1424" xr:uid="{00000000-0005-0000-0000-00008F050000}"/>
    <cellStyle name="_TG-TH_1_Book1_1_Book1_Book1 2" xfId="1425" xr:uid="{00000000-0005-0000-0000-000090050000}"/>
    <cellStyle name="_TG-TH_1_Book1_1_Book1_Book1 3" xfId="1426" xr:uid="{00000000-0005-0000-0000-000091050000}"/>
    <cellStyle name="_TG-TH_1_Book1_1_Book1_Book1_Book1" xfId="1427" xr:uid="{00000000-0005-0000-0000-000092050000}"/>
    <cellStyle name="_TG-TH_1_Book1_1_Book1_Book1_Book1 2" xfId="1428" xr:uid="{00000000-0005-0000-0000-000093050000}"/>
    <cellStyle name="_TG-TH_1_Book1_1_Book1_Sheet2" xfId="1429" xr:uid="{00000000-0005-0000-0000-000094050000}"/>
    <cellStyle name="_TG-TH_1_Book1_1_Book1_Sheet2 2" xfId="1430" xr:uid="{00000000-0005-0000-0000-000095050000}"/>
    <cellStyle name="_TG-TH_1_Book1_1_Book1_TH KL thiet bi room shelter final" xfId="1431" xr:uid="{00000000-0005-0000-0000-000096050000}"/>
    <cellStyle name="_TG-TH_1_Book1_1_Book1_TH KL thiet bi room shelter final 2" xfId="1432" xr:uid="{00000000-0005-0000-0000-000097050000}"/>
    <cellStyle name="_TG-TH_1_Book1_1_Book1_THEO DOI HAN RC4 -TS" xfId="1433" xr:uid="{00000000-0005-0000-0000-000098050000}"/>
    <cellStyle name="_TG-TH_1_Book1_1_Book1_THEO DOI HAN RC4 -TS 2" xfId="1434" xr:uid="{00000000-0005-0000-0000-000099050000}"/>
    <cellStyle name="_TG-TH_1_Book1_1_Book1_W'SRECORD-DNV-2008-gia han han CHIMSAO-08" xfId="1435" xr:uid="{00000000-0005-0000-0000-00009A050000}"/>
    <cellStyle name="_TG-TH_1_Book1_1_Book1_W'SRECORD-DNV-2008-gia han han CHIMSAO-08 2" xfId="1436" xr:uid="{00000000-0005-0000-0000-00009B050000}"/>
    <cellStyle name="_TG-TH_1_Book1_1_Book1_Yeu cau vat tu dung cu PEARL" xfId="1437" xr:uid="{00000000-0005-0000-0000-00009C050000}"/>
    <cellStyle name="_TG-TH_1_Book1_1_Book1_Yeu cau vat tu dung cu PEARL 2" xfId="1438" xr:uid="{00000000-0005-0000-0000-00009D050000}"/>
    <cellStyle name="_TG-TH_1_Book1_1_Copy of THE-FRONT-1" xfId="1439" xr:uid="{00000000-0005-0000-0000-00009E050000}"/>
    <cellStyle name="_TG-TH_1_Book1_1_Copy of THE-FRONT-1 2" xfId="1440" xr:uid="{00000000-0005-0000-0000-00009F050000}"/>
    <cellStyle name="_TG-TH_1_Book1_1_Copy of THE-FRONT-1 3" xfId="1441" xr:uid="{00000000-0005-0000-0000-0000A0050000}"/>
    <cellStyle name="_TG-TH_1_Book1_1_Copy of THE-FRONT-1_01- QUE HAN chim sao" xfId="1442" xr:uid="{00000000-0005-0000-0000-0000A1050000}"/>
    <cellStyle name="_TG-TH_1_Book1_1_Copy of THE-FRONT-1_01- QUE HAN chim sao 2" xfId="1443" xr:uid="{00000000-0005-0000-0000-0000A2050000}"/>
    <cellStyle name="_TG-TH_1_Book1_1_Copy of THE-FRONT-1_Book1" xfId="1444" xr:uid="{00000000-0005-0000-0000-0000A3050000}"/>
    <cellStyle name="_TG-TH_1_Book1_1_Copy of THE-FRONT-1_Book1 2" xfId="1445" xr:uid="{00000000-0005-0000-0000-0000A4050000}"/>
    <cellStyle name="_TG-TH_1_Book1_1_Copy of THE-FRONT-1_SP HAN-T03-pd" xfId="1446" xr:uid="{00000000-0005-0000-0000-0000A5050000}"/>
    <cellStyle name="_TG-TH_1_Book1_1_Copy of THE-FRONT-1_SP HAN-T03-pd 2" xfId="1447" xr:uid="{00000000-0005-0000-0000-0000A6050000}"/>
    <cellStyle name="_TG-TH_1_Book1_1_Copy of THE-FRONT-1_SP HAN-T04-pd" xfId="1448" xr:uid="{00000000-0005-0000-0000-0000A7050000}"/>
    <cellStyle name="_TG-TH_1_Book1_1_Copy of THE-FRONT-1_SP HAN-T04-pd 2" xfId="1449" xr:uid="{00000000-0005-0000-0000-0000A8050000}"/>
    <cellStyle name="_TG-TH_1_Book1_1_Copy of THE-FRONT-1_THANG 08" xfId="1450" xr:uid="{00000000-0005-0000-0000-0000A9050000}"/>
    <cellStyle name="_TG-TH_1_Book1_1_Copy of THE-FRONT-1_THANG 08 2" xfId="1451" xr:uid="{00000000-0005-0000-0000-0000AA050000}"/>
    <cellStyle name="_TG-TH_1_Book1_1_Copy of THE-FRONT-1_THANG 08 3" xfId="1452" xr:uid="{00000000-0005-0000-0000-0000AB050000}"/>
    <cellStyle name="_TG-TH_1_Book1_1_Copy of THE-FRONT-1_THANG 08_01- QUE HAN chim sao" xfId="1453" xr:uid="{00000000-0005-0000-0000-0000AC050000}"/>
    <cellStyle name="_TG-TH_1_Book1_1_Copy of THE-FRONT-1_THANG 08_01- QUE HAN chim sao 2" xfId="1454" xr:uid="{00000000-0005-0000-0000-0000AD050000}"/>
    <cellStyle name="_TG-TH_1_Book1_1_Copy of THE-FRONT-1_THANG 08_Book1" xfId="1455" xr:uid="{00000000-0005-0000-0000-0000AE050000}"/>
    <cellStyle name="_TG-TH_1_Book1_1_Copy of THE-FRONT-1_THANG 08_Book1 2" xfId="1456" xr:uid="{00000000-0005-0000-0000-0000AF050000}"/>
    <cellStyle name="_TG-TH_1_Book1_1_Copy of THE-FRONT-1_W'SRECORD-DNV-2008-gia han han CHIMSAO-08" xfId="1457" xr:uid="{00000000-0005-0000-0000-0000B0050000}"/>
    <cellStyle name="_TG-TH_1_Book1_1_Copy of THE-FRONT-1_W'SRECORD-DNV-2008-gia han han CHIMSAO-08 2" xfId="1458" xr:uid="{00000000-0005-0000-0000-0000B1050000}"/>
    <cellStyle name="_TG-TH_1_Book1_1_Copy of THE-FRONT-1_Yeu cau vat tu dung cu PEARL" xfId="1459" xr:uid="{00000000-0005-0000-0000-0000B2050000}"/>
    <cellStyle name="_TG-TH_1_Book1_1_Copy of THE-FRONT-1_Yeu cau vat tu dung cu PEARL 2" xfId="1460" xr:uid="{00000000-0005-0000-0000-0000B3050000}"/>
    <cellStyle name="_TG-TH_1_Book1_1_HOP DONG KHOAN SDA-WHP Jacket-10" xfId="1461" xr:uid="{00000000-0005-0000-0000-0000B4050000}"/>
    <cellStyle name="_TG-TH_1_Book1_1_HOP DONG KHOAN SDA-WHP Jacket-10 2" xfId="1462" xr:uid="{00000000-0005-0000-0000-0000B5050000}"/>
    <cellStyle name="_TG-TH_1_Book1_1_HOP DONG KHOAN SDA-WHP Jacket-10 3" xfId="1463" xr:uid="{00000000-0005-0000-0000-0000B6050000}"/>
    <cellStyle name="_TG-TH_1_Book1_1_HOP DONG KHOAN SDA-WHP Jacket-10_01- QUE HAN chim sao" xfId="1464" xr:uid="{00000000-0005-0000-0000-0000B7050000}"/>
    <cellStyle name="_TG-TH_1_Book1_1_HOP DONG KHOAN SDA-WHP Jacket-10_01- QUE HAN chim sao 2" xfId="1465" xr:uid="{00000000-0005-0000-0000-0000B8050000}"/>
    <cellStyle name="_TG-TH_1_Book1_1_HOP DONG KHOAN SDA-WHP Jacket-10_Book1" xfId="1466" xr:uid="{00000000-0005-0000-0000-0000B9050000}"/>
    <cellStyle name="_TG-TH_1_Book1_1_HOP DONG KHOAN SDA-WHP Jacket-10_Book1 2" xfId="1467" xr:uid="{00000000-0005-0000-0000-0000BA050000}"/>
    <cellStyle name="_TG-TH_1_Book1_1_HOP DONG KHOAN SDA-WHP Jacket-12" xfId="1468" xr:uid="{00000000-0005-0000-0000-0000BB050000}"/>
    <cellStyle name="_TG-TH_1_Book1_1_HOP DONG KHOAN SDA-WHP Jacket-12 2" xfId="1469" xr:uid="{00000000-0005-0000-0000-0000BC050000}"/>
    <cellStyle name="_TG-TH_1_Book1_1_HOP DONG KHOAN SDA-WHP Jacket-12 3" xfId="1470" xr:uid="{00000000-0005-0000-0000-0000BD050000}"/>
    <cellStyle name="_TG-TH_1_Book1_1_HOP DONG KHOAN SDA-WHP Jacket-12_01- QUE HAN chim sao" xfId="1471" xr:uid="{00000000-0005-0000-0000-0000BE050000}"/>
    <cellStyle name="_TG-TH_1_Book1_1_HOP DONG KHOAN SDA-WHP Jacket-12_01- QUE HAN chim sao 2" xfId="1472" xr:uid="{00000000-0005-0000-0000-0000BF050000}"/>
    <cellStyle name="_TG-TH_1_Book1_1_HOP DONG KHOAN SDA-WHP Jacket-12_Book1" xfId="1473" xr:uid="{00000000-0005-0000-0000-0000C0050000}"/>
    <cellStyle name="_TG-TH_1_Book1_1_HOP DONG KHOAN SDA-WHP Jacket-12_Book1 2" xfId="1474" xr:uid="{00000000-0005-0000-0000-0000C1050000}"/>
    <cellStyle name="_TG-TH_1_Book1_1_KHOI LUONG CNV -WHP " xfId="1475" xr:uid="{00000000-0005-0000-0000-0000C2050000}"/>
    <cellStyle name="_TG-TH_1_Book1_1_KHOI LUONG CNV -WHP  2" xfId="1476" xr:uid="{00000000-0005-0000-0000-0000C3050000}"/>
    <cellStyle name="_TG-TH_1_Book1_1_MR THAI QC" xfId="1477" xr:uid="{00000000-0005-0000-0000-0000C4050000}"/>
    <cellStyle name="_TG-TH_1_Book1_1_MR THAI QC 2" xfId="1478" xr:uid="{00000000-0005-0000-0000-0000C5050000}"/>
    <cellStyle name="_TG-TH_1_Book1_1_rc4helideck-vat tu" xfId="1479" xr:uid="{00000000-0005-0000-0000-0000C6050000}"/>
    <cellStyle name="_TG-TH_1_Book1_1_rc4helideck-vat tu 2" xfId="1480" xr:uid="{00000000-0005-0000-0000-0000C7050000}"/>
    <cellStyle name="_TG-TH_1_Book1_1_tong hop- rc4helideck-vat tu" xfId="1487" xr:uid="{00000000-0005-0000-0000-0000CE050000}"/>
    <cellStyle name="_TG-TH_1_Book1_1_tong hop- rc4helideck-vat tu 2" xfId="1488" xr:uid="{00000000-0005-0000-0000-0000CF050000}"/>
    <cellStyle name="_TG-TH_1_Book1_1_TH KL thiet bi room shelter final" xfId="1481" xr:uid="{00000000-0005-0000-0000-0000C8050000}"/>
    <cellStyle name="_TG-TH_1_Book1_1_TH KL thiet bi room shelter final 2" xfId="1482" xr:uid="{00000000-0005-0000-0000-0000C9050000}"/>
    <cellStyle name="_TG-TH_1_Book1_1_THANG 08" xfId="1483" xr:uid="{00000000-0005-0000-0000-0000CA050000}"/>
    <cellStyle name="_TG-TH_1_Book1_1_THANG 08 2" xfId="1484" xr:uid="{00000000-0005-0000-0000-0000CB050000}"/>
    <cellStyle name="_TG-TH_1_Book1_1_THANG2-07" xfId="1485" xr:uid="{00000000-0005-0000-0000-0000CC050000}"/>
    <cellStyle name="_TG-TH_1_Book1_1_THANG2-07 2" xfId="1486" xr:uid="{00000000-0005-0000-0000-0000CD050000}"/>
    <cellStyle name="_TG-TH_1_Book1_1_W'SRECORD-DNV-2008-gia han han CHIMSAO-08" xfId="1489" xr:uid="{00000000-0005-0000-0000-0000D0050000}"/>
    <cellStyle name="_TG-TH_1_Book1_1_W'SRECORD-DNV-2008-gia han han CHIMSAO-08 2" xfId="1490" xr:uid="{00000000-0005-0000-0000-0000D1050000}"/>
    <cellStyle name="_TG-TH_1_Book1_1_Yeu cau vat tu dung cu PEARL" xfId="1491" xr:uid="{00000000-0005-0000-0000-0000D2050000}"/>
    <cellStyle name="_TG-TH_1_Book1_1_Yeu cau vat tu dung cu PEARL 2" xfId="1492" xr:uid="{00000000-0005-0000-0000-0000D3050000}"/>
    <cellStyle name="_TG-TH_1_C-TH an ca Thang 04-08" xfId="1493" xr:uid="{00000000-0005-0000-0000-0000D4050000}"/>
    <cellStyle name="_TG-TH_1_C-TH an ca Thang 04-08 2" xfId="1494" xr:uid="{00000000-0005-0000-0000-0000D5050000}"/>
    <cellStyle name="_TG-TH_1_C-TH an ca Thang 04-08 3" xfId="1495" xr:uid="{00000000-0005-0000-0000-0000D6050000}"/>
    <cellStyle name="_TG-TH_1_C-TH an ca Thang 04-08_01- QUE HAN chim sao" xfId="1496" xr:uid="{00000000-0005-0000-0000-0000D7050000}"/>
    <cellStyle name="_TG-TH_1_C-TH an ca Thang 04-08_01- QUE HAN chim sao 2" xfId="1497" xr:uid="{00000000-0005-0000-0000-0000D8050000}"/>
    <cellStyle name="_TG-TH_1_C-TH an ca Thang 04-08_Book1" xfId="1498" xr:uid="{00000000-0005-0000-0000-0000D9050000}"/>
    <cellStyle name="_TG-TH_1_C-TH an ca Thang 04-08_Book1 2" xfId="1499" xr:uid="{00000000-0005-0000-0000-0000DA050000}"/>
    <cellStyle name="_TG-TH_1_Danh muc tai lieu" xfId="1500" xr:uid="{00000000-0005-0000-0000-0000DB050000}"/>
    <cellStyle name="_TG-TH_1_Danh muc tai lieu 2" xfId="1501" xr:uid="{00000000-0005-0000-0000-0000DC050000}"/>
    <cellStyle name="_TG-TH_1_DANH SACH CBCNV CT CANG" xfId="1502" xr:uid="{00000000-0005-0000-0000-0000DD050000}"/>
    <cellStyle name="_TG-TH_1_DANH SACH CBCNV CT CANG 2" xfId="1503" xr:uid="{00000000-0005-0000-0000-0000DE050000}"/>
    <cellStyle name="_TG-TH_1_DANH SACH CBCNV CT CANG 3" xfId="1504" xr:uid="{00000000-0005-0000-0000-0000DF050000}"/>
    <cellStyle name="_TG-TH_1_DANH SACH CBCNV CT CANG_01- QUE HAN chim sao" xfId="1505" xr:uid="{00000000-0005-0000-0000-0000E0050000}"/>
    <cellStyle name="_TG-TH_1_DANH SACH CBCNV CT CANG_01- QUE HAN chim sao 2" xfId="1506" xr:uid="{00000000-0005-0000-0000-0000E1050000}"/>
    <cellStyle name="_TG-TH_1_DANH SACH CBCNV CT CANG_Book1" xfId="1507" xr:uid="{00000000-0005-0000-0000-0000E2050000}"/>
    <cellStyle name="_TG-TH_1_DANH SACH CBCNV CT CANG_Book1 2" xfId="1508" xr:uid="{00000000-0005-0000-0000-0000E3050000}"/>
    <cellStyle name="_TG-TH_1_FORM RFI TSON" xfId="1509" xr:uid="{00000000-0005-0000-0000-0000E4050000}"/>
    <cellStyle name="_TG-TH_1_FORM RFI TSON 2" xfId="1510" xr:uid="{00000000-0005-0000-0000-0000E5050000}"/>
    <cellStyle name="_TG-TH_1_FORM RFI TSON 3" xfId="1511" xr:uid="{00000000-0005-0000-0000-0000E6050000}"/>
    <cellStyle name="_TG-TH_1_FORM RFI TSON_01- QUE HAN chim sao" xfId="1512" xr:uid="{00000000-0005-0000-0000-0000E7050000}"/>
    <cellStyle name="_TG-TH_1_FORM RFI TSON_01- QUE HAN chim sao 2" xfId="1513" xr:uid="{00000000-0005-0000-0000-0000E8050000}"/>
    <cellStyle name="_TG-TH_1_FORM RFI TSON_Book1" xfId="1514" xr:uid="{00000000-0005-0000-0000-0000E9050000}"/>
    <cellStyle name="_TG-TH_1_FORM RFI TSON_Book1 2" xfId="1515" xr:uid="{00000000-0005-0000-0000-0000EA050000}"/>
    <cellStyle name="_TG-TH_1_FORM RFI TSON_Sheet2" xfId="1516" xr:uid="{00000000-0005-0000-0000-0000EB050000}"/>
    <cellStyle name="_TG-TH_1_FORM RFI TSON_Sheet2 2" xfId="1517" xr:uid="{00000000-0005-0000-0000-0000EC050000}"/>
    <cellStyle name="_TG-TH_1_HOP DONG KHOAN SDA-WHP Jacket-10" xfId="1518" xr:uid="{00000000-0005-0000-0000-0000ED050000}"/>
    <cellStyle name="_TG-TH_1_HOP DONG KHOAN SDA-WHP Jacket-10 2" xfId="1519" xr:uid="{00000000-0005-0000-0000-0000EE050000}"/>
    <cellStyle name="_TG-TH_1_HOP DONG KHOAN SDA-WHP Jacket-12" xfId="1520" xr:uid="{00000000-0005-0000-0000-0000EF050000}"/>
    <cellStyle name="_TG-TH_1_HOP DONG KHOAN SDA-WHP Jacket-12 2" xfId="1521" xr:uid="{00000000-0005-0000-0000-0000F0050000}"/>
    <cellStyle name="_TG-TH_1_KHOI LUONG CNV -WHP " xfId="1522" xr:uid="{00000000-0005-0000-0000-0000F1050000}"/>
    <cellStyle name="_TG-TH_1_KHOI LUONG CNV -WHP  2" xfId="1523" xr:uid="{00000000-0005-0000-0000-0000F2050000}"/>
    <cellStyle name="_TG-TH_1_KHOI LUONG CNV -WHP  3" xfId="1524" xr:uid="{00000000-0005-0000-0000-0000F3050000}"/>
    <cellStyle name="_TG-TH_1_KHOI LUONG CNV -WHP _01- QUE HAN chim sao" xfId="1525" xr:uid="{00000000-0005-0000-0000-0000F4050000}"/>
    <cellStyle name="_TG-TH_1_KHOI LUONG CNV -WHP _01- QUE HAN chim sao 2" xfId="1526" xr:uid="{00000000-0005-0000-0000-0000F5050000}"/>
    <cellStyle name="_TG-TH_1_KHOI LUONG CNV -WHP _Book1" xfId="1527" xr:uid="{00000000-0005-0000-0000-0000F6050000}"/>
    <cellStyle name="_TG-TH_1_KHOI LUONG CNV -WHP _Book1 2" xfId="1528" xr:uid="{00000000-0005-0000-0000-0000F7050000}"/>
    <cellStyle name="_TG-TH_1_Material Request &amp; issue voucher-05-01-08-GUI THIEN LOE" xfId="1529" xr:uid="{00000000-0005-0000-0000-0000F8050000}"/>
    <cellStyle name="_TG-TH_1_Material Request &amp; issue voucher-05-01-08-GUI THIEN LOE 2" xfId="1530" xr:uid="{00000000-0005-0000-0000-0000F9050000}"/>
    <cellStyle name="_TG-TH_1_Nomenclature PHA1 M15 DU 042 A" xfId="1531" xr:uid="{00000000-0005-0000-0000-0000FA050000}"/>
    <cellStyle name="_TG-TH_1_Nomenclature PHA1 M15 DU 042 A 2" xfId="1532" xr:uid="{00000000-0005-0000-0000-0000FB050000}"/>
    <cellStyle name="_TG-TH_1_Nomenclature PHA1 M15 DU 042 A 3" xfId="1533" xr:uid="{00000000-0005-0000-0000-0000FC050000}"/>
    <cellStyle name="_TG-TH_1_Nomenclature PHA1 M15 DU 042 A_01- QUE HAN chim sao" xfId="1534" xr:uid="{00000000-0005-0000-0000-0000FD050000}"/>
    <cellStyle name="_TG-TH_1_Nomenclature PHA1 M15 DU 042 A_01- QUE HAN chim sao 2" xfId="1535" xr:uid="{00000000-0005-0000-0000-0000FE050000}"/>
    <cellStyle name="_TG-TH_1_Nomenclature PHA1 M15 DU 042 A_Book1" xfId="1536" xr:uid="{00000000-0005-0000-0000-0000FF050000}"/>
    <cellStyle name="_TG-TH_1_Nomenclature PHA1 M15 DU 042 A_Book1 2" xfId="1537" xr:uid="{00000000-0005-0000-0000-000000060000}"/>
    <cellStyle name="_TG-TH_1_Nomenclature PHA1 M15 DU 042 A_Sheet2" xfId="1538" xr:uid="{00000000-0005-0000-0000-000001060000}"/>
    <cellStyle name="_TG-TH_1_Nomenclature PHA1 M15 DU 042 A_Sheet2 2" xfId="1539" xr:uid="{00000000-0005-0000-0000-000002060000}"/>
    <cellStyle name="_TG-TH_1_pd" xfId="1540" xr:uid="{00000000-0005-0000-0000-000003060000}"/>
    <cellStyle name="_TG-TH_1_pd 2" xfId="1541" xr:uid="{00000000-0005-0000-0000-000004060000}"/>
    <cellStyle name="_TG-TH_1_PD CONTROL FOR STRUCTURAL" xfId="1542" xr:uid="{00000000-0005-0000-0000-000005060000}"/>
    <cellStyle name="_TG-TH_1_PD CONTROL FOR STRUCTURAL 2" xfId="1543" xr:uid="{00000000-0005-0000-0000-000006060000}"/>
    <cellStyle name="_TG-TH_1_Phuong Dong01" xfId="1544" xr:uid="{00000000-0005-0000-0000-000007060000}"/>
    <cellStyle name="_TG-TH_1_Phuong Dong01 2" xfId="1545" xr:uid="{00000000-0005-0000-0000-000008060000}"/>
    <cellStyle name="_TG-TH_1_rc4helideck-vat tu" xfId="1546" xr:uid="{00000000-0005-0000-0000-000009060000}"/>
    <cellStyle name="_TG-TH_1_rc4helideck-vat tu 2" xfId="1547" xr:uid="{00000000-0005-0000-0000-00000A060000}"/>
    <cellStyle name="_TG-TH_1_RQ-RC4" xfId="1548" xr:uid="{00000000-0005-0000-0000-00000B060000}"/>
    <cellStyle name="_TG-TH_1_RQ-RC4 2" xfId="1549" xr:uid="{00000000-0005-0000-0000-00000C060000}"/>
    <cellStyle name="_TG-TH_1_SP HAN-T03-pd" xfId="1550" xr:uid="{00000000-0005-0000-0000-00000D060000}"/>
    <cellStyle name="_TG-TH_1_SP HAN-T03-pd 2" xfId="1551" xr:uid="{00000000-0005-0000-0000-00000E060000}"/>
    <cellStyle name="_TG-TH_1_SP HAN-T04-pd" xfId="1552" xr:uid="{00000000-0005-0000-0000-00000F060000}"/>
    <cellStyle name="_TG-TH_1_SP HAN-T04-pd 2" xfId="1553" xr:uid="{00000000-0005-0000-0000-000010060000}"/>
    <cellStyle name="_TG-TH_1_spool fabrication progress 123" xfId="1554" xr:uid="{00000000-0005-0000-0000-000011060000}"/>
    <cellStyle name="_TG-TH_1_spool fabrication progress 123 2" xfId="1555" xr:uid="{00000000-0005-0000-0000-000012060000}"/>
    <cellStyle name="_TG-TH_1_Spool Installation Progress" xfId="1556" xr:uid="{00000000-0005-0000-0000-000013060000}"/>
    <cellStyle name="_TG-TH_1_Spool Installation Progress 2" xfId="1557" xr:uid="{00000000-0005-0000-0000-000014060000}"/>
    <cellStyle name="_TG-TH_1_TONG HOP KHOI LUONG SAT GOC SUPPORT RC4" xfId="1581" xr:uid="{00000000-0005-0000-0000-00002C060000}"/>
    <cellStyle name="_TG-TH_1_TONG HOP KHOI LUONG SAT GOC SUPPORT RC4 2" xfId="1582" xr:uid="{00000000-0005-0000-0000-00002D060000}"/>
    <cellStyle name="_TG-TH_1_tong hop- rc4helideck-vat tu" xfId="1583" xr:uid="{00000000-0005-0000-0000-00002E060000}"/>
    <cellStyle name="_TG-TH_1_tong hop- rc4helideck-vat tu 2" xfId="1584" xr:uid="{00000000-0005-0000-0000-00002F060000}"/>
    <cellStyle name="_TG-TH_1_Tong hop so luong cac muc" xfId="1585" xr:uid="{00000000-0005-0000-0000-000030060000}"/>
    <cellStyle name="_TG-TH_1_Tong hop so luong cac muc 2" xfId="1586" xr:uid="{00000000-0005-0000-0000-000031060000}"/>
    <cellStyle name="_TG-TH_1_Tong hop so luong cac muc 3" xfId="1587" xr:uid="{00000000-0005-0000-0000-000032060000}"/>
    <cellStyle name="_TG-TH_1_Tong hop so luong cac muc_01- QUE HAN chim sao" xfId="1588" xr:uid="{00000000-0005-0000-0000-000033060000}"/>
    <cellStyle name="_TG-TH_1_Tong hop so luong cac muc_01- QUE HAN chim sao 2" xfId="1589" xr:uid="{00000000-0005-0000-0000-000034060000}"/>
    <cellStyle name="_TG-TH_1_Tong hop so luong cac muc_Book1" xfId="1590" xr:uid="{00000000-0005-0000-0000-000035060000}"/>
    <cellStyle name="_TG-TH_1_Tong hop so luong cac muc_Book1 2" xfId="1591" xr:uid="{00000000-0005-0000-0000-000036060000}"/>
    <cellStyle name="_TG-TH_1_Tong hop so luong cac muc_Luong T06-css" xfId="1592" xr:uid="{00000000-0005-0000-0000-000037060000}"/>
    <cellStyle name="_TG-TH_1_Tong hop so luong cac muc_Luong T06-css 2" xfId="1593" xr:uid="{00000000-0005-0000-0000-000038060000}"/>
    <cellStyle name="_TG-TH_1_Tong hop so luong cac muc_Luong T9 SP han" xfId="1594" xr:uid="{00000000-0005-0000-0000-000039060000}"/>
    <cellStyle name="_TG-TH_1_Tong hop so luong cac muc_SP HAN-T03-pd" xfId="1595" xr:uid="{00000000-0005-0000-0000-00003A060000}"/>
    <cellStyle name="_TG-TH_1_Tong hop so luong cac muc_SP HAN-T03-pd 2" xfId="1596" xr:uid="{00000000-0005-0000-0000-00003B060000}"/>
    <cellStyle name="_TG-TH_1_Tong hop so luong cac muc_THANG 08" xfId="1597" xr:uid="{00000000-0005-0000-0000-00003C060000}"/>
    <cellStyle name="_TG-TH_1_Tong hop so luong cac muc_THANG 08 2" xfId="1598" xr:uid="{00000000-0005-0000-0000-00003D060000}"/>
    <cellStyle name="_TG-TH_1_Tong hop so luong cac muc_THANG 08 3" xfId="1599" xr:uid="{00000000-0005-0000-0000-00003E060000}"/>
    <cellStyle name="_TG-TH_1_Tong hop so luong cac muc_THANG 08_01- QUE HAN chim sao" xfId="1600" xr:uid="{00000000-0005-0000-0000-00003F060000}"/>
    <cellStyle name="_TG-TH_1_Tong hop so luong cac muc_THANG 08_01- QUE HAN chim sao 2" xfId="1601" xr:uid="{00000000-0005-0000-0000-000040060000}"/>
    <cellStyle name="_TG-TH_1_Tong hop so luong cac muc_THANG 08_Book1" xfId="1602" xr:uid="{00000000-0005-0000-0000-000041060000}"/>
    <cellStyle name="_TG-TH_1_Tong hop so luong cac muc_THANG 08_Book1 2" xfId="1603" xr:uid="{00000000-0005-0000-0000-000042060000}"/>
    <cellStyle name="_TG-TH_1_Tong hop so luong cac muc_THEO DOI HAN RC4 -TS" xfId="1604" xr:uid="{00000000-0005-0000-0000-000043060000}"/>
    <cellStyle name="_TG-TH_1_Tong hop so luong cac muc_THEO DOI HAN RC4 -TS 2" xfId="1605" xr:uid="{00000000-0005-0000-0000-000044060000}"/>
    <cellStyle name="_TG-TH_1_Tong hop so luong cac muc_W'SRECORD-DNV-2008-gia han han CHIMSAO-08" xfId="1606" xr:uid="{00000000-0005-0000-0000-000045060000}"/>
    <cellStyle name="_TG-TH_1_Tong hop so luong cac muc_W'SRECORD-DNV-2008-gia han han CHIMSAO-08 2" xfId="1607" xr:uid="{00000000-0005-0000-0000-000046060000}"/>
    <cellStyle name="_TG-TH_1_Tong hop so luong cac muc_Yeu cau vat tu dung cu PEARL" xfId="1608" xr:uid="{00000000-0005-0000-0000-000047060000}"/>
    <cellStyle name="_TG-TH_1_Tong hop so luong cac muc_Yeu cau vat tu dung cu PEARL 2" xfId="1609" xr:uid="{00000000-0005-0000-0000-000048060000}"/>
    <cellStyle name="_TG-TH_1_TUNG T5" xfId="1610" xr:uid="{00000000-0005-0000-0000-000049060000}"/>
    <cellStyle name="_TG-TH_1_TUNG T5 2" xfId="1611" xr:uid="{00000000-0005-0000-0000-00004A060000}"/>
    <cellStyle name="_TG-TH_1_THANG 08" xfId="1558" xr:uid="{00000000-0005-0000-0000-000015060000}"/>
    <cellStyle name="_TG-TH_1_THANG 08 2" xfId="1559" xr:uid="{00000000-0005-0000-0000-000016060000}"/>
    <cellStyle name="_TG-TH_1_THANG 08 3" xfId="1560" xr:uid="{00000000-0005-0000-0000-000017060000}"/>
    <cellStyle name="_TG-TH_1_THANG 08_01- QUE HAN chim sao" xfId="1561" xr:uid="{00000000-0005-0000-0000-000018060000}"/>
    <cellStyle name="_TG-TH_1_THANG 08_01- QUE HAN chim sao 2" xfId="1562" xr:uid="{00000000-0005-0000-0000-000019060000}"/>
    <cellStyle name="_TG-TH_1_THANG 08_Book1" xfId="1563" xr:uid="{00000000-0005-0000-0000-00001A060000}"/>
    <cellStyle name="_TG-TH_1_THANG 08_Book1 2" xfId="1564" xr:uid="{00000000-0005-0000-0000-00001B060000}"/>
    <cellStyle name="_TG-TH_1_THANG2-07" xfId="1565" xr:uid="{00000000-0005-0000-0000-00001C060000}"/>
    <cellStyle name="_TG-TH_1_THANG2-07 2" xfId="1566" xr:uid="{00000000-0005-0000-0000-00001D060000}"/>
    <cellStyle name="_TG-TH_1_THANG2-07 3" xfId="1567" xr:uid="{00000000-0005-0000-0000-00001E060000}"/>
    <cellStyle name="_TG-TH_1_THANG2-07_01- QUE HAN chim sao" xfId="1568" xr:uid="{00000000-0005-0000-0000-00001F060000}"/>
    <cellStyle name="_TG-TH_1_THANG2-07_01- QUE HAN chim sao 2" xfId="1569" xr:uid="{00000000-0005-0000-0000-000020060000}"/>
    <cellStyle name="_TG-TH_1_THANG2-07_Book1" xfId="1570" xr:uid="{00000000-0005-0000-0000-000021060000}"/>
    <cellStyle name="_TG-TH_1_THANG2-07_Book1 2" xfId="1571" xr:uid="{00000000-0005-0000-0000-000022060000}"/>
    <cellStyle name="_TG-TH_1_THANG4-08V" xfId="1572" xr:uid="{00000000-0005-0000-0000-000023060000}"/>
    <cellStyle name="_TG-TH_1_THANG4-08V 2" xfId="1573" xr:uid="{00000000-0005-0000-0000-000024060000}"/>
    <cellStyle name="_TG-TH_1_THANG4-08V 3" xfId="1574" xr:uid="{00000000-0005-0000-0000-000025060000}"/>
    <cellStyle name="_TG-TH_1_THANG4-08V_01- QUE HAN chim sao" xfId="1575" xr:uid="{00000000-0005-0000-0000-000026060000}"/>
    <cellStyle name="_TG-TH_1_THANG4-08V_01- QUE HAN chim sao 2" xfId="1576" xr:uid="{00000000-0005-0000-0000-000027060000}"/>
    <cellStyle name="_TG-TH_1_THANG4-08V_Book1" xfId="1577" xr:uid="{00000000-0005-0000-0000-000028060000}"/>
    <cellStyle name="_TG-TH_1_THANG4-08V_Book1 2" xfId="1578" xr:uid="{00000000-0005-0000-0000-000029060000}"/>
    <cellStyle name="_TG-TH_1_THEO DOI HAN RC4 -TS" xfId="1579" xr:uid="{00000000-0005-0000-0000-00002A060000}"/>
    <cellStyle name="_TG-TH_1_THEO DOI HAN RC4 -TS 2" xfId="1580" xr:uid="{00000000-0005-0000-0000-00002B060000}"/>
    <cellStyle name="_TG-TH_1_WELD TRACEABILITY JACKET NEW" xfId="1612" xr:uid="{00000000-0005-0000-0000-00004B060000}"/>
    <cellStyle name="_TG-TH_1_WELD TRACEABILITY JACKET NEW 2" xfId="1613" xr:uid="{00000000-0005-0000-0000-00004C060000}"/>
    <cellStyle name="_TG-TH_1_Weld Traceability Record" xfId="1614" xr:uid="{00000000-0005-0000-0000-00004D060000}"/>
    <cellStyle name="_TG-TH_1_Weld Traceability Record 2" xfId="1615" xr:uid="{00000000-0005-0000-0000-00004E060000}"/>
    <cellStyle name="_TG-TH_1_WELDING CONTROL JACKET" xfId="1616" xr:uid="{00000000-0005-0000-0000-00004F060000}"/>
    <cellStyle name="_TG-TH_1_WELDING CONTROL JACKET 2" xfId="1617" xr:uid="{00000000-0005-0000-0000-000050060000}"/>
    <cellStyle name="_TG-TH_1_W'SRECORD-DNV-2008-gia han han CHIMSAO-08" xfId="1618" xr:uid="{00000000-0005-0000-0000-000051060000}"/>
    <cellStyle name="_TG-TH_1_W'SRECORD-DNV-2008-gia han han CHIMSAO-08 2" xfId="1619" xr:uid="{00000000-0005-0000-0000-000052060000}"/>
    <cellStyle name="_TG-TH_1_Yeu cau vat tu dung cu PEARL" xfId="1620" xr:uid="{00000000-0005-0000-0000-000053060000}"/>
    <cellStyle name="_TG-TH_1_Yeu cau vat tu dung cu PEARL 2" xfId="1621" xr:uid="{00000000-0005-0000-0000-000054060000}"/>
    <cellStyle name="_TG-TH_2" xfId="1622" xr:uid="{00000000-0005-0000-0000-000055060000}"/>
    <cellStyle name="_TG-TH_2 2" xfId="1623" xr:uid="{00000000-0005-0000-0000-000056060000}"/>
    <cellStyle name="_TG-TH_2 3" xfId="1624" xr:uid="{00000000-0005-0000-0000-000057060000}"/>
    <cellStyle name="_TG-TH_2_002KM4-19(002)" xfId="1625" xr:uid="{00000000-0005-0000-0000-000058060000}"/>
    <cellStyle name="_TG-TH_2_002KM4-19(002) 2" xfId="1626" xr:uid="{00000000-0005-0000-0000-000059060000}"/>
    <cellStyle name="_TG-TH_2_01- QUE HAN chim sao" xfId="1627" xr:uid="{00000000-0005-0000-0000-00005A060000}"/>
    <cellStyle name="_TG-TH_2_01- QUE HAN chim sao 2" xfId="1628" xr:uid="{00000000-0005-0000-0000-00005B060000}"/>
    <cellStyle name="_TG-TH_2_anhhieu" xfId="1629" xr:uid="{00000000-0005-0000-0000-00005C060000}"/>
    <cellStyle name="_TG-TH_2_anhhieu 2" xfId="1630" xr:uid="{00000000-0005-0000-0000-00005D060000}"/>
    <cellStyle name="_TG-TH_2_BAO CAO TUAN25-02" xfId="1631" xr:uid="{00000000-0005-0000-0000-00005E060000}"/>
    <cellStyle name="_TG-TH_2_BAO CAO TUAN25-02 2" xfId="1632" xr:uid="{00000000-0005-0000-0000-00005F060000}"/>
    <cellStyle name="_TG-TH_2_baûng chaám coâng ñoâi bieân" xfId="1633" xr:uid="{00000000-0005-0000-0000-000060060000}"/>
    <cellStyle name="_TG-TH_2_baûng chaám coâng ñoâi bieân 2" xfId="1634" xr:uid="{00000000-0005-0000-0000-000061060000}"/>
    <cellStyle name="_TG-TH_2_Book1" xfId="1635" xr:uid="{00000000-0005-0000-0000-000062060000}"/>
    <cellStyle name="_TG-TH_2_Book1 2" xfId="1636" xr:uid="{00000000-0005-0000-0000-000063060000}"/>
    <cellStyle name="_TG-TH_2_Book1_1" xfId="1637" xr:uid="{00000000-0005-0000-0000-000064060000}"/>
    <cellStyle name="_TG-TH_2_Book1_1 2" xfId="1638" xr:uid="{00000000-0005-0000-0000-000065060000}"/>
    <cellStyle name="_TG-TH_2_Book1_1_01-Cong tring cang VSP-Khoi luong thuc hien T9" xfId="1639" xr:uid="{00000000-0005-0000-0000-000066060000}"/>
    <cellStyle name="_TG-TH_2_Book1_1_01-Cong tring cang VSP-Khoi luong thuc hien T9 2" xfId="1640" xr:uid="{00000000-0005-0000-0000-000067060000}"/>
    <cellStyle name="_TG-TH_2_Book1_1_BAO CAO TUAN25-02" xfId="1641" xr:uid="{00000000-0005-0000-0000-000068060000}"/>
    <cellStyle name="_TG-TH_2_Book1_1_BAO CAO TUAN25-02 2" xfId="1642" xr:uid="{00000000-0005-0000-0000-000069060000}"/>
    <cellStyle name="_TG-TH_2_Book1_1_BAO CAO TUAN25-02 3" xfId="1643" xr:uid="{00000000-0005-0000-0000-00006A060000}"/>
    <cellStyle name="_TG-TH_2_Book1_1_BAO CAO TUAN25-02_01- QUE HAN chim sao" xfId="1644" xr:uid="{00000000-0005-0000-0000-00006B060000}"/>
    <cellStyle name="_TG-TH_2_Book1_1_BAO CAO TUAN25-02_01- QUE HAN chim sao 2" xfId="1645" xr:uid="{00000000-0005-0000-0000-00006C060000}"/>
    <cellStyle name="_TG-TH_2_Book1_1_BAO CAO TUAN25-02_Book1" xfId="1646" xr:uid="{00000000-0005-0000-0000-00006D060000}"/>
    <cellStyle name="_TG-TH_2_Book1_1_BAO CAO TUAN25-02_Book1 2" xfId="1647" xr:uid="{00000000-0005-0000-0000-00006E060000}"/>
    <cellStyle name="_TG-TH_2_Book1_1_Book1" xfId="1648" xr:uid="{00000000-0005-0000-0000-00006F060000}"/>
    <cellStyle name="_TG-TH_2_Book1_1_Book1 2" xfId="1649" xr:uid="{00000000-0005-0000-0000-000070060000}"/>
    <cellStyle name="_TG-TH_2_Book1_1_Book1 3" xfId="1650" xr:uid="{00000000-0005-0000-0000-000071060000}"/>
    <cellStyle name="_TG-TH_2_Book1_1_Book1_01- QUE HAN chim sao" xfId="1651" xr:uid="{00000000-0005-0000-0000-000072060000}"/>
    <cellStyle name="_TG-TH_2_Book1_1_Book1_01- QUE HAN chim sao 2" xfId="1652" xr:uid="{00000000-0005-0000-0000-000073060000}"/>
    <cellStyle name="_TG-TH_2_Book1_1_Book1_Book1" xfId="1653" xr:uid="{00000000-0005-0000-0000-000074060000}"/>
    <cellStyle name="_TG-TH_2_Book1_1_Book1_Book1 2" xfId="1654" xr:uid="{00000000-0005-0000-0000-000075060000}"/>
    <cellStyle name="_TG-TH_2_Book1_1_Book1_Book1 3" xfId="1655" xr:uid="{00000000-0005-0000-0000-000076060000}"/>
    <cellStyle name="_TG-TH_2_Book1_1_Book1_Book1_Book1" xfId="1656" xr:uid="{00000000-0005-0000-0000-000077060000}"/>
    <cellStyle name="_TG-TH_2_Book1_1_Book1_Book1_Book1 2" xfId="1657" xr:uid="{00000000-0005-0000-0000-000078060000}"/>
    <cellStyle name="_TG-TH_2_Book1_1_Book1_Sheet2" xfId="1658" xr:uid="{00000000-0005-0000-0000-000079060000}"/>
    <cellStyle name="_TG-TH_2_Book1_1_Book1_Sheet2 2" xfId="1659" xr:uid="{00000000-0005-0000-0000-00007A060000}"/>
    <cellStyle name="_TG-TH_2_Book1_1_Book1_TH KL thiet bi room shelter final" xfId="1660" xr:uid="{00000000-0005-0000-0000-00007B060000}"/>
    <cellStyle name="_TG-TH_2_Book1_1_Book1_TH KL thiet bi room shelter final 2" xfId="1661" xr:uid="{00000000-0005-0000-0000-00007C060000}"/>
    <cellStyle name="_TG-TH_2_Book1_1_Book1_THEO DOI HAN RC4 -TS" xfId="1662" xr:uid="{00000000-0005-0000-0000-00007D060000}"/>
    <cellStyle name="_TG-TH_2_Book1_1_Book1_THEO DOI HAN RC4 -TS 2" xfId="1663" xr:uid="{00000000-0005-0000-0000-00007E060000}"/>
    <cellStyle name="_TG-TH_2_Book1_1_Book1_W'SRECORD-DNV-2008-gia han han CHIMSAO-08" xfId="1664" xr:uid="{00000000-0005-0000-0000-00007F060000}"/>
    <cellStyle name="_TG-TH_2_Book1_1_Book1_W'SRECORD-DNV-2008-gia han han CHIMSAO-08 2" xfId="1665" xr:uid="{00000000-0005-0000-0000-000080060000}"/>
    <cellStyle name="_TG-TH_2_Book1_1_Book1_Yeu cau vat tu dung cu PEARL" xfId="1666" xr:uid="{00000000-0005-0000-0000-000081060000}"/>
    <cellStyle name="_TG-TH_2_Book1_1_Book1_Yeu cau vat tu dung cu PEARL 2" xfId="1667" xr:uid="{00000000-0005-0000-0000-000082060000}"/>
    <cellStyle name="_TG-TH_2_Book1_1_Copy of THE-FRONT-1" xfId="1668" xr:uid="{00000000-0005-0000-0000-000083060000}"/>
    <cellStyle name="_TG-TH_2_Book1_1_Copy of THE-FRONT-1 2" xfId="1669" xr:uid="{00000000-0005-0000-0000-000084060000}"/>
    <cellStyle name="_TG-TH_2_Book1_1_Copy of THE-FRONT-1 3" xfId="1670" xr:uid="{00000000-0005-0000-0000-000085060000}"/>
    <cellStyle name="_TG-TH_2_Book1_1_Copy of THE-FRONT-1_01- QUE HAN chim sao" xfId="1671" xr:uid="{00000000-0005-0000-0000-000086060000}"/>
    <cellStyle name="_TG-TH_2_Book1_1_Copy of THE-FRONT-1_01- QUE HAN chim sao 2" xfId="1672" xr:uid="{00000000-0005-0000-0000-000087060000}"/>
    <cellStyle name="_TG-TH_2_Book1_1_Copy of THE-FRONT-1_Book1" xfId="1673" xr:uid="{00000000-0005-0000-0000-000088060000}"/>
    <cellStyle name="_TG-TH_2_Book1_1_Copy of THE-FRONT-1_Book1 2" xfId="1674" xr:uid="{00000000-0005-0000-0000-000089060000}"/>
    <cellStyle name="_TG-TH_2_Book1_1_Copy of THE-FRONT-1_SP HAN-T03-pd" xfId="1675" xr:uid="{00000000-0005-0000-0000-00008A060000}"/>
    <cellStyle name="_TG-TH_2_Book1_1_Copy of THE-FRONT-1_SP HAN-T03-pd 2" xfId="1676" xr:uid="{00000000-0005-0000-0000-00008B060000}"/>
    <cellStyle name="_TG-TH_2_Book1_1_Copy of THE-FRONT-1_SP HAN-T04-pd" xfId="1677" xr:uid="{00000000-0005-0000-0000-00008C060000}"/>
    <cellStyle name="_TG-TH_2_Book1_1_Copy of THE-FRONT-1_SP HAN-T04-pd 2" xfId="1678" xr:uid="{00000000-0005-0000-0000-00008D060000}"/>
    <cellStyle name="_TG-TH_2_Book1_1_Copy of THE-FRONT-1_THANG 08" xfId="1679" xr:uid="{00000000-0005-0000-0000-00008E060000}"/>
    <cellStyle name="_TG-TH_2_Book1_1_Copy of THE-FRONT-1_THANG 08 2" xfId="1680" xr:uid="{00000000-0005-0000-0000-00008F060000}"/>
    <cellStyle name="_TG-TH_2_Book1_1_Copy of THE-FRONT-1_THANG 08 3" xfId="1681" xr:uid="{00000000-0005-0000-0000-000090060000}"/>
    <cellStyle name="_TG-TH_2_Book1_1_Copy of THE-FRONT-1_THANG 08_01- QUE HAN chim sao" xfId="1682" xr:uid="{00000000-0005-0000-0000-000091060000}"/>
    <cellStyle name="_TG-TH_2_Book1_1_Copy of THE-FRONT-1_THANG 08_01- QUE HAN chim sao 2" xfId="1683" xr:uid="{00000000-0005-0000-0000-000092060000}"/>
    <cellStyle name="_TG-TH_2_Book1_1_Copy of THE-FRONT-1_THANG 08_Book1" xfId="1684" xr:uid="{00000000-0005-0000-0000-000093060000}"/>
    <cellStyle name="_TG-TH_2_Book1_1_Copy of THE-FRONT-1_THANG 08_Book1 2" xfId="1685" xr:uid="{00000000-0005-0000-0000-000094060000}"/>
    <cellStyle name="_TG-TH_2_Book1_1_Copy of THE-FRONT-1_W'SRECORD-DNV-2008-gia han han CHIMSAO-08" xfId="1686" xr:uid="{00000000-0005-0000-0000-000095060000}"/>
    <cellStyle name="_TG-TH_2_Book1_1_Copy of THE-FRONT-1_W'SRECORD-DNV-2008-gia han han CHIMSAO-08 2" xfId="1687" xr:uid="{00000000-0005-0000-0000-000096060000}"/>
    <cellStyle name="_TG-TH_2_Book1_1_Copy of THE-FRONT-1_Yeu cau vat tu dung cu PEARL" xfId="1688" xr:uid="{00000000-0005-0000-0000-000097060000}"/>
    <cellStyle name="_TG-TH_2_Book1_1_Copy of THE-FRONT-1_Yeu cau vat tu dung cu PEARL 2" xfId="1689" xr:uid="{00000000-0005-0000-0000-000098060000}"/>
    <cellStyle name="_TG-TH_2_Book1_1_HOP DONG KHOAN SDA-WHP Jacket-10" xfId="1690" xr:uid="{00000000-0005-0000-0000-000099060000}"/>
    <cellStyle name="_TG-TH_2_Book1_1_HOP DONG KHOAN SDA-WHP Jacket-10 2" xfId="1691" xr:uid="{00000000-0005-0000-0000-00009A060000}"/>
    <cellStyle name="_TG-TH_2_Book1_1_HOP DONG KHOAN SDA-WHP Jacket-10 3" xfId="1692" xr:uid="{00000000-0005-0000-0000-00009B060000}"/>
    <cellStyle name="_TG-TH_2_Book1_1_HOP DONG KHOAN SDA-WHP Jacket-10_01- QUE HAN chim sao" xfId="1693" xr:uid="{00000000-0005-0000-0000-00009C060000}"/>
    <cellStyle name="_TG-TH_2_Book1_1_HOP DONG KHOAN SDA-WHP Jacket-10_01- QUE HAN chim sao 2" xfId="1694" xr:uid="{00000000-0005-0000-0000-00009D060000}"/>
    <cellStyle name="_TG-TH_2_Book1_1_HOP DONG KHOAN SDA-WHP Jacket-10_Book1" xfId="1695" xr:uid="{00000000-0005-0000-0000-00009E060000}"/>
    <cellStyle name="_TG-TH_2_Book1_1_HOP DONG KHOAN SDA-WHP Jacket-10_Book1 2" xfId="1696" xr:uid="{00000000-0005-0000-0000-00009F060000}"/>
    <cellStyle name="_TG-TH_2_Book1_1_HOP DONG KHOAN SDA-WHP Jacket-12" xfId="1697" xr:uid="{00000000-0005-0000-0000-0000A0060000}"/>
    <cellStyle name="_TG-TH_2_Book1_1_HOP DONG KHOAN SDA-WHP Jacket-12 2" xfId="1698" xr:uid="{00000000-0005-0000-0000-0000A1060000}"/>
    <cellStyle name="_TG-TH_2_Book1_1_HOP DONG KHOAN SDA-WHP Jacket-12 3" xfId="1699" xr:uid="{00000000-0005-0000-0000-0000A2060000}"/>
    <cellStyle name="_TG-TH_2_Book1_1_HOP DONG KHOAN SDA-WHP Jacket-12_01- QUE HAN chim sao" xfId="1700" xr:uid="{00000000-0005-0000-0000-0000A3060000}"/>
    <cellStyle name="_TG-TH_2_Book1_1_HOP DONG KHOAN SDA-WHP Jacket-12_01- QUE HAN chim sao 2" xfId="1701" xr:uid="{00000000-0005-0000-0000-0000A4060000}"/>
    <cellStyle name="_TG-TH_2_Book1_1_HOP DONG KHOAN SDA-WHP Jacket-12_Book1" xfId="1702" xr:uid="{00000000-0005-0000-0000-0000A5060000}"/>
    <cellStyle name="_TG-TH_2_Book1_1_HOP DONG KHOAN SDA-WHP Jacket-12_Book1 2" xfId="1703" xr:uid="{00000000-0005-0000-0000-0000A6060000}"/>
    <cellStyle name="_TG-TH_2_Book1_1_KHOI LUONG CNV -WHP " xfId="1704" xr:uid="{00000000-0005-0000-0000-0000A7060000}"/>
    <cellStyle name="_TG-TH_2_Book1_1_KHOI LUONG CNV -WHP  2" xfId="1705" xr:uid="{00000000-0005-0000-0000-0000A8060000}"/>
    <cellStyle name="_TG-TH_2_Book1_1_MR THAI QC" xfId="1706" xr:uid="{00000000-0005-0000-0000-0000A9060000}"/>
    <cellStyle name="_TG-TH_2_Book1_1_MR THAI QC 2" xfId="1707" xr:uid="{00000000-0005-0000-0000-0000AA060000}"/>
    <cellStyle name="_TG-TH_2_Book1_1_rc4helideck-vat tu" xfId="1708" xr:uid="{00000000-0005-0000-0000-0000AB060000}"/>
    <cellStyle name="_TG-TH_2_Book1_1_rc4helideck-vat tu 2" xfId="1709" xr:uid="{00000000-0005-0000-0000-0000AC060000}"/>
    <cellStyle name="_TG-TH_2_Book1_1_tong hop- rc4helideck-vat tu" xfId="1716" xr:uid="{00000000-0005-0000-0000-0000B3060000}"/>
    <cellStyle name="_TG-TH_2_Book1_1_tong hop- rc4helideck-vat tu 2" xfId="1717" xr:uid="{00000000-0005-0000-0000-0000B4060000}"/>
    <cellStyle name="_TG-TH_2_Book1_1_TH KL thiet bi room shelter final" xfId="1710" xr:uid="{00000000-0005-0000-0000-0000AD060000}"/>
    <cellStyle name="_TG-TH_2_Book1_1_TH KL thiet bi room shelter final 2" xfId="1711" xr:uid="{00000000-0005-0000-0000-0000AE060000}"/>
    <cellStyle name="_TG-TH_2_Book1_1_THANG 08" xfId="1712" xr:uid="{00000000-0005-0000-0000-0000AF060000}"/>
    <cellStyle name="_TG-TH_2_Book1_1_THANG 08 2" xfId="1713" xr:uid="{00000000-0005-0000-0000-0000B0060000}"/>
    <cellStyle name="_TG-TH_2_Book1_1_THANG2-07" xfId="1714" xr:uid="{00000000-0005-0000-0000-0000B1060000}"/>
    <cellStyle name="_TG-TH_2_Book1_1_THANG2-07 2" xfId="1715" xr:uid="{00000000-0005-0000-0000-0000B2060000}"/>
    <cellStyle name="_TG-TH_2_Book1_1_W'SRECORD-DNV-2008-gia han han CHIMSAO-08" xfId="1718" xr:uid="{00000000-0005-0000-0000-0000B5060000}"/>
    <cellStyle name="_TG-TH_2_Book1_1_W'SRECORD-DNV-2008-gia han han CHIMSAO-08 2" xfId="1719" xr:uid="{00000000-0005-0000-0000-0000B6060000}"/>
    <cellStyle name="_TG-TH_2_Book1_1_Yeu cau vat tu dung cu PEARL" xfId="1720" xr:uid="{00000000-0005-0000-0000-0000B7060000}"/>
    <cellStyle name="_TG-TH_2_Book1_1_Yeu cau vat tu dung cu PEARL 2" xfId="1721" xr:uid="{00000000-0005-0000-0000-0000B8060000}"/>
    <cellStyle name="_TG-TH_2_C-TH an ca Thang 04-08" xfId="1722" xr:uid="{00000000-0005-0000-0000-0000B9060000}"/>
    <cellStyle name="_TG-TH_2_C-TH an ca Thang 04-08 2" xfId="1723" xr:uid="{00000000-0005-0000-0000-0000BA060000}"/>
    <cellStyle name="_TG-TH_2_C-TH an ca Thang 04-08 3" xfId="1724" xr:uid="{00000000-0005-0000-0000-0000BB060000}"/>
    <cellStyle name="_TG-TH_2_C-TH an ca Thang 04-08_01- QUE HAN chim sao" xfId="1725" xr:uid="{00000000-0005-0000-0000-0000BC060000}"/>
    <cellStyle name="_TG-TH_2_C-TH an ca Thang 04-08_01- QUE HAN chim sao 2" xfId="1726" xr:uid="{00000000-0005-0000-0000-0000BD060000}"/>
    <cellStyle name="_TG-TH_2_C-TH an ca Thang 04-08_Book1" xfId="1727" xr:uid="{00000000-0005-0000-0000-0000BE060000}"/>
    <cellStyle name="_TG-TH_2_C-TH an ca Thang 04-08_Book1 2" xfId="1728" xr:uid="{00000000-0005-0000-0000-0000BF060000}"/>
    <cellStyle name="_TG-TH_2_Danh muc tai lieu" xfId="1729" xr:uid="{00000000-0005-0000-0000-0000C0060000}"/>
    <cellStyle name="_TG-TH_2_Danh muc tai lieu 2" xfId="1730" xr:uid="{00000000-0005-0000-0000-0000C1060000}"/>
    <cellStyle name="_TG-TH_2_DANH SACH CBCNV CT CANG" xfId="1731" xr:uid="{00000000-0005-0000-0000-0000C2060000}"/>
    <cellStyle name="_TG-TH_2_DANH SACH CBCNV CT CANG 2" xfId="1732" xr:uid="{00000000-0005-0000-0000-0000C3060000}"/>
    <cellStyle name="_TG-TH_2_DANH SACH CBCNV CT CANG 3" xfId="1733" xr:uid="{00000000-0005-0000-0000-0000C4060000}"/>
    <cellStyle name="_TG-TH_2_DANH SACH CBCNV CT CANG_01- QUE HAN chim sao" xfId="1734" xr:uid="{00000000-0005-0000-0000-0000C5060000}"/>
    <cellStyle name="_TG-TH_2_DANH SACH CBCNV CT CANG_01- QUE HAN chim sao 2" xfId="1735" xr:uid="{00000000-0005-0000-0000-0000C6060000}"/>
    <cellStyle name="_TG-TH_2_DANH SACH CBCNV CT CANG_Book1" xfId="1736" xr:uid="{00000000-0005-0000-0000-0000C7060000}"/>
    <cellStyle name="_TG-TH_2_DANH SACH CBCNV CT CANG_Book1 2" xfId="1737" xr:uid="{00000000-0005-0000-0000-0000C8060000}"/>
    <cellStyle name="_TG-TH_2_FORM RFI TSON" xfId="1738" xr:uid="{00000000-0005-0000-0000-0000C9060000}"/>
    <cellStyle name="_TG-TH_2_FORM RFI TSON 2" xfId="1739" xr:uid="{00000000-0005-0000-0000-0000CA060000}"/>
    <cellStyle name="_TG-TH_2_FORM RFI TSON 3" xfId="1740" xr:uid="{00000000-0005-0000-0000-0000CB060000}"/>
    <cellStyle name="_TG-TH_2_FORM RFI TSON_01- QUE HAN chim sao" xfId="1741" xr:uid="{00000000-0005-0000-0000-0000CC060000}"/>
    <cellStyle name="_TG-TH_2_FORM RFI TSON_01- QUE HAN chim sao 2" xfId="1742" xr:uid="{00000000-0005-0000-0000-0000CD060000}"/>
    <cellStyle name="_TG-TH_2_FORM RFI TSON_Book1" xfId="1743" xr:uid="{00000000-0005-0000-0000-0000CE060000}"/>
    <cellStyle name="_TG-TH_2_FORM RFI TSON_Book1 2" xfId="1744" xr:uid="{00000000-0005-0000-0000-0000CF060000}"/>
    <cellStyle name="_TG-TH_2_FORM RFI TSON_Sheet2" xfId="1745" xr:uid="{00000000-0005-0000-0000-0000D0060000}"/>
    <cellStyle name="_TG-TH_2_FORM RFI TSON_Sheet2 2" xfId="1746" xr:uid="{00000000-0005-0000-0000-0000D1060000}"/>
    <cellStyle name="_TG-TH_2_HOP DONG KHOAN SDA-WHP Jacket-10" xfId="1747" xr:uid="{00000000-0005-0000-0000-0000D2060000}"/>
    <cellStyle name="_TG-TH_2_HOP DONG KHOAN SDA-WHP Jacket-10 2" xfId="1748" xr:uid="{00000000-0005-0000-0000-0000D3060000}"/>
    <cellStyle name="_TG-TH_2_HOP DONG KHOAN SDA-WHP Jacket-12" xfId="1749" xr:uid="{00000000-0005-0000-0000-0000D4060000}"/>
    <cellStyle name="_TG-TH_2_HOP DONG KHOAN SDA-WHP Jacket-12 2" xfId="1750" xr:uid="{00000000-0005-0000-0000-0000D5060000}"/>
    <cellStyle name="_TG-TH_2_KHOI LUONG CNV -WHP " xfId="1751" xr:uid="{00000000-0005-0000-0000-0000D6060000}"/>
    <cellStyle name="_TG-TH_2_KHOI LUONG CNV -WHP  2" xfId="1752" xr:uid="{00000000-0005-0000-0000-0000D7060000}"/>
    <cellStyle name="_TG-TH_2_KHOI LUONG CNV -WHP  3" xfId="1753" xr:uid="{00000000-0005-0000-0000-0000D8060000}"/>
    <cellStyle name="_TG-TH_2_KHOI LUONG CNV -WHP _01- QUE HAN chim sao" xfId="1754" xr:uid="{00000000-0005-0000-0000-0000D9060000}"/>
    <cellStyle name="_TG-TH_2_KHOI LUONG CNV -WHP _01- QUE HAN chim sao 2" xfId="1755" xr:uid="{00000000-0005-0000-0000-0000DA060000}"/>
    <cellStyle name="_TG-TH_2_KHOI LUONG CNV -WHP _Book1" xfId="1756" xr:uid="{00000000-0005-0000-0000-0000DB060000}"/>
    <cellStyle name="_TG-TH_2_KHOI LUONG CNV -WHP _Book1 2" xfId="1757" xr:uid="{00000000-0005-0000-0000-0000DC060000}"/>
    <cellStyle name="_TG-TH_2_Material Request &amp; issue voucher-05-01-08-GUI THIEN LOE" xfId="1758" xr:uid="{00000000-0005-0000-0000-0000DD060000}"/>
    <cellStyle name="_TG-TH_2_Material Request &amp; issue voucher-05-01-08-GUI THIEN LOE 2" xfId="1759" xr:uid="{00000000-0005-0000-0000-0000DE060000}"/>
    <cellStyle name="_TG-TH_2_Nomenclature PHA1 M15 DU 042 A" xfId="1760" xr:uid="{00000000-0005-0000-0000-0000DF060000}"/>
    <cellStyle name="_TG-TH_2_Nomenclature PHA1 M15 DU 042 A 2" xfId="1761" xr:uid="{00000000-0005-0000-0000-0000E0060000}"/>
    <cellStyle name="_TG-TH_2_Nomenclature PHA1 M15 DU 042 A 3" xfId="1762" xr:uid="{00000000-0005-0000-0000-0000E1060000}"/>
    <cellStyle name="_TG-TH_2_Nomenclature PHA1 M15 DU 042 A_01- QUE HAN chim sao" xfId="1763" xr:uid="{00000000-0005-0000-0000-0000E2060000}"/>
    <cellStyle name="_TG-TH_2_Nomenclature PHA1 M15 DU 042 A_01- QUE HAN chim sao 2" xfId="1764" xr:uid="{00000000-0005-0000-0000-0000E3060000}"/>
    <cellStyle name="_TG-TH_2_Nomenclature PHA1 M15 DU 042 A_Book1" xfId="1765" xr:uid="{00000000-0005-0000-0000-0000E4060000}"/>
    <cellStyle name="_TG-TH_2_Nomenclature PHA1 M15 DU 042 A_Book1 2" xfId="1766" xr:uid="{00000000-0005-0000-0000-0000E5060000}"/>
    <cellStyle name="_TG-TH_2_Nomenclature PHA1 M15 DU 042 A_Sheet2" xfId="1767" xr:uid="{00000000-0005-0000-0000-0000E6060000}"/>
    <cellStyle name="_TG-TH_2_Nomenclature PHA1 M15 DU 042 A_Sheet2 2" xfId="1768" xr:uid="{00000000-0005-0000-0000-0000E7060000}"/>
    <cellStyle name="_TG-TH_2_pd" xfId="1769" xr:uid="{00000000-0005-0000-0000-0000E8060000}"/>
    <cellStyle name="_TG-TH_2_pd 2" xfId="1770" xr:uid="{00000000-0005-0000-0000-0000E9060000}"/>
    <cellStyle name="_TG-TH_2_PD CONTROL FOR STRUCTURAL" xfId="1771" xr:uid="{00000000-0005-0000-0000-0000EA060000}"/>
    <cellStyle name="_TG-TH_2_PD CONTROL FOR STRUCTURAL 2" xfId="1772" xr:uid="{00000000-0005-0000-0000-0000EB060000}"/>
    <cellStyle name="_TG-TH_2_Phuong Dong01" xfId="1773" xr:uid="{00000000-0005-0000-0000-0000EC060000}"/>
    <cellStyle name="_TG-TH_2_Phuong Dong01 2" xfId="1774" xr:uid="{00000000-0005-0000-0000-0000ED060000}"/>
    <cellStyle name="_TG-TH_2_rc4helideck-vat tu" xfId="1775" xr:uid="{00000000-0005-0000-0000-0000EE060000}"/>
    <cellStyle name="_TG-TH_2_rc4helideck-vat tu 2" xfId="1776" xr:uid="{00000000-0005-0000-0000-0000EF060000}"/>
    <cellStyle name="_TG-TH_2_RQ-RC4" xfId="1777" xr:uid="{00000000-0005-0000-0000-0000F0060000}"/>
    <cellStyle name="_TG-TH_2_RQ-RC4 2" xfId="1778" xr:uid="{00000000-0005-0000-0000-0000F1060000}"/>
    <cellStyle name="_TG-TH_2_SP HAN-T03-pd" xfId="1779" xr:uid="{00000000-0005-0000-0000-0000F2060000}"/>
    <cellStyle name="_TG-TH_2_SP HAN-T03-pd 2" xfId="1780" xr:uid="{00000000-0005-0000-0000-0000F3060000}"/>
    <cellStyle name="_TG-TH_2_SP HAN-T04-pd" xfId="1781" xr:uid="{00000000-0005-0000-0000-0000F4060000}"/>
    <cellStyle name="_TG-TH_2_SP HAN-T04-pd 2" xfId="1782" xr:uid="{00000000-0005-0000-0000-0000F5060000}"/>
    <cellStyle name="_TG-TH_2_spool fabrication progress 123" xfId="1783" xr:uid="{00000000-0005-0000-0000-0000F6060000}"/>
    <cellStyle name="_TG-TH_2_spool fabrication progress 123 2" xfId="1784" xr:uid="{00000000-0005-0000-0000-0000F7060000}"/>
    <cellStyle name="_TG-TH_2_Spool Installation Progress" xfId="1785" xr:uid="{00000000-0005-0000-0000-0000F8060000}"/>
    <cellStyle name="_TG-TH_2_Spool Installation Progress 2" xfId="1786" xr:uid="{00000000-0005-0000-0000-0000F9060000}"/>
    <cellStyle name="_TG-TH_2_TONG HOP KHOI LUONG SAT GOC SUPPORT RC4" xfId="1810" xr:uid="{00000000-0005-0000-0000-000011070000}"/>
    <cellStyle name="_TG-TH_2_TONG HOP KHOI LUONG SAT GOC SUPPORT RC4 2" xfId="1811" xr:uid="{00000000-0005-0000-0000-000012070000}"/>
    <cellStyle name="_TG-TH_2_tong hop- rc4helideck-vat tu" xfId="1812" xr:uid="{00000000-0005-0000-0000-000013070000}"/>
    <cellStyle name="_TG-TH_2_tong hop- rc4helideck-vat tu 2" xfId="1813" xr:uid="{00000000-0005-0000-0000-000014070000}"/>
    <cellStyle name="_TG-TH_2_Tong hop so luong cac muc" xfId="1814" xr:uid="{00000000-0005-0000-0000-000015070000}"/>
    <cellStyle name="_TG-TH_2_Tong hop so luong cac muc 2" xfId="1815" xr:uid="{00000000-0005-0000-0000-000016070000}"/>
    <cellStyle name="_TG-TH_2_Tong hop so luong cac muc 3" xfId="1816" xr:uid="{00000000-0005-0000-0000-000017070000}"/>
    <cellStyle name="_TG-TH_2_Tong hop so luong cac muc_01- QUE HAN chim sao" xfId="1817" xr:uid="{00000000-0005-0000-0000-000018070000}"/>
    <cellStyle name="_TG-TH_2_Tong hop so luong cac muc_01- QUE HAN chim sao 2" xfId="1818" xr:uid="{00000000-0005-0000-0000-000019070000}"/>
    <cellStyle name="_TG-TH_2_Tong hop so luong cac muc_Book1" xfId="1819" xr:uid="{00000000-0005-0000-0000-00001A070000}"/>
    <cellStyle name="_TG-TH_2_Tong hop so luong cac muc_Book1 2" xfId="1820" xr:uid="{00000000-0005-0000-0000-00001B070000}"/>
    <cellStyle name="_TG-TH_2_Tong hop so luong cac muc_Luong T06-css" xfId="1821" xr:uid="{00000000-0005-0000-0000-00001C070000}"/>
    <cellStyle name="_TG-TH_2_Tong hop so luong cac muc_Luong T06-css 2" xfId="1822" xr:uid="{00000000-0005-0000-0000-00001D070000}"/>
    <cellStyle name="_TG-TH_2_Tong hop so luong cac muc_Luong T9 SP han" xfId="1823" xr:uid="{00000000-0005-0000-0000-00001E070000}"/>
    <cellStyle name="_TG-TH_2_Tong hop so luong cac muc_SP HAN-T03-pd" xfId="1824" xr:uid="{00000000-0005-0000-0000-00001F070000}"/>
    <cellStyle name="_TG-TH_2_Tong hop so luong cac muc_SP HAN-T03-pd 2" xfId="1825" xr:uid="{00000000-0005-0000-0000-000020070000}"/>
    <cellStyle name="_TG-TH_2_Tong hop so luong cac muc_THANG 08" xfId="1826" xr:uid="{00000000-0005-0000-0000-000021070000}"/>
    <cellStyle name="_TG-TH_2_Tong hop so luong cac muc_THANG 08 2" xfId="1827" xr:uid="{00000000-0005-0000-0000-000022070000}"/>
    <cellStyle name="_TG-TH_2_Tong hop so luong cac muc_THANG 08 3" xfId="1828" xr:uid="{00000000-0005-0000-0000-000023070000}"/>
    <cellStyle name="_TG-TH_2_Tong hop so luong cac muc_THANG 08_01- QUE HAN chim sao" xfId="1829" xr:uid="{00000000-0005-0000-0000-000024070000}"/>
    <cellStyle name="_TG-TH_2_Tong hop so luong cac muc_THANG 08_01- QUE HAN chim sao 2" xfId="1830" xr:uid="{00000000-0005-0000-0000-000025070000}"/>
    <cellStyle name="_TG-TH_2_Tong hop so luong cac muc_THANG 08_Book1" xfId="1831" xr:uid="{00000000-0005-0000-0000-000026070000}"/>
    <cellStyle name="_TG-TH_2_Tong hop so luong cac muc_THANG 08_Book1 2" xfId="1832" xr:uid="{00000000-0005-0000-0000-000027070000}"/>
    <cellStyle name="_TG-TH_2_Tong hop so luong cac muc_THEO DOI HAN RC4 -TS" xfId="1833" xr:uid="{00000000-0005-0000-0000-000028070000}"/>
    <cellStyle name="_TG-TH_2_Tong hop so luong cac muc_THEO DOI HAN RC4 -TS 2" xfId="1834" xr:uid="{00000000-0005-0000-0000-000029070000}"/>
    <cellStyle name="_TG-TH_2_Tong hop so luong cac muc_W'SRECORD-DNV-2008-gia han han CHIMSAO-08" xfId="1835" xr:uid="{00000000-0005-0000-0000-00002A070000}"/>
    <cellStyle name="_TG-TH_2_Tong hop so luong cac muc_W'SRECORD-DNV-2008-gia han han CHIMSAO-08 2" xfId="1836" xr:uid="{00000000-0005-0000-0000-00002B070000}"/>
    <cellStyle name="_TG-TH_2_Tong hop so luong cac muc_Yeu cau vat tu dung cu PEARL" xfId="1837" xr:uid="{00000000-0005-0000-0000-00002C070000}"/>
    <cellStyle name="_TG-TH_2_Tong hop so luong cac muc_Yeu cau vat tu dung cu PEARL 2" xfId="1838" xr:uid="{00000000-0005-0000-0000-00002D070000}"/>
    <cellStyle name="_TG-TH_2_TUNG T5" xfId="1839" xr:uid="{00000000-0005-0000-0000-00002E070000}"/>
    <cellStyle name="_TG-TH_2_TUNG T5 2" xfId="1840" xr:uid="{00000000-0005-0000-0000-00002F070000}"/>
    <cellStyle name="_TG-TH_2_THANG 08" xfId="1787" xr:uid="{00000000-0005-0000-0000-0000FA060000}"/>
    <cellStyle name="_TG-TH_2_THANG 08 2" xfId="1788" xr:uid="{00000000-0005-0000-0000-0000FB060000}"/>
    <cellStyle name="_TG-TH_2_THANG 08 3" xfId="1789" xr:uid="{00000000-0005-0000-0000-0000FC060000}"/>
    <cellStyle name="_TG-TH_2_THANG 08_01- QUE HAN chim sao" xfId="1790" xr:uid="{00000000-0005-0000-0000-0000FD060000}"/>
    <cellStyle name="_TG-TH_2_THANG 08_01- QUE HAN chim sao 2" xfId="1791" xr:uid="{00000000-0005-0000-0000-0000FE060000}"/>
    <cellStyle name="_TG-TH_2_THANG 08_Book1" xfId="1792" xr:uid="{00000000-0005-0000-0000-0000FF060000}"/>
    <cellStyle name="_TG-TH_2_THANG 08_Book1 2" xfId="1793" xr:uid="{00000000-0005-0000-0000-000000070000}"/>
    <cellStyle name="_TG-TH_2_THANG2-07" xfId="1794" xr:uid="{00000000-0005-0000-0000-000001070000}"/>
    <cellStyle name="_TG-TH_2_THANG2-07 2" xfId="1795" xr:uid="{00000000-0005-0000-0000-000002070000}"/>
    <cellStyle name="_TG-TH_2_THANG2-07 3" xfId="1796" xr:uid="{00000000-0005-0000-0000-000003070000}"/>
    <cellStyle name="_TG-TH_2_THANG2-07_01- QUE HAN chim sao" xfId="1797" xr:uid="{00000000-0005-0000-0000-000004070000}"/>
    <cellStyle name="_TG-TH_2_THANG2-07_01- QUE HAN chim sao 2" xfId="1798" xr:uid="{00000000-0005-0000-0000-000005070000}"/>
    <cellStyle name="_TG-TH_2_THANG2-07_Book1" xfId="1799" xr:uid="{00000000-0005-0000-0000-000006070000}"/>
    <cellStyle name="_TG-TH_2_THANG2-07_Book1 2" xfId="1800" xr:uid="{00000000-0005-0000-0000-000007070000}"/>
    <cellStyle name="_TG-TH_2_THANG4-08V" xfId="1801" xr:uid="{00000000-0005-0000-0000-000008070000}"/>
    <cellStyle name="_TG-TH_2_THANG4-08V 2" xfId="1802" xr:uid="{00000000-0005-0000-0000-000009070000}"/>
    <cellStyle name="_TG-TH_2_THANG4-08V 3" xfId="1803" xr:uid="{00000000-0005-0000-0000-00000A070000}"/>
    <cellStyle name="_TG-TH_2_THANG4-08V_01- QUE HAN chim sao" xfId="1804" xr:uid="{00000000-0005-0000-0000-00000B070000}"/>
    <cellStyle name="_TG-TH_2_THANG4-08V_01- QUE HAN chim sao 2" xfId="1805" xr:uid="{00000000-0005-0000-0000-00000C070000}"/>
    <cellStyle name="_TG-TH_2_THANG4-08V_Book1" xfId="1806" xr:uid="{00000000-0005-0000-0000-00000D070000}"/>
    <cellStyle name="_TG-TH_2_THANG4-08V_Book1 2" xfId="1807" xr:uid="{00000000-0005-0000-0000-00000E070000}"/>
    <cellStyle name="_TG-TH_2_THEO DOI HAN RC4 -TS" xfId="1808" xr:uid="{00000000-0005-0000-0000-00000F070000}"/>
    <cellStyle name="_TG-TH_2_THEO DOI HAN RC4 -TS 2" xfId="1809" xr:uid="{00000000-0005-0000-0000-000010070000}"/>
    <cellStyle name="_TG-TH_2_WELD TRACEABILITY JACKET NEW" xfId="1841" xr:uid="{00000000-0005-0000-0000-000030070000}"/>
    <cellStyle name="_TG-TH_2_WELD TRACEABILITY JACKET NEW 2" xfId="1842" xr:uid="{00000000-0005-0000-0000-000031070000}"/>
    <cellStyle name="_TG-TH_2_Weld Traceability Record" xfId="1843" xr:uid="{00000000-0005-0000-0000-000032070000}"/>
    <cellStyle name="_TG-TH_2_Weld Traceability Record 2" xfId="1844" xr:uid="{00000000-0005-0000-0000-000033070000}"/>
    <cellStyle name="_TG-TH_2_WELDING CONTROL JACKET" xfId="1845" xr:uid="{00000000-0005-0000-0000-000034070000}"/>
    <cellStyle name="_TG-TH_2_WELDING CONTROL JACKET 2" xfId="1846" xr:uid="{00000000-0005-0000-0000-000035070000}"/>
    <cellStyle name="_TG-TH_2_W'SRECORD-DNV-2008-gia han han CHIMSAO-08" xfId="1847" xr:uid="{00000000-0005-0000-0000-000036070000}"/>
    <cellStyle name="_TG-TH_2_W'SRECORD-DNV-2008-gia han han CHIMSAO-08 2" xfId="1848" xr:uid="{00000000-0005-0000-0000-000037070000}"/>
    <cellStyle name="_TG-TH_2_Yeu cau vat tu dung cu PEARL" xfId="1849" xr:uid="{00000000-0005-0000-0000-000038070000}"/>
    <cellStyle name="_TG-TH_2_Yeu cau vat tu dung cu PEARL 2" xfId="1850" xr:uid="{00000000-0005-0000-0000-000039070000}"/>
    <cellStyle name="_TG-TH_3" xfId="1851" xr:uid="{00000000-0005-0000-0000-00003A070000}"/>
    <cellStyle name="_TG-TH_3 2" xfId="1852" xr:uid="{00000000-0005-0000-0000-00003B070000}"/>
    <cellStyle name="_TG-TH_3 3" xfId="1853" xr:uid="{00000000-0005-0000-0000-00003C070000}"/>
    <cellStyle name="_TG-TH_3_002KM4-19(002)" xfId="1854" xr:uid="{00000000-0005-0000-0000-00003D070000}"/>
    <cellStyle name="_TG-TH_3_002KM4-19(002) 2" xfId="1855" xr:uid="{00000000-0005-0000-0000-00003E070000}"/>
    <cellStyle name="_TG-TH_3_Book1" xfId="1856" xr:uid="{00000000-0005-0000-0000-00003F070000}"/>
    <cellStyle name="_TG-TH_3_Book1 2" xfId="1857" xr:uid="{00000000-0005-0000-0000-000040070000}"/>
    <cellStyle name="_TG-TH_3_Book1_THEO DOI HAN RC4 -TS" xfId="1858" xr:uid="{00000000-0005-0000-0000-000041070000}"/>
    <cellStyle name="_TG-TH_3_Book1_THEO DOI HAN RC4 -TS 2" xfId="1859" xr:uid="{00000000-0005-0000-0000-000042070000}"/>
    <cellStyle name="_TG-TH_3_PD CONTROL FOR STRUCTURAL" xfId="1860" xr:uid="{00000000-0005-0000-0000-000043070000}"/>
    <cellStyle name="_TG-TH_3_PD CONTROL FOR STRUCTURAL 2" xfId="1861" xr:uid="{00000000-0005-0000-0000-000044070000}"/>
    <cellStyle name="_TG-TH_3_TUNG T5" xfId="1864" xr:uid="{00000000-0005-0000-0000-000047070000}"/>
    <cellStyle name="_TG-TH_3_TUNG T5 2" xfId="1865" xr:uid="{00000000-0005-0000-0000-000048070000}"/>
    <cellStyle name="_TG-TH_3_THEO DOI HAN RC4 -TS" xfId="1862" xr:uid="{00000000-0005-0000-0000-000045070000}"/>
    <cellStyle name="_TG-TH_3_THEO DOI HAN RC4 -TS 2" xfId="1863" xr:uid="{00000000-0005-0000-0000-000046070000}"/>
    <cellStyle name="_TG-TH_4" xfId="1866" xr:uid="{00000000-0005-0000-0000-000049070000}"/>
    <cellStyle name="_TG-TH_4 2" xfId="1867" xr:uid="{00000000-0005-0000-0000-00004A070000}"/>
    <cellStyle name="_TUNG T5" xfId="1870" xr:uid="{00000000-0005-0000-0000-00004D070000}"/>
    <cellStyle name="_TUNG T5 2" xfId="1871" xr:uid="{00000000-0005-0000-0000-00004E070000}"/>
    <cellStyle name="_THEO DOI HAN RC4 -TS" xfId="1868" xr:uid="{00000000-0005-0000-0000-00004B070000}"/>
    <cellStyle name="_THEO DOI HAN RC4 -TS 2" xfId="1869" xr:uid="{00000000-0005-0000-0000-00004C070000}"/>
    <cellStyle name="~1" xfId="1872" xr:uid="{00000000-0005-0000-0000-00004F070000}"/>
    <cellStyle name="~1 2" xfId="1873" xr:uid="{00000000-0005-0000-0000-000050070000}"/>
    <cellStyle name="»õ±Ò[0]_Sheet1" xfId="1874" xr:uid="{00000000-0005-0000-0000-000051070000}"/>
    <cellStyle name="»õ±Ò_Sheet1" xfId="1875" xr:uid="{00000000-0005-0000-0000-000052070000}"/>
    <cellStyle name="•W€_STDFOR" xfId="1876" xr:uid="{00000000-0005-0000-0000-000053070000}"/>
    <cellStyle name="•W_’·Šú‰p•¶" xfId="1877" xr:uid="{00000000-0005-0000-0000-000054070000}"/>
    <cellStyle name="W_STDFOR" xfId="1878" xr:uid="{00000000-0005-0000-0000-000055070000}"/>
    <cellStyle name="1" xfId="1879" xr:uid="{00000000-0005-0000-0000-000056070000}"/>
    <cellStyle name="1 2" xfId="1880" xr:uid="{00000000-0005-0000-0000-000057070000}"/>
    <cellStyle name="1_Du thau" xfId="1881" xr:uid="{00000000-0005-0000-0000-000058070000}"/>
    <cellStyle name="1_Du thau 2" xfId="1882" xr:uid="{00000000-0005-0000-0000-000059070000}"/>
    <cellStyle name="1_GIA-DUTHAU" xfId="1883" xr:uid="{00000000-0005-0000-0000-00005A070000}"/>
    <cellStyle name="1_GIA-DUTHAU 2" xfId="1884" xr:uid="{00000000-0005-0000-0000-00005B070000}"/>
    <cellStyle name="¹éºÐÀ²_±âÅ¸" xfId="1885" xr:uid="{00000000-0005-0000-0000-00005C070000}"/>
    <cellStyle name="2" xfId="1886" xr:uid="{00000000-0005-0000-0000-00005D070000}"/>
    <cellStyle name="2 2" xfId="1887" xr:uid="{00000000-0005-0000-0000-00005E070000}"/>
    <cellStyle name="20% - Accent1 2" xfId="1888" xr:uid="{00000000-0005-0000-0000-00005F070000}"/>
    <cellStyle name="20% - Accent1 2 2" xfId="1889" xr:uid="{00000000-0005-0000-0000-000060070000}"/>
    <cellStyle name="20% - Accent1 3" xfId="1890" xr:uid="{00000000-0005-0000-0000-000061070000}"/>
    <cellStyle name="20% - Accent2 2" xfId="1891" xr:uid="{00000000-0005-0000-0000-000062070000}"/>
    <cellStyle name="20% - Accent2 2 2" xfId="1892" xr:uid="{00000000-0005-0000-0000-000063070000}"/>
    <cellStyle name="20% - Accent2 3" xfId="1893" xr:uid="{00000000-0005-0000-0000-000064070000}"/>
    <cellStyle name="20% - Accent3 2" xfId="1894" xr:uid="{00000000-0005-0000-0000-000065070000}"/>
    <cellStyle name="20% - Accent3 2 2" xfId="1895" xr:uid="{00000000-0005-0000-0000-000066070000}"/>
    <cellStyle name="20% - Accent3 3" xfId="1896" xr:uid="{00000000-0005-0000-0000-000067070000}"/>
    <cellStyle name="20% - Accent4 2" xfId="1897" xr:uid="{00000000-0005-0000-0000-000068070000}"/>
    <cellStyle name="20% - Accent4 2 2" xfId="1898" xr:uid="{00000000-0005-0000-0000-000069070000}"/>
    <cellStyle name="20% - Accent4 3" xfId="1899" xr:uid="{00000000-0005-0000-0000-00006A070000}"/>
    <cellStyle name="20% - Accent5 2" xfId="1900" xr:uid="{00000000-0005-0000-0000-00006B070000}"/>
    <cellStyle name="20% - Accent5 2 2" xfId="1901" xr:uid="{00000000-0005-0000-0000-00006C070000}"/>
    <cellStyle name="20% - Accent5 3" xfId="1902" xr:uid="{00000000-0005-0000-0000-00006D070000}"/>
    <cellStyle name="20% - Accent6 2" xfId="1903" xr:uid="{00000000-0005-0000-0000-00006E070000}"/>
    <cellStyle name="20% - Accent6 2 2" xfId="1904" xr:uid="{00000000-0005-0000-0000-00006F070000}"/>
    <cellStyle name="20% - Accent6 3" xfId="1905" xr:uid="{00000000-0005-0000-0000-000070070000}"/>
    <cellStyle name="20% - Акцент1" xfId="1906" xr:uid="{00000000-0005-0000-0000-000071070000}"/>
    <cellStyle name="20% - Акцент2" xfId="1907" xr:uid="{00000000-0005-0000-0000-000072070000}"/>
    <cellStyle name="20% - Акцент3" xfId="1908" xr:uid="{00000000-0005-0000-0000-000073070000}"/>
    <cellStyle name="20% - Акцент4" xfId="1909" xr:uid="{00000000-0005-0000-0000-000074070000}"/>
    <cellStyle name="20% - Акцент5" xfId="1910" xr:uid="{00000000-0005-0000-0000-000075070000}"/>
    <cellStyle name="20% - Акцент6" xfId="1911" xr:uid="{00000000-0005-0000-0000-000076070000}"/>
    <cellStyle name="3" xfId="1912" xr:uid="{00000000-0005-0000-0000-000077070000}"/>
    <cellStyle name="3 2" xfId="1913" xr:uid="{00000000-0005-0000-0000-000078070000}"/>
    <cellStyle name="³£¹æ_GZ TV" xfId="1914" xr:uid="{00000000-0005-0000-0000-000079070000}"/>
    <cellStyle name="4" xfId="1915" xr:uid="{00000000-0005-0000-0000-00007A070000}"/>
    <cellStyle name="4 2" xfId="1916" xr:uid="{00000000-0005-0000-0000-00007B070000}"/>
    <cellStyle name="40% - Accent1 2" xfId="1917" xr:uid="{00000000-0005-0000-0000-00007C070000}"/>
    <cellStyle name="40% - Accent1 2 2" xfId="1918" xr:uid="{00000000-0005-0000-0000-00007D070000}"/>
    <cellStyle name="40% - Accent1 3" xfId="1919" xr:uid="{00000000-0005-0000-0000-00007E070000}"/>
    <cellStyle name="40% - Accent2 2" xfId="1920" xr:uid="{00000000-0005-0000-0000-00007F070000}"/>
    <cellStyle name="40% - Accent2 2 2" xfId="1921" xr:uid="{00000000-0005-0000-0000-000080070000}"/>
    <cellStyle name="40% - Accent2 3" xfId="1922" xr:uid="{00000000-0005-0000-0000-000081070000}"/>
    <cellStyle name="40% - Accent3 2" xfId="1923" xr:uid="{00000000-0005-0000-0000-000082070000}"/>
    <cellStyle name="40% - Accent3 2 2" xfId="1924" xr:uid="{00000000-0005-0000-0000-000083070000}"/>
    <cellStyle name="40% - Accent3 3" xfId="1925" xr:uid="{00000000-0005-0000-0000-000084070000}"/>
    <cellStyle name="40% - Accent4 2" xfId="1926" xr:uid="{00000000-0005-0000-0000-000085070000}"/>
    <cellStyle name="40% - Accent4 2 2" xfId="1927" xr:uid="{00000000-0005-0000-0000-000086070000}"/>
    <cellStyle name="40% - Accent4 3" xfId="1928" xr:uid="{00000000-0005-0000-0000-000087070000}"/>
    <cellStyle name="40% - Accent5 2" xfId="1929" xr:uid="{00000000-0005-0000-0000-000088070000}"/>
    <cellStyle name="40% - Accent5 2 2" xfId="1930" xr:uid="{00000000-0005-0000-0000-000089070000}"/>
    <cellStyle name="40% - Accent5 3" xfId="1931" xr:uid="{00000000-0005-0000-0000-00008A070000}"/>
    <cellStyle name="40% - Accent6 2" xfId="1932" xr:uid="{00000000-0005-0000-0000-00008B070000}"/>
    <cellStyle name="40% - Accent6 2 2" xfId="1933" xr:uid="{00000000-0005-0000-0000-00008C070000}"/>
    <cellStyle name="40% - Accent6 3" xfId="1934" xr:uid="{00000000-0005-0000-0000-00008D070000}"/>
    <cellStyle name="40% - Акцент1" xfId="1935" xr:uid="{00000000-0005-0000-0000-00008E070000}"/>
    <cellStyle name="40% - Акцент2" xfId="1936" xr:uid="{00000000-0005-0000-0000-00008F070000}"/>
    <cellStyle name="40% - Акцент3" xfId="1937" xr:uid="{00000000-0005-0000-0000-000090070000}"/>
    <cellStyle name="40% - Акцент4" xfId="1938" xr:uid="{00000000-0005-0000-0000-000091070000}"/>
    <cellStyle name="40% - Акцент5" xfId="1939" xr:uid="{00000000-0005-0000-0000-000092070000}"/>
    <cellStyle name="40% - Акцент6" xfId="1940" xr:uid="{00000000-0005-0000-0000-000093070000}"/>
    <cellStyle name="6" xfId="1941" xr:uid="{00000000-0005-0000-0000-000094070000}"/>
    <cellStyle name="6 2" xfId="1942" xr:uid="{00000000-0005-0000-0000-000095070000}"/>
    <cellStyle name="6 2 2" xfId="1943" xr:uid="{00000000-0005-0000-0000-000096070000}"/>
    <cellStyle name="6 2_SUMMARY RC9 (1..." xfId="1944" xr:uid="{00000000-0005-0000-0000-000097070000}"/>
    <cellStyle name="6 3" xfId="1945" xr:uid="{00000000-0005-0000-0000-000098070000}"/>
    <cellStyle name="6 4" xfId="1946" xr:uid="{00000000-0005-0000-0000-000099070000}"/>
    <cellStyle name="60% - Accent1 2" xfId="1947" xr:uid="{00000000-0005-0000-0000-00009A070000}"/>
    <cellStyle name="60% - Accent1 2 2" xfId="1948" xr:uid="{00000000-0005-0000-0000-00009B070000}"/>
    <cellStyle name="60% - Accent1 3" xfId="1949" xr:uid="{00000000-0005-0000-0000-00009C070000}"/>
    <cellStyle name="60% - Accent2 2" xfId="1950" xr:uid="{00000000-0005-0000-0000-00009D070000}"/>
    <cellStyle name="60% - Accent2 2 2" xfId="1951" xr:uid="{00000000-0005-0000-0000-00009E070000}"/>
    <cellStyle name="60% - Accent2 3" xfId="1952" xr:uid="{00000000-0005-0000-0000-00009F070000}"/>
    <cellStyle name="60% - Accent3 2" xfId="1953" xr:uid="{00000000-0005-0000-0000-0000A0070000}"/>
    <cellStyle name="60% - Accent3 2 2" xfId="1954" xr:uid="{00000000-0005-0000-0000-0000A1070000}"/>
    <cellStyle name="60% - Accent3 3" xfId="1955" xr:uid="{00000000-0005-0000-0000-0000A2070000}"/>
    <cellStyle name="60% - Accent4 2" xfId="1956" xr:uid="{00000000-0005-0000-0000-0000A3070000}"/>
    <cellStyle name="60% - Accent4 2 2" xfId="1957" xr:uid="{00000000-0005-0000-0000-0000A4070000}"/>
    <cellStyle name="60% - Accent4 3" xfId="1958" xr:uid="{00000000-0005-0000-0000-0000A5070000}"/>
    <cellStyle name="60% - Accent5 2" xfId="1959" xr:uid="{00000000-0005-0000-0000-0000A6070000}"/>
    <cellStyle name="60% - Accent5 2 2" xfId="1960" xr:uid="{00000000-0005-0000-0000-0000A7070000}"/>
    <cellStyle name="60% - Accent5 3" xfId="1961" xr:uid="{00000000-0005-0000-0000-0000A8070000}"/>
    <cellStyle name="60% - Accent6 2" xfId="1962" xr:uid="{00000000-0005-0000-0000-0000A9070000}"/>
    <cellStyle name="60% - Accent6 2 2" xfId="1963" xr:uid="{00000000-0005-0000-0000-0000AA070000}"/>
    <cellStyle name="60% - Accent6 3" xfId="1964" xr:uid="{00000000-0005-0000-0000-0000AB070000}"/>
    <cellStyle name="60% - Акцент1" xfId="1965" xr:uid="{00000000-0005-0000-0000-0000AC070000}"/>
    <cellStyle name="60% - Акцент2" xfId="1966" xr:uid="{00000000-0005-0000-0000-0000AD070000}"/>
    <cellStyle name="60% - Акцент3" xfId="1967" xr:uid="{00000000-0005-0000-0000-0000AE070000}"/>
    <cellStyle name="60% - Акцент4" xfId="1968" xr:uid="{00000000-0005-0000-0000-0000AF070000}"/>
    <cellStyle name="60% - Акцент5" xfId="1969" xr:uid="{00000000-0005-0000-0000-0000B0070000}"/>
    <cellStyle name="60% - Акцент6" xfId="1970" xr:uid="{00000000-0005-0000-0000-0000B1070000}"/>
    <cellStyle name="Accent1 2" xfId="1971" xr:uid="{00000000-0005-0000-0000-0000B2070000}"/>
    <cellStyle name="Accent1 2 2" xfId="1972" xr:uid="{00000000-0005-0000-0000-0000B3070000}"/>
    <cellStyle name="Accent1 3" xfId="1973" xr:uid="{00000000-0005-0000-0000-0000B4070000}"/>
    <cellStyle name="Accent2 2" xfId="1974" xr:uid="{00000000-0005-0000-0000-0000B5070000}"/>
    <cellStyle name="Accent2 2 2" xfId="1975" xr:uid="{00000000-0005-0000-0000-0000B6070000}"/>
    <cellStyle name="Accent2 3" xfId="1976" xr:uid="{00000000-0005-0000-0000-0000B7070000}"/>
    <cellStyle name="Accent3 2" xfId="1977" xr:uid="{00000000-0005-0000-0000-0000B8070000}"/>
    <cellStyle name="Accent3 2 2" xfId="1978" xr:uid="{00000000-0005-0000-0000-0000B9070000}"/>
    <cellStyle name="Accent3 3" xfId="1979" xr:uid="{00000000-0005-0000-0000-0000BA070000}"/>
    <cellStyle name="Accent4 2" xfId="1980" xr:uid="{00000000-0005-0000-0000-0000BB070000}"/>
    <cellStyle name="Accent4 2 2" xfId="1981" xr:uid="{00000000-0005-0000-0000-0000BC070000}"/>
    <cellStyle name="Accent4 3" xfId="1982" xr:uid="{00000000-0005-0000-0000-0000BD070000}"/>
    <cellStyle name="Accent5 2" xfId="1983" xr:uid="{00000000-0005-0000-0000-0000BE070000}"/>
    <cellStyle name="Accent5 2 2" xfId="1984" xr:uid="{00000000-0005-0000-0000-0000BF070000}"/>
    <cellStyle name="Accent5 3" xfId="1985" xr:uid="{00000000-0005-0000-0000-0000C0070000}"/>
    <cellStyle name="Accent6 2" xfId="1986" xr:uid="{00000000-0005-0000-0000-0000C1070000}"/>
    <cellStyle name="Accent6 2 2" xfId="1987" xr:uid="{00000000-0005-0000-0000-0000C2070000}"/>
    <cellStyle name="Accent6 3" xfId="1988" xr:uid="{00000000-0005-0000-0000-0000C3070000}"/>
    <cellStyle name="ÅëÈ­ [0]_¿ì¹°Åë" xfId="1989" xr:uid="{00000000-0005-0000-0000-0000C4070000}"/>
    <cellStyle name="AeE­ [0]_INQUIRY ¿?¾÷AßAø " xfId="1990" xr:uid="{00000000-0005-0000-0000-0000C5070000}"/>
    <cellStyle name="ÅëÈ­ [0]_L601CPT" xfId="1991" xr:uid="{00000000-0005-0000-0000-0000C6070000}"/>
    <cellStyle name="ÅëÈ­_¿ì¹°Åë" xfId="1992" xr:uid="{00000000-0005-0000-0000-0000C7070000}"/>
    <cellStyle name="AeE­_INQUIRY ¿?¾÷AßAø " xfId="1993" xr:uid="{00000000-0005-0000-0000-0000C8070000}"/>
    <cellStyle name="ÅëÈ­_L601CPT" xfId="1994" xr:uid="{00000000-0005-0000-0000-0000C9070000}"/>
    <cellStyle name="ÄÞ¸¶ [0]_¿ì¹°Åë" xfId="1995" xr:uid="{00000000-0005-0000-0000-0000CA070000}"/>
    <cellStyle name="AÞ¸¶ [0]_INQUIRY ¿?¾÷AßAø " xfId="1996" xr:uid="{00000000-0005-0000-0000-0000CB070000}"/>
    <cellStyle name="ÄÞ¸¶ [0]_L601CPT" xfId="1997" xr:uid="{00000000-0005-0000-0000-0000CC070000}"/>
    <cellStyle name="ÄÞ¸¶_¿ì¹°Åë" xfId="1998" xr:uid="{00000000-0005-0000-0000-0000CD070000}"/>
    <cellStyle name="AÞ¸¶_INQUIRY ¿?¾÷AßAø " xfId="1999" xr:uid="{00000000-0005-0000-0000-0000CE070000}"/>
    <cellStyle name="ÄÞ¸¶_L601CPT" xfId="2000" xr:uid="{00000000-0005-0000-0000-0000CF070000}"/>
    <cellStyle name="AutoFormat Options" xfId="2001" xr:uid="{00000000-0005-0000-0000-0000D0070000}"/>
    <cellStyle name="AutoFormat Options 2" xfId="2002" xr:uid="{00000000-0005-0000-0000-0000D1070000}"/>
    <cellStyle name="AutoFormat Options 3" xfId="2003" xr:uid="{00000000-0005-0000-0000-0000D2070000}"/>
    <cellStyle name="Bad 2" xfId="2004" xr:uid="{00000000-0005-0000-0000-0000D3070000}"/>
    <cellStyle name="Bad 2 2" xfId="2005" xr:uid="{00000000-0005-0000-0000-0000D4070000}"/>
    <cellStyle name="Bad 3" xfId="2006" xr:uid="{00000000-0005-0000-0000-0000D5070000}"/>
    <cellStyle name="C?AØ_¿?¾÷CoE² " xfId="2007" xr:uid="{00000000-0005-0000-0000-0000D6070000}"/>
    <cellStyle name="Ç¥ÁØ_#2(M17)_1" xfId="2008" xr:uid="{00000000-0005-0000-0000-0000D7070000}"/>
    <cellStyle name="C￥AØ_¿μ¾÷CoE² " xfId="2009" xr:uid="{00000000-0005-0000-0000-0000D8070000}"/>
    <cellStyle name="Ç¥ÁØ_±¸¹Ì´ëÃ¥" xfId="2010" xr:uid="{00000000-0005-0000-0000-0000D9070000}"/>
    <cellStyle name="C￥AØ_Sheet1_¿μ¾÷CoE² " xfId="2011" xr:uid="{00000000-0005-0000-0000-0000DA070000}"/>
    <cellStyle name="Ç§Î»·Ö¸ô[0]_Sheet1" xfId="2012" xr:uid="{00000000-0005-0000-0000-0000DB070000}"/>
    <cellStyle name="Ç§Î»·Ö¸ô_Sheet1" xfId="2013" xr:uid="{00000000-0005-0000-0000-0000DC070000}"/>
    <cellStyle name="Calc Currency (0)" xfId="2014" xr:uid="{00000000-0005-0000-0000-0000DD070000}"/>
    <cellStyle name="Calc Currency (0) 2" xfId="2015" xr:uid="{00000000-0005-0000-0000-0000DE070000}"/>
    <cellStyle name="Calculation 2" xfId="2016" xr:uid="{00000000-0005-0000-0000-0000DF070000}"/>
    <cellStyle name="Calculation 2 2" xfId="2017" xr:uid="{00000000-0005-0000-0000-0000E0070000}"/>
    <cellStyle name="Calculation 3" xfId="2018" xr:uid="{00000000-0005-0000-0000-0000E1070000}"/>
    <cellStyle name="category" xfId="2019" xr:uid="{00000000-0005-0000-0000-0000E2070000}"/>
    <cellStyle name="category 2" xfId="2020" xr:uid="{00000000-0005-0000-0000-0000E3070000}"/>
    <cellStyle name="category 3" xfId="2021" xr:uid="{00000000-0005-0000-0000-0000E4070000}"/>
    <cellStyle name="CC1" xfId="2022" xr:uid="{00000000-0005-0000-0000-0000E5070000}"/>
    <cellStyle name="CC1 2" xfId="2023" xr:uid="{00000000-0005-0000-0000-0000E6070000}"/>
    <cellStyle name="CC2" xfId="2024" xr:uid="{00000000-0005-0000-0000-0000E7070000}"/>
    <cellStyle name="CC2 2" xfId="2025" xr:uid="{00000000-0005-0000-0000-0000E8070000}"/>
    <cellStyle name="Cerrency_Sheet2_XANGDAU" xfId="2026" xr:uid="{00000000-0005-0000-0000-0000E9070000}"/>
    <cellStyle name="ColLevel_0" xfId="2035" xr:uid="{00000000-0005-0000-0000-0000F4070000}"/>
    <cellStyle name="Comma 11" xfId="2036" xr:uid="{00000000-0005-0000-0000-0000F5070000}"/>
    <cellStyle name="Comma 2" xfId="2037" xr:uid="{00000000-0005-0000-0000-0000F6070000}"/>
    <cellStyle name="Comma 2 2" xfId="2038" xr:uid="{00000000-0005-0000-0000-0000F7070000}"/>
    <cellStyle name="Comma 3" xfId="2039" xr:uid="{00000000-0005-0000-0000-0000F8070000}"/>
    <cellStyle name="comma zerodec" xfId="2040" xr:uid="{00000000-0005-0000-0000-0000F9070000}"/>
    <cellStyle name="comma zerodec 2" xfId="2041" xr:uid="{00000000-0005-0000-0000-0000FA070000}"/>
    <cellStyle name="Comma0" xfId="2042" xr:uid="{00000000-0005-0000-0000-0000FB070000}"/>
    <cellStyle name="Comma0 2" xfId="2043" xr:uid="{00000000-0005-0000-0000-0000FC070000}"/>
    <cellStyle name="CT1" xfId="2044" xr:uid="{00000000-0005-0000-0000-0000FD070000}"/>
    <cellStyle name="CT1 2" xfId="2045" xr:uid="{00000000-0005-0000-0000-0000FE070000}"/>
    <cellStyle name="CT2" xfId="2046" xr:uid="{00000000-0005-0000-0000-0000FF070000}"/>
    <cellStyle name="CT2 2" xfId="2047" xr:uid="{00000000-0005-0000-0000-000000080000}"/>
    <cellStyle name="CT4" xfId="2048" xr:uid="{00000000-0005-0000-0000-000001080000}"/>
    <cellStyle name="CT4 2" xfId="2049" xr:uid="{00000000-0005-0000-0000-000002080000}"/>
    <cellStyle name="CT5" xfId="2050" xr:uid="{00000000-0005-0000-0000-000003080000}"/>
    <cellStyle name="CT5 2" xfId="2051" xr:uid="{00000000-0005-0000-0000-000004080000}"/>
    <cellStyle name="ct7" xfId="2052" xr:uid="{00000000-0005-0000-0000-000005080000}"/>
    <cellStyle name="ct7 2" xfId="2053" xr:uid="{00000000-0005-0000-0000-000006080000}"/>
    <cellStyle name="ct8" xfId="2054" xr:uid="{00000000-0005-0000-0000-000007080000}"/>
    <cellStyle name="ct8 2" xfId="2055" xr:uid="{00000000-0005-0000-0000-000008080000}"/>
    <cellStyle name="cth1" xfId="2056" xr:uid="{00000000-0005-0000-0000-000009080000}"/>
    <cellStyle name="cth1 2" xfId="2057" xr:uid="{00000000-0005-0000-0000-00000A080000}"/>
    <cellStyle name="Cthuc" xfId="2058" xr:uid="{00000000-0005-0000-0000-00000B080000}"/>
    <cellStyle name="Cthuc 2" xfId="2059" xr:uid="{00000000-0005-0000-0000-00000C080000}"/>
    <cellStyle name="Cthuc1" xfId="2060" xr:uid="{00000000-0005-0000-0000-00000D080000}"/>
    <cellStyle name="Cthuc1 2" xfId="2061" xr:uid="{00000000-0005-0000-0000-00000E080000}"/>
    <cellStyle name="Currency 2" xfId="2062" xr:uid="{00000000-0005-0000-0000-00000F080000}"/>
    <cellStyle name="Currency 2 2" xfId="2063" xr:uid="{00000000-0005-0000-0000-000010080000}"/>
    <cellStyle name="Currency 2 3" xfId="2064" xr:uid="{00000000-0005-0000-0000-000011080000}"/>
    <cellStyle name="Currency 2 4" xfId="2065" xr:uid="{00000000-0005-0000-0000-000012080000}"/>
    <cellStyle name="Currency 2 5" xfId="2066" xr:uid="{00000000-0005-0000-0000-000013080000}"/>
    <cellStyle name="Currency 2 6" xfId="2067" xr:uid="{00000000-0005-0000-0000-000014080000}"/>
    <cellStyle name="Currency 2 7" xfId="2068" xr:uid="{00000000-0005-0000-0000-000015080000}"/>
    <cellStyle name="Currency 2 8" xfId="2069" xr:uid="{00000000-0005-0000-0000-000016080000}"/>
    <cellStyle name="Currency 2 9" xfId="2070" xr:uid="{00000000-0005-0000-0000-000017080000}"/>
    <cellStyle name="Currency 3" xfId="2071" xr:uid="{00000000-0005-0000-0000-000018080000}"/>
    <cellStyle name="Currency 3 10" xfId="2072" xr:uid="{00000000-0005-0000-0000-000019080000}"/>
    <cellStyle name="Currency 3 11" xfId="2073" xr:uid="{00000000-0005-0000-0000-00001A080000}"/>
    <cellStyle name="Currency 3 2" xfId="2074" xr:uid="{00000000-0005-0000-0000-00001B080000}"/>
    <cellStyle name="Currency 3 3" xfId="2075" xr:uid="{00000000-0005-0000-0000-00001C080000}"/>
    <cellStyle name="Currency 3 4" xfId="2076" xr:uid="{00000000-0005-0000-0000-00001D080000}"/>
    <cellStyle name="Currency 3 5" xfId="2077" xr:uid="{00000000-0005-0000-0000-00001E080000}"/>
    <cellStyle name="Currency 3 6" xfId="2078" xr:uid="{00000000-0005-0000-0000-00001F080000}"/>
    <cellStyle name="Currency 3 7" xfId="2079" xr:uid="{00000000-0005-0000-0000-000020080000}"/>
    <cellStyle name="Currency 3 8" xfId="2080" xr:uid="{00000000-0005-0000-0000-000021080000}"/>
    <cellStyle name="Currency 3 9" xfId="2081" xr:uid="{00000000-0005-0000-0000-000022080000}"/>
    <cellStyle name="Currency0" xfId="2082" xr:uid="{00000000-0005-0000-0000-000023080000}"/>
    <cellStyle name="Currency0 2" xfId="2083" xr:uid="{00000000-0005-0000-0000-000024080000}"/>
    <cellStyle name="Currency1" xfId="2084" xr:uid="{00000000-0005-0000-0000-000025080000}"/>
    <cellStyle name="Currency1 2" xfId="2085" xr:uid="{00000000-0005-0000-0000-000026080000}"/>
    <cellStyle name="chchuyen" xfId="2027" xr:uid="{00000000-0005-0000-0000-0000EA070000}"/>
    <cellStyle name="chchuyen 2" xfId="2028" xr:uid="{00000000-0005-0000-0000-0000EB070000}"/>
    <cellStyle name="Check Cell 2" xfId="2029" xr:uid="{00000000-0005-0000-0000-0000EC070000}"/>
    <cellStyle name="Check Cell 2 2" xfId="2030" xr:uid="{00000000-0005-0000-0000-0000ED070000}"/>
    <cellStyle name="Check Cell 3" xfId="2031" xr:uid="{00000000-0005-0000-0000-0000EE070000}"/>
    <cellStyle name="Chi phÝ kh¸c_Book1" xfId="2032" xr:uid="{00000000-0005-0000-0000-0000EF070000}"/>
    <cellStyle name="Chuẩn 2" xfId="2033" xr:uid="{00000000-0005-0000-0000-0000F0070000}"/>
    <cellStyle name="Chuẩn 2 2" xfId="3605" xr:uid="{00000000-0005-0000-0000-0000F1070000}"/>
    <cellStyle name="Chuẩn 2 3" xfId="3614" xr:uid="{00000000-0005-0000-0000-0000F2070000}"/>
    <cellStyle name="CHUONG" xfId="2034" xr:uid="{00000000-0005-0000-0000-0000F3070000}"/>
    <cellStyle name="d" xfId="2086" xr:uid="{00000000-0005-0000-0000-000027080000}"/>
    <cellStyle name="d 2" xfId="2087" xr:uid="{00000000-0005-0000-0000-000028080000}"/>
    <cellStyle name="d%" xfId="2088" xr:uid="{00000000-0005-0000-0000-000029080000}"/>
    <cellStyle name="d% 2" xfId="2089" xr:uid="{00000000-0005-0000-0000-00002A080000}"/>
    <cellStyle name="d_AFC...CPC-CLPP-S-D" xfId="2090" xr:uid="{00000000-0005-0000-0000-00002B080000}"/>
    <cellStyle name="d_Ban du tru vat tu- doan tu LANDFALL STATION den GDS" xfId="2091" xr:uid="{00000000-0005-0000-0000-00002C080000}"/>
    <cellStyle name="d_Ban du tru vat tu- doan tu LANDFALL STATION den GDS 2" xfId="2092" xr:uid="{00000000-0005-0000-0000-00002D080000}"/>
    <cellStyle name="d_cong bien 09-05" xfId="2093" xr:uid="{00000000-0005-0000-0000-00002E080000}"/>
    <cellStyle name="d_cong bien 09-05_DAU DO UT" xfId="2094" xr:uid="{00000000-0005-0000-0000-00002F080000}"/>
    <cellStyle name="d_cong bien 09-05_RT-FL 24-" xfId="2095" xr:uid="{00000000-0005-0000-0000-000030080000}"/>
    <cellStyle name="d_DAU DO UT" xfId="2096" xr:uid="{00000000-0005-0000-0000-000031080000}"/>
    <cellStyle name="d_List of Pipe spool ONSHORE" xfId="2097" xr:uid="{00000000-0005-0000-0000-000032080000}"/>
    <cellStyle name="d_Nomenclature PHA1 M10 EJ 010 A" xfId="2098" xr:uid="{00000000-0005-0000-0000-000033080000}"/>
    <cellStyle name="d_Nomenclature PHA1 M10 EJ 010 A 2" xfId="2099" xr:uid="{00000000-0005-0000-0000-000034080000}"/>
    <cellStyle name="d_Nomenclature PHA1 M10 EJ 010 A_DAU DO UT" xfId="2100" xr:uid="{00000000-0005-0000-0000-000035080000}"/>
    <cellStyle name="d_Nomenclature PHA1 M10 EJ 010 A_RT-FL 24-" xfId="2101" xr:uid="{00000000-0005-0000-0000-000036080000}"/>
    <cellStyle name="d_RT-FL 24-" xfId="2102" xr:uid="{00000000-0005-0000-0000-000037080000}"/>
    <cellStyle name="d1" xfId="2103" xr:uid="{00000000-0005-0000-0000-000038080000}"/>
    <cellStyle name="d1 2" xfId="2104" xr:uid="{00000000-0005-0000-0000-000039080000}"/>
    <cellStyle name="Date" xfId="2105" xr:uid="{00000000-0005-0000-0000-00003A080000}"/>
    <cellStyle name="Date 2" xfId="2106" xr:uid="{00000000-0005-0000-0000-00003B080000}"/>
    <cellStyle name="Date 3" xfId="2107" xr:uid="{00000000-0005-0000-0000-00003C080000}"/>
    <cellStyle name="Date 4" xfId="2108" xr:uid="{00000000-0005-0000-0000-00003D080000}"/>
    <cellStyle name="Dezimal [0]_UXO VII" xfId="2109" xr:uid="{00000000-0005-0000-0000-00003E080000}"/>
    <cellStyle name="Dezimal_UXO VII" xfId="2110" xr:uid="{00000000-0005-0000-0000-00003F080000}"/>
    <cellStyle name="Dollar (zero dec)" xfId="2111" xr:uid="{00000000-0005-0000-0000-000040080000}"/>
    <cellStyle name="Dollar (zero dec) 2" xfId="2112" xr:uid="{00000000-0005-0000-0000-000041080000}"/>
    <cellStyle name="Dziesi?tny [0]_Invoices2001Slovakia" xfId="2113" xr:uid="{00000000-0005-0000-0000-000042080000}"/>
    <cellStyle name="Dziesi?tny_Invoices2001Slovakia" xfId="2114" xr:uid="{00000000-0005-0000-0000-000043080000}"/>
    <cellStyle name="Dziesietny [0]_Invoices2001Slovakia" xfId="2115" xr:uid="{00000000-0005-0000-0000-000044080000}"/>
    <cellStyle name="Dziesiętny [0]_Invoices2001Slovakia" xfId="2116" xr:uid="{00000000-0005-0000-0000-000045080000}"/>
    <cellStyle name="Dziesietny [0]_Invoices2001Slovakia 2" xfId="2117" xr:uid="{00000000-0005-0000-0000-000046080000}"/>
    <cellStyle name="Dziesiętny [0]_Invoices2001Slovakia 2" xfId="2118" xr:uid="{00000000-0005-0000-0000-000047080000}"/>
    <cellStyle name="Dziesietny [0]_Invoices2001Slovakia 3" xfId="2119" xr:uid="{00000000-0005-0000-0000-000048080000}"/>
    <cellStyle name="Dziesiętny [0]_Invoices2001Slovakia 3" xfId="2120" xr:uid="{00000000-0005-0000-0000-000049080000}"/>
    <cellStyle name="Dziesietny [0]_Invoices2001Slovakia_Book1" xfId="2121" xr:uid="{00000000-0005-0000-0000-00004A080000}"/>
    <cellStyle name="Dziesiętny [0]_Invoices2001Slovakia_Book1" xfId="2122" xr:uid="{00000000-0005-0000-0000-00004B080000}"/>
    <cellStyle name="Dziesietny [0]_Invoices2001Slovakia_Book1 2" xfId="2123" xr:uid="{00000000-0005-0000-0000-00004C080000}"/>
    <cellStyle name="Dziesiętny [0]_Invoices2001Slovakia_Book1 2" xfId="2124" xr:uid="{00000000-0005-0000-0000-00004D080000}"/>
    <cellStyle name="Dziesietny [0]_Invoices2001Slovakia_Book1 3" xfId="2125" xr:uid="{00000000-0005-0000-0000-00004E080000}"/>
    <cellStyle name="Dziesiętny [0]_Invoices2001Slovakia_Book1 3" xfId="2126" xr:uid="{00000000-0005-0000-0000-00004F080000}"/>
    <cellStyle name="Dziesietny [0]_Invoices2001Slovakia_Book1_Tong hop Cac tuyen(9-1-06)" xfId="2127" xr:uid="{00000000-0005-0000-0000-000050080000}"/>
    <cellStyle name="Dziesiętny [0]_Invoices2001Slovakia_Book1_Tong hop Cac tuyen(9-1-06)" xfId="2128" xr:uid="{00000000-0005-0000-0000-000051080000}"/>
    <cellStyle name="Dziesietny [0]_Invoices2001Slovakia_Book1_Tong hop Cac tuyen(9-1-06) 2" xfId="2129" xr:uid="{00000000-0005-0000-0000-000052080000}"/>
    <cellStyle name="Dziesiętny [0]_Invoices2001Slovakia_Book1_Tong hop Cac tuyen(9-1-06) 2" xfId="2130" xr:uid="{00000000-0005-0000-0000-000053080000}"/>
    <cellStyle name="Dziesietny [0]_Invoices2001Slovakia_Book1_Tong hop Cac tuyen(9-1-06) 3" xfId="2131" xr:uid="{00000000-0005-0000-0000-000054080000}"/>
    <cellStyle name="Dziesiętny [0]_Invoices2001Slovakia_Book1_Tong hop Cac tuyen(9-1-06) 3" xfId="2132" xr:uid="{00000000-0005-0000-0000-000055080000}"/>
    <cellStyle name="Dziesietny [0]_Invoices2001Slovakia_KL K.C mat duong" xfId="2133" xr:uid="{00000000-0005-0000-0000-000056080000}"/>
    <cellStyle name="Dziesiętny [0]_Invoices2001Slovakia_Nhalamviec VTC(25-1-05)" xfId="2134" xr:uid="{00000000-0005-0000-0000-000057080000}"/>
    <cellStyle name="Dziesietny [0]_Invoices2001Slovakia_TDT KHANH HOA" xfId="2135" xr:uid="{00000000-0005-0000-0000-000058080000}"/>
    <cellStyle name="Dziesiętny [0]_Invoices2001Slovakia_TDT KHANH HOA" xfId="2136" xr:uid="{00000000-0005-0000-0000-000059080000}"/>
    <cellStyle name="Dziesietny [0]_Invoices2001Slovakia_TDT KHANH HOA 2" xfId="2137" xr:uid="{00000000-0005-0000-0000-00005A080000}"/>
    <cellStyle name="Dziesiętny [0]_Invoices2001Slovakia_TDT KHANH HOA 2" xfId="2138" xr:uid="{00000000-0005-0000-0000-00005B080000}"/>
    <cellStyle name="Dziesietny [0]_Invoices2001Slovakia_TDT KHANH HOA 3" xfId="2139" xr:uid="{00000000-0005-0000-0000-00005C080000}"/>
    <cellStyle name="Dziesiętny [0]_Invoices2001Slovakia_TDT KHANH HOA 3" xfId="2140" xr:uid="{00000000-0005-0000-0000-00005D080000}"/>
    <cellStyle name="Dziesietny [0]_Invoices2001Slovakia_TDT KHANH HOA_Tong hop Cac tuyen(9-1-06)" xfId="2141" xr:uid="{00000000-0005-0000-0000-00005E080000}"/>
    <cellStyle name="Dziesiętny [0]_Invoices2001Slovakia_TDT KHANH HOA_Tong hop Cac tuyen(9-1-06)" xfId="2142" xr:uid="{00000000-0005-0000-0000-00005F080000}"/>
    <cellStyle name="Dziesietny [0]_Invoices2001Slovakia_TDT KHANH HOA_Tong hop Cac tuyen(9-1-06) 2" xfId="2143" xr:uid="{00000000-0005-0000-0000-000060080000}"/>
    <cellStyle name="Dziesiętny [0]_Invoices2001Slovakia_TDT KHANH HOA_Tong hop Cac tuyen(9-1-06) 2" xfId="2144" xr:uid="{00000000-0005-0000-0000-000061080000}"/>
    <cellStyle name="Dziesietny [0]_Invoices2001Slovakia_TDT KHANH HOA_Tong hop Cac tuyen(9-1-06) 3" xfId="2145" xr:uid="{00000000-0005-0000-0000-000062080000}"/>
    <cellStyle name="Dziesiętny [0]_Invoices2001Slovakia_TDT KHANH HOA_Tong hop Cac tuyen(9-1-06) 3" xfId="2146" xr:uid="{00000000-0005-0000-0000-000063080000}"/>
    <cellStyle name="Dziesietny [0]_Invoices2001Slovakia_TDT quangngai" xfId="2147" xr:uid="{00000000-0005-0000-0000-000064080000}"/>
    <cellStyle name="Dziesiętny [0]_Invoices2001Slovakia_TDT quangngai" xfId="2148" xr:uid="{00000000-0005-0000-0000-000065080000}"/>
    <cellStyle name="Dziesietny [0]_Invoices2001Slovakia_TDT quangngai 2" xfId="2149" xr:uid="{00000000-0005-0000-0000-000066080000}"/>
    <cellStyle name="Dziesiętny [0]_Invoices2001Slovakia_TDT quangngai 2" xfId="2150" xr:uid="{00000000-0005-0000-0000-000067080000}"/>
    <cellStyle name="Dziesietny [0]_Invoices2001Slovakia_TDT quangngai 3" xfId="2151" xr:uid="{00000000-0005-0000-0000-000068080000}"/>
    <cellStyle name="Dziesiętny [0]_Invoices2001Slovakia_TDT quangngai 3" xfId="2152" xr:uid="{00000000-0005-0000-0000-000069080000}"/>
    <cellStyle name="Dziesietny [0]_Invoices2001Slovakia_Tong hop Cac tuyen(9-1-06)" xfId="2153" xr:uid="{00000000-0005-0000-0000-00006A080000}"/>
    <cellStyle name="Dziesietny_Invoices2001Slovakia" xfId="2154" xr:uid="{00000000-0005-0000-0000-00006B080000}"/>
    <cellStyle name="Dziesiętny_Invoices2001Slovakia" xfId="2155" xr:uid="{00000000-0005-0000-0000-00006C080000}"/>
    <cellStyle name="Dziesietny_Invoices2001Slovakia 2" xfId="2156" xr:uid="{00000000-0005-0000-0000-00006D080000}"/>
    <cellStyle name="Dziesiętny_Invoices2001Slovakia 2" xfId="2157" xr:uid="{00000000-0005-0000-0000-00006E080000}"/>
    <cellStyle name="Dziesietny_Invoices2001Slovakia 3" xfId="2158" xr:uid="{00000000-0005-0000-0000-00006F080000}"/>
    <cellStyle name="Dziesiętny_Invoices2001Slovakia 3" xfId="2159" xr:uid="{00000000-0005-0000-0000-000070080000}"/>
    <cellStyle name="Dziesietny_Invoices2001Slovakia_Book1" xfId="2160" xr:uid="{00000000-0005-0000-0000-000071080000}"/>
    <cellStyle name="Dziesiętny_Invoices2001Slovakia_Book1" xfId="2161" xr:uid="{00000000-0005-0000-0000-000072080000}"/>
    <cellStyle name="Dziesietny_Invoices2001Slovakia_Book1 2" xfId="2162" xr:uid="{00000000-0005-0000-0000-000073080000}"/>
    <cellStyle name="Dziesiętny_Invoices2001Slovakia_Book1 2" xfId="2163" xr:uid="{00000000-0005-0000-0000-000074080000}"/>
    <cellStyle name="Dziesietny_Invoices2001Slovakia_Book1 3" xfId="2164" xr:uid="{00000000-0005-0000-0000-000075080000}"/>
    <cellStyle name="Dziesiętny_Invoices2001Slovakia_Book1 3" xfId="2165" xr:uid="{00000000-0005-0000-0000-000076080000}"/>
    <cellStyle name="Dziesietny_Invoices2001Slovakia_Book1_Tong hop Cac tuyen(9-1-06)" xfId="2166" xr:uid="{00000000-0005-0000-0000-000077080000}"/>
    <cellStyle name="Dziesiętny_Invoices2001Slovakia_Book1_Tong hop Cac tuyen(9-1-06)" xfId="2167" xr:uid="{00000000-0005-0000-0000-000078080000}"/>
    <cellStyle name="Dziesietny_Invoices2001Slovakia_Book1_Tong hop Cac tuyen(9-1-06) 2" xfId="2168" xr:uid="{00000000-0005-0000-0000-000079080000}"/>
    <cellStyle name="Dziesiętny_Invoices2001Slovakia_Book1_Tong hop Cac tuyen(9-1-06) 2" xfId="2169" xr:uid="{00000000-0005-0000-0000-00007A080000}"/>
    <cellStyle name="Dziesietny_Invoices2001Slovakia_Book1_Tong hop Cac tuyen(9-1-06) 3" xfId="2170" xr:uid="{00000000-0005-0000-0000-00007B080000}"/>
    <cellStyle name="Dziesiętny_Invoices2001Slovakia_Book1_Tong hop Cac tuyen(9-1-06) 3" xfId="2171" xr:uid="{00000000-0005-0000-0000-00007C080000}"/>
    <cellStyle name="Dziesietny_Invoices2001Slovakia_KL K.C mat duong" xfId="2172" xr:uid="{00000000-0005-0000-0000-00007D080000}"/>
    <cellStyle name="Dziesiętny_Invoices2001Slovakia_Nhalamviec VTC(25-1-05)" xfId="2173" xr:uid="{00000000-0005-0000-0000-00007E080000}"/>
    <cellStyle name="Dziesietny_Invoices2001Slovakia_TDT KHANH HOA" xfId="2174" xr:uid="{00000000-0005-0000-0000-00007F080000}"/>
    <cellStyle name="Dziesiętny_Invoices2001Slovakia_TDT KHANH HOA" xfId="2175" xr:uid="{00000000-0005-0000-0000-000080080000}"/>
    <cellStyle name="Dziesietny_Invoices2001Slovakia_TDT KHANH HOA 2" xfId="2176" xr:uid="{00000000-0005-0000-0000-000081080000}"/>
    <cellStyle name="Dziesiętny_Invoices2001Slovakia_TDT KHANH HOA 2" xfId="2177" xr:uid="{00000000-0005-0000-0000-000082080000}"/>
    <cellStyle name="Dziesietny_Invoices2001Slovakia_TDT KHANH HOA 3" xfId="2178" xr:uid="{00000000-0005-0000-0000-000083080000}"/>
    <cellStyle name="Dziesiętny_Invoices2001Slovakia_TDT KHANH HOA 3" xfId="2179" xr:uid="{00000000-0005-0000-0000-000084080000}"/>
    <cellStyle name="Dziesietny_Invoices2001Slovakia_TDT KHANH HOA_Tong hop Cac tuyen(9-1-06)" xfId="2180" xr:uid="{00000000-0005-0000-0000-000085080000}"/>
    <cellStyle name="Dziesiętny_Invoices2001Slovakia_TDT KHANH HOA_Tong hop Cac tuyen(9-1-06)" xfId="2181" xr:uid="{00000000-0005-0000-0000-000086080000}"/>
    <cellStyle name="Dziesietny_Invoices2001Slovakia_TDT KHANH HOA_Tong hop Cac tuyen(9-1-06) 2" xfId="2182" xr:uid="{00000000-0005-0000-0000-000087080000}"/>
    <cellStyle name="Dziesiętny_Invoices2001Slovakia_TDT KHANH HOA_Tong hop Cac tuyen(9-1-06) 2" xfId="2183" xr:uid="{00000000-0005-0000-0000-000088080000}"/>
    <cellStyle name="Dziesietny_Invoices2001Slovakia_TDT KHANH HOA_Tong hop Cac tuyen(9-1-06) 3" xfId="2184" xr:uid="{00000000-0005-0000-0000-000089080000}"/>
    <cellStyle name="Dziesiętny_Invoices2001Slovakia_TDT KHANH HOA_Tong hop Cac tuyen(9-1-06) 3" xfId="2185" xr:uid="{00000000-0005-0000-0000-00008A080000}"/>
    <cellStyle name="Dziesietny_Invoices2001Slovakia_TDT quangngai" xfId="2186" xr:uid="{00000000-0005-0000-0000-00008B080000}"/>
    <cellStyle name="Dziesiętny_Invoices2001Slovakia_TDT quangngai" xfId="2187" xr:uid="{00000000-0005-0000-0000-00008C080000}"/>
    <cellStyle name="Dziesietny_Invoices2001Slovakia_TDT quangngai 2" xfId="2188" xr:uid="{00000000-0005-0000-0000-00008D080000}"/>
    <cellStyle name="Dziesiętny_Invoices2001Slovakia_TDT quangngai 2" xfId="2189" xr:uid="{00000000-0005-0000-0000-00008E080000}"/>
    <cellStyle name="Dziesietny_Invoices2001Slovakia_TDT quangngai 3" xfId="2190" xr:uid="{00000000-0005-0000-0000-00008F080000}"/>
    <cellStyle name="Dziesiętny_Invoices2001Slovakia_TDT quangngai 3" xfId="2191" xr:uid="{00000000-0005-0000-0000-000090080000}"/>
    <cellStyle name="Dziesietny_Invoices2001Slovakia_Tong hop Cac tuyen(9-1-06)" xfId="2192" xr:uid="{00000000-0005-0000-0000-000091080000}"/>
    <cellStyle name="e" xfId="2193" xr:uid="{00000000-0005-0000-0000-000092080000}"/>
    <cellStyle name="e 2" xfId="2194" xr:uid="{00000000-0005-0000-0000-000093080000}"/>
    <cellStyle name="e 3" xfId="2195" xr:uid="{00000000-0005-0000-0000-000094080000}"/>
    <cellStyle name="Explanatory Text 2" xfId="2196" xr:uid="{00000000-0005-0000-0000-000095080000}"/>
    <cellStyle name="Explanatory Text 2 2" xfId="2197" xr:uid="{00000000-0005-0000-0000-000096080000}"/>
    <cellStyle name="Explanatory Text 3" xfId="2198" xr:uid="{00000000-0005-0000-0000-000097080000}"/>
    <cellStyle name="f" xfId="2199" xr:uid="{00000000-0005-0000-0000-000098080000}"/>
    <cellStyle name="f 2" xfId="2200" xr:uid="{00000000-0005-0000-0000-000099080000}"/>
    <cellStyle name="f 3" xfId="2201" xr:uid="{00000000-0005-0000-0000-00009A080000}"/>
    <cellStyle name="Fixed" xfId="2202" xr:uid="{00000000-0005-0000-0000-00009B080000}"/>
    <cellStyle name="Fixed 2" xfId="2203" xr:uid="{00000000-0005-0000-0000-00009C080000}"/>
    <cellStyle name="Good 2" xfId="2204" xr:uid="{00000000-0005-0000-0000-00009D080000}"/>
    <cellStyle name="Good 2 2" xfId="2205" xr:uid="{00000000-0005-0000-0000-00009E080000}"/>
    <cellStyle name="Good 3" xfId="2206" xr:uid="{00000000-0005-0000-0000-00009F080000}"/>
    <cellStyle name="Grey" xfId="2207" xr:uid="{00000000-0005-0000-0000-0000A0080000}"/>
    <cellStyle name="Grey 2" xfId="2208" xr:uid="{00000000-0005-0000-0000-0000A1080000}"/>
    <cellStyle name="HEADER" xfId="2209" xr:uid="{00000000-0005-0000-0000-0000A2080000}"/>
    <cellStyle name="HEADER 2" xfId="2210" xr:uid="{00000000-0005-0000-0000-0000A3080000}"/>
    <cellStyle name="HEADER 3" xfId="2211" xr:uid="{00000000-0005-0000-0000-0000A4080000}"/>
    <cellStyle name="Header1" xfId="2212" xr:uid="{00000000-0005-0000-0000-0000A5080000}"/>
    <cellStyle name="Header1 2" xfId="2213" xr:uid="{00000000-0005-0000-0000-0000A6080000}"/>
    <cellStyle name="Header1 3" xfId="2214" xr:uid="{00000000-0005-0000-0000-0000A7080000}"/>
    <cellStyle name="Header2" xfId="2215" xr:uid="{00000000-0005-0000-0000-0000A8080000}"/>
    <cellStyle name="Header2 2" xfId="2216" xr:uid="{00000000-0005-0000-0000-0000A9080000}"/>
    <cellStyle name="Header2 3" xfId="2217" xr:uid="{00000000-0005-0000-0000-0000AA080000}"/>
    <cellStyle name="Heading 1 2" xfId="2218" xr:uid="{00000000-0005-0000-0000-0000AB080000}"/>
    <cellStyle name="Heading 1 2 2" xfId="2219" xr:uid="{00000000-0005-0000-0000-0000AC080000}"/>
    <cellStyle name="Heading 1 3" xfId="2220" xr:uid="{00000000-0005-0000-0000-0000AD080000}"/>
    <cellStyle name="Heading 2 2" xfId="2221" xr:uid="{00000000-0005-0000-0000-0000AE080000}"/>
    <cellStyle name="Heading 2 2 2" xfId="2222" xr:uid="{00000000-0005-0000-0000-0000AF080000}"/>
    <cellStyle name="Heading 2 3" xfId="2223" xr:uid="{00000000-0005-0000-0000-0000B0080000}"/>
    <cellStyle name="Heading 3 2" xfId="2224" xr:uid="{00000000-0005-0000-0000-0000B1080000}"/>
    <cellStyle name="Heading 3 2 2" xfId="2225" xr:uid="{00000000-0005-0000-0000-0000B2080000}"/>
    <cellStyle name="Heading 3 3" xfId="2226" xr:uid="{00000000-0005-0000-0000-0000B3080000}"/>
    <cellStyle name="Heading 4 2" xfId="2227" xr:uid="{00000000-0005-0000-0000-0000B4080000}"/>
    <cellStyle name="Heading 4 2 2" xfId="2228" xr:uid="{00000000-0005-0000-0000-0000B5080000}"/>
    <cellStyle name="Heading 4 3" xfId="2229" xr:uid="{00000000-0005-0000-0000-0000B6080000}"/>
    <cellStyle name="Heading1" xfId="2230" xr:uid="{00000000-0005-0000-0000-0000B7080000}"/>
    <cellStyle name="Heading2" xfId="2231" xr:uid="{00000000-0005-0000-0000-0000B8080000}"/>
    <cellStyle name="headoption" xfId="2232" xr:uid="{00000000-0005-0000-0000-0000B9080000}"/>
    <cellStyle name="headoption 2" xfId="2233" xr:uid="{00000000-0005-0000-0000-0000BA080000}"/>
    <cellStyle name="Hoa-Scholl" xfId="2234" xr:uid="{00000000-0005-0000-0000-0000BB080000}"/>
    <cellStyle name="Hoa-Scholl 2" xfId="2235" xr:uid="{00000000-0005-0000-0000-0000BC080000}"/>
    <cellStyle name="i·0" xfId="2236" xr:uid="{00000000-0005-0000-0000-0000BD080000}"/>
    <cellStyle name="i·0 2" xfId="2237" xr:uid="{00000000-0005-0000-0000-0000BE080000}"/>
    <cellStyle name="i·0 3" xfId="2238" xr:uid="{00000000-0005-0000-0000-0000BF080000}"/>
    <cellStyle name="Input [yellow]" xfId="2239" xr:uid="{00000000-0005-0000-0000-0000C0080000}"/>
    <cellStyle name="Input [yellow] 2" xfId="2240" xr:uid="{00000000-0005-0000-0000-0000C1080000}"/>
    <cellStyle name="Input 10" xfId="2241" xr:uid="{00000000-0005-0000-0000-0000C2080000}"/>
    <cellStyle name="Input 11" xfId="2242" xr:uid="{00000000-0005-0000-0000-0000C3080000}"/>
    <cellStyle name="Input 12" xfId="2243" xr:uid="{00000000-0005-0000-0000-0000C4080000}"/>
    <cellStyle name="Input 13" xfId="2244" xr:uid="{00000000-0005-0000-0000-0000C5080000}"/>
    <cellStyle name="Input 14" xfId="2245" xr:uid="{00000000-0005-0000-0000-0000C6080000}"/>
    <cellStyle name="Input 15" xfId="2246" xr:uid="{00000000-0005-0000-0000-0000C7080000}"/>
    <cellStyle name="Input 16" xfId="2247" xr:uid="{00000000-0005-0000-0000-0000C8080000}"/>
    <cellStyle name="Input 17" xfId="2248" xr:uid="{00000000-0005-0000-0000-0000C9080000}"/>
    <cellStyle name="Input 18" xfId="2249" xr:uid="{00000000-0005-0000-0000-0000CA080000}"/>
    <cellStyle name="Input 19" xfId="2250" xr:uid="{00000000-0005-0000-0000-0000CB080000}"/>
    <cellStyle name="Input 2" xfId="2251" xr:uid="{00000000-0005-0000-0000-0000CC080000}"/>
    <cellStyle name="Input 2 2" xfId="2252" xr:uid="{00000000-0005-0000-0000-0000CD080000}"/>
    <cellStyle name="Input 20" xfId="2253" xr:uid="{00000000-0005-0000-0000-0000CE080000}"/>
    <cellStyle name="Input 21" xfId="2254" xr:uid="{00000000-0005-0000-0000-0000CF080000}"/>
    <cellStyle name="Input 22" xfId="2255" xr:uid="{00000000-0005-0000-0000-0000D0080000}"/>
    <cellStyle name="Input 23" xfId="2256" xr:uid="{00000000-0005-0000-0000-0000D1080000}"/>
    <cellStyle name="Input 24" xfId="2257" xr:uid="{00000000-0005-0000-0000-0000D2080000}"/>
    <cellStyle name="Input 25" xfId="2258" xr:uid="{00000000-0005-0000-0000-0000D3080000}"/>
    <cellStyle name="Input 26" xfId="2259" xr:uid="{00000000-0005-0000-0000-0000D4080000}"/>
    <cellStyle name="Input 27" xfId="2260" xr:uid="{00000000-0005-0000-0000-0000D5080000}"/>
    <cellStyle name="Input 28" xfId="2261" xr:uid="{00000000-0005-0000-0000-0000D6080000}"/>
    <cellStyle name="Input 29" xfId="2262" xr:uid="{00000000-0005-0000-0000-0000D7080000}"/>
    <cellStyle name="Input 3" xfId="2263" xr:uid="{00000000-0005-0000-0000-0000D8080000}"/>
    <cellStyle name="Input 3 2" xfId="2264" xr:uid="{00000000-0005-0000-0000-0000D9080000}"/>
    <cellStyle name="Input 30" xfId="2265" xr:uid="{00000000-0005-0000-0000-0000DA080000}"/>
    <cellStyle name="Input 31" xfId="2266" xr:uid="{00000000-0005-0000-0000-0000DB080000}"/>
    <cellStyle name="Input 32" xfId="2267" xr:uid="{00000000-0005-0000-0000-0000DC080000}"/>
    <cellStyle name="Input 33" xfId="2268" xr:uid="{00000000-0005-0000-0000-0000DD080000}"/>
    <cellStyle name="Input 34" xfId="2269" xr:uid="{00000000-0005-0000-0000-0000DE080000}"/>
    <cellStyle name="Input 35" xfId="2270" xr:uid="{00000000-0005-0000-0000-0000DF080000}"/>
    <cellStyle name="Input 36" xfId="2271" xr:uid="{00000000-0005-0000-0000-0000E0080000}"/>
    <cellStyle name="Input 37" xfId="2272" xr:uid="{00000000-0005-0000-0000-0000E1080000}"/>
    <cellStyle name="Input 38" xfId="2273" xr:uid="{00000000-0005-0000-0000-0000E2080000}"/>
    <cellStyle name="Input 39" xfId="2274" xr:uid="{00000000-0005-0000-0000-0000E3080000}"/>
    <cellStyle name="Input 4" xfId="2275" xr:uid="{00000000-0005-0000-0000-0000E4080000}"/>
    <cellStyle name="Input 40" xfId="2276" xr:uid="{00000000-0005-0000-0000-0000E5080000}"/>
    <cellStyle name="Input 41" xfId="2277" xr:uid="{00000000-0005-0000-0000-0000E6080000}"/>
    <cellStyle name="Input 42" xfId="2278" xr:uid="{00000000-0005-0000-0000-0000E7080000}"/>
    <cellStyle name="Input 43" xfId="2279" xr:uid="{00000000-0005-0000-0000-0000E8080000}"/>
    <cellStyle name="Input 44" xfId="2280" xr:uid="{00000000-0005-0000-0000-0000E9080000}"/>
    <cellStyle name="Input 45" xfId="2281" xr:uid="{00000000-0005-0000-0000-0000EA080000}"/>
    <cellStyle name="Input 46" xfId="2282" xr:uid="{00000000-0005-0000-0000-0000EB080000}"/>
    <cellStyle name="Input 47" xfId="2283" xr:uid="{00000000-0005-0000-0000-0000EC080000}"/>
    <cellStyle name="Input 48" xfId="2284" xr:uid="{00000000-0005-0000-0000-0000ED080000}"/>
    <cellStyle name="Input 49" xfId="2285" xr:uid="{00000000-0005-0000-0000-0000EE080000}"/>
    <cellStyle name="Input 5" xfId="2286" xr:uid="{00000000-0005-0000-0000-0000EF080000}"/>
    <cellStyle name="Input 50" xfId="2287" xr:uid="{00000000-0005-0000-0000-0000F0080000}"/>
    <cellStyle name="Input 51" xfId="2288" xr:uid="{00000000-0005-0000-0000-0000F1080000}"/>
    <cellStyle name="Input 52" xfId="2289" xr:uid="{00000000-0005-0000-0000-0000F2080000}"/>
    <cellStyle name="Input 53" xfId="2290" xr:uid="{00000000-0005-0000-0000-0000F3080000}"/>
    <cellStyle name="Input 54" xfId="2291" xr:uid="{00000000-0005-0000-0000-0000F4080000}"/>
    <cellStyle name="Input 55" xfId="2292" xr:uid="{00000000-0005-0000-0000-0000F5080000}"/>
    <cellStyle name="Input 56" xfId="2293" xr:uid="{00000000-0005-0000-0000-0000F6080000}"/>
    <cellStyle name="Input 57" xfId="2294" xr:uid="{00000000-0005-0000-0000-0000F7080000}"/>
    <cellStyle name="Input 58" xfId="2295" xr:uid="{00000000-0005-0000-0000-0000F8080000}"/>
    <cellStyle name="Input 59" xfId="2296" xr:uid="{00000000-0005-0000-0000-0000F9080000}"/>
    <cellStyle name="Input 6" xfId="2297" xr:uid="{00000000-0005-0000-0000-0000FA080000}"/>
    <cellStyle name="Input 60" xfId="2298" xr:uid="{00000000-0005-0000-0000-0000FB080000}"/>
    <cellStyle name="Input 61" xfId="2299" xr:uid="{00000000-0005-0000-0000-0000FC080000}"/>
    <cellStyle name="Input 62" xfId="2300" xr:uid="{00000000-0005-0000-0000-0000FD080000}"/>
    <cellStyle name="Input 63" xfId="2301" xr:uid="{00000000-0005-0000-0000-0000FE080000}"/>
    <cellStyle name="Input 64" xfId="2302" xr:uid="{00000000-0005-0000-0000-0000FF080000}"/>
    <cellStyle name="Input 65" xfId="2303" xr:uid="{00000000-0005-0000-0000-000000090000}"/>
    <cellStyle name="Input 66" xfId="2304" xr:uid="{00000000-0005-0000-0000-000001090000}"/>
    <cellStyle name="Input 67" xfId="2305" xr:uid="{00000000-0005-0000-0000-000002090000}"/>
    <cellStyle name="Input 68" xfId="2306" xr:uid="{00000000-0005-0000-0000-000003090000}"/>
    <cellStyle name="Input 69" xfId="2307" xr:uid="{00000000-0005-0000-0000-000004090000}"/>
    <cellStyle name="Input 7" xfId="2308" xr:uid="{00000000-0005-0000-0000-000005090000}"/>
    <cellStyle name="Input 70" xfId="2309" xr:uid="{00000000-0005-0000-0000-000006090000}"/>
    <cellStyle name="Input 71" xfId="2310" xr:uid="{00000000-0005-0000-0000-000007090000}"/>
    <cellStyle name="Input 8" xfId="2311" xr:uid="{00000000-0005-0000-0000-000008090000}"/>
    <cellStyle name="Input 9" xfId="2312" xr:uid="{00000000-0005-0000-0000-000009090000}"/>
    <cellStyle name="khanh" xfId="2313" xr:uid="{00000000-0005-0000-0000-00000A090000}"/>
    <cellStyle name="khanh 2" xfId="2314" xr:uid="{00000000-0005-0000-0000-00000B090000}"/>
    <cellStyle name="khanh 3" xfId="2315" xr:uid="{00000000-0005-0000-0000-00000C090000}"/>
    <cellStyle name="khanh_SUMMARY RC9 (1..." xfId="2316" xr:uid="{00000000-0005-0000-0000-00000D090000}"/>
    <cellStyle name="Linked Cell 2" xfId="2317" xr:uid="{00000000-0005-0000-0000-00000E090000}"/>
    <cellStyle name="Linked Cell 2 2" xfId="2318" xr:uid="{00000000-0005-0000-0000-00000F090000}"/>
    <cellStyle name="Linked Cell 3" xfId="2319" xr:uid="{00000000-0005-0000-0000-000010090000}"/>
    <cellStyle name="luc" xfId="2320" xr:uid="{00000000-0005-0000-0000-000011090000}"/>
    <cellStyle name="luc 2" xfId="2321" xr:uid="{00000000-0005-0000-0000-000012090000}"/>
    <cellStyle name="luc2" xfId="2322" xr:uid="{00000000-0005-0000-0000-000013090000}"/>
    <cellStyle name="luc2 2" xfId="2323" xr:uid="{00000000-0005-0000-0000-000014090000}"/>
    <cellStyle name="MI07" xfId="2324" xr:uid="{00000000-0005-0000-0000-000015090000}"/>
    <cellStyle name="MI07 2" xfId="2325" xr:uid="{00000000-0005-0000-0000-000016090000}"/>
    <cellStyle name="Migliaia (0)_CALPREZZ" xfId="2326" xr:uid="{00000000-0005-0000-0000-000017090000}"/>
    <cellStyle name="Migliaia_ PESO ELETTR." xfId="2327" xr:uid="{00000000-0005-0000-0000-000018090000}"/>
    <cellStyle name="Millares [0]_Well Timing" xfId="2328" xr:uid="{00000000-0005-0000-0000-000019090000}"/>
    <cellStyle name="Millares_Well Timing" xfId="2329" xr:uid="{00000000-0005-0000-0000-00001A090000}"/>
    <cellStyle name="Model" xfId="2330" xr:uid="{00000000-0005-0000-0000-00001B090000}"/>
    <cellStyle name="Model 2" xfId="2331" xr:uid="{00000000-0005-0000-0000-00001C090000}"/>
    <cellStyle name="Model 3" xfId="2332" xr:uid="{00000000-0005-0000-0000-00001D090000}"/>
    <cellStyle name="moi" xfId="2333" xr:uid="{00000000-0005-0000-0000-00001E090000}"/>
    <cellStyle name="moi 2" xfId="2334" xr:uid="{00000000-0005-0000-0000-00001F090000}"/>
    <cellStyle name="Moneda [0]_Well Timing" xfId="2335" xr:uid="{00000000-0005-0000-0000-000020090000}"/>
    <cellStyle name="Moneda_Well Timing" xfId="2336" xr:uid="{00000000-0005-0000-0000-000021090000}"/>
    <cellStyle name="Monétaire [0]_TARIFFS DB" xfId="2337" xr:uid="{00000000-0005-0000-0000-000022090000}"/>
    <cellStyle name="Monétaire_TARIFFS DB" xfId="2338" xr:uid="{00000000-0005-0000-0000-000023090000}"/>
    <cellStyle name="n" xfId="2339" xr:uid="{00000000-0005-0000-0000-000024090000}"/>
    <cellStyle name="n 2" xfId="2340" xr:uid="{00000000-0005-0000-0000-000025090000}"/>
    <cellStyle name="n 3" xfId="2341" xr:uid="{00000000-0005-0000-0000-000026090000}"/>
    <cellStyle name="n1" xfId="2342" xr:uid="{00000000-0005-0000-0000-000027090000}"/>
    <cellStyle name="n1 2" xfId="2343" xr:uid="{00000000-0005-0000-0000-000028090000}"/>
    <cellStyle name="n1 3" xfId="2344" xr:uid="{00000000-0005-0000-0000-000029090000}"/>
    <cellStyle name="Neutral 2" xfId="2345" xr:uid="{00000000-0005-0000-0000-00002A090000}"/>
    <cellStyle name="Neutral 2 2" xfId="2346" xr:uid="{00000000-0005-0000-0000-00002B090000}"/>
    <cellStyle name="Neutral 3" xfId="2347" xr:uid="{00000000-0005-0000-0000-00002C090000}"/>
    <cellStyle name="New" xfId="2348" xr:uid="{00000000-0005-0000-0000-00002D090000}"/>
    <cellStyle name="New 2" xfId="2349" xr:uid="{00000000-0005-0000-0000-00002E090000}"/>
    <cellStyle name="New Times Roman" xfId="2350" xr:uid="{00000000-0005-0000-0000-00002F090000}"/>
    <cellStyle name="New Times Roman 2" xfId="2351" xr:uid="{00000000-0005-0000-0000-000030090000}"/>
    <cellStyle name="no dec" xfId="2352" xr:uid="{00000000-0005-0000-0000-000031090000}"/>
    <cellStyle name="no dec 2" xfId="2353" xr:uid="{00000000-0005-0000-0000-000032090000}"/>
    <cellStyle name="ÑONVÒ" xfId="2354" xr:uid="{00000000-0005-0000-0000-000033090000}"/>
    <cellStyle name="ÑONVÒ 2" xfId="2355" xr:uid="{00000000-0005-0000-0000-000034090000}"/>
    <cellStyle name="ÑONVÒ 3" xfId="2356" xr:uid="{00000000-0005-0000-0000-000035090000}"/>
    <cellStyle name="Normal" xfId="0" builtinId="0"/>
    <cellStyle name="Normal - Style1" xfId="2357" xr:uid="{00000000-0005-0000-0000-000037090000}"/>
    <cellStyle name="Normal - Style1 2" xfId="2358" xr:uid="{00000000-0005-0000-0000-000038090000}"/>
    <cellStyle name="Normal 10" xfId="2359" xr:uid="{00000000-0005-0000-0000-000039090000}"/>
    <cellStyle name="Normal 10 2" xfId="2360" xr:uid="{00000000-0005-0000-0000-00003A090000}"/>
    <cellStyle name="Normal 10_SUMMARY RC9 (1..." xfId="2361" xr:uid="{00000000-0005-0000-0000-00003B090000}"/>
    <cellStyle name="Normal 100" xfId="2362" xr:uid="{00000000-0005-0000-0000-00003C090000}"/>
    <cellStyle name="Normal 100 2" xfId="2363" xr:uid="{00000000-0005-0000-0000-00003D090000}"/>
    <cellStyle name="Normal 100 2 2" xfId="3601" xr:uid="{00000000-0005-0000-0000-00003E090000}"/>
    <cellStyle name="Normal 100 2 2 2 2" xfId="3592" xr:uid="{00000000-0005-0000-0000-00003F090000}"/>
    <cellStyle name="Normal 100 2 2 2 2 2" xfId="3596" xr:uid="{00000000-0005-0000-0000-000040090000}"/>
    <cellStyle name="Normal 100 2 3" xfId="3594" xr:uid="{00000000-0005-0000-0000-000041090000}"/>
    <cellStyle name="Normal 100 4 2 2" xfId="3591" xr:uid="{00000000-0005-0000-0000-000042090000}"/>
    <cellStyle name="Normal 100 4 2 2 2" xfId="3595" xr:uid="{00000000-0005-0000-0000-000043090000}"/>
    <cellStyle name="Normal 101" xfId="2364" xr:uid="{00000000-0005-0000-0000-000044090000}"/>
    <cellStyle name="Normal 102" xfId="2365" xr:uid="{00000000-0005-0000-0000-000045090000}"/>
    <cellStyle name="Normal 103" xfId="2366" xr:uid="{00000000-0005-0000-0000-000046090000}"/>
    <cellStyle name="Normal 104" xfId="2367" xr:uid="{00000000-0005-0000-0000-000047090000}"/>
    <cellStyle name="Normal 105" xfId="2368" xr:uid="{00000000-0005-0000-0000-000048090000}"/>
    <cellStyle name="Normal 106" xfId="2369" xr:uid="{00000000-0005-0000-0000-000049090000}"/>
    <cellStyle name="Normal 107" xfId="2370" xr:uid="{00000000-0005-0000-0000-00004A090000}"/>
    <cellStyle name="Normal 108" xfId="2371" xr:uid="{00000000-0005-0000-0000-00004B090000}"/>
    <cellStyle name="Normal 109" xfId="2372" xr:uid="{00000000-0005-0000-0000-00004C090000}"/>
    <cellStyle name="Normal 11" xfId="2373" xr:uid="{00000000-0005-0000-0000-00004D090000}"/>
    <cellStyle name="Normal 11 2" xfId="2374" xr:uid="{00000000-0005-0000-0000-00004E090000}"/>
    <cellStyle name="Normal 11_SUMMARY RC9 (1..." xfId="2375" xr:uid="{00000000-0005-0000-0000-00004F090000}"/>
    <cellStyle name="Normal 110" xfId="2376" xr:uid="{00000000-0005-0000-0000-000050090000}"/>
    <cellStyle name="Normal 110 2" xfId="2377" xr:uid="{00000000-0005-0000-0000-000051090000}"/>
    <cellStyle name="Normal 110 3" xfId="2378" xr:uid="{00000000-0005-0000-0000-000052090000}"/>
    <cellStyle name="Normal 110 3 2" xfId="2379" xr:uid="{00000000-0005-0000-0000-000053090000}"/>
    <cellStyle name="Normal 110 3 2 2" xfId="2380" xr:uid="{00000000-0005-0000-0000-000054090000}"/>
    <cellStyle name="Normal 110 3 2 3 2 2" xfId="2381" xr:uid="{00000000-0005-0000-0000-000055090000}"/>
    <cellStyle name="Normal 110 3 2 3 2 2 3" xfId="3621" xr:uid="{00000000-0005-0000-0000-000056090000}"/>
    <cellStyle name="Normal 110 3 3" xfId="2382" xr:uid="{00000000-0005-0000-0000-000057090000}"/>
    <cellStyle name="Normal 111" xfId="2383" xr:uid="{00000000-0005-0000-0000-000058090000}"/>
    <cellStyle name="Normal 111 2" xfId="2384" xr:uid="{00000000-0005-0000-0000-000059090000}"/>
    <cellStyle name="Normal 111 3" xfId="2385" xr:uid="{00000000-0005-0000-0000-00005A090000}"/>
    <cellStyle name="Normal 112" xfId="2386" xr:uid="{00000000-0005-0000-0000-00005B090000}"/>
    <cellStyle name="Normal 112 2" xfId="2387" xr:uid="{00000000-0005-0000-0000-00005C090000}"/>
    <cellStyle name="Normal 112 3" xfId="2388" xr:uid="{00000000-0005-0000-0000-00005D090000}"/>
    <cellStyle name="Normal 112 4" xfId="2389" xr:uid="{00000000-0005-0000-0000-00005E090000}"/>
    <cellStyle name="Normal 112 5" xfId="2390" xr:uid="{00000000-0005-0000-0000-00005F090000}"/>
    <cellStyle name="Normal 112 6" xfId="2391" xr:uid="{00000000-0005-0000-0000-000060090000}"/>
    <cellStyle name="Normal 112 6 2" xfId="2392" xr:uid="{00000000-0005-0000-0000-000061090000}"/>
    <cellStyle name="Normal 112 7" xfId="2393" xr:uid="{00000000-0005-0000-0000-000062090000}"/>
    <cellStyle name="Normal 113" xfId="2394" xr:uid="{00000000-0005-0000-0000-000063090000}"/>
    <cellStyle name="Normal 113 2" xfId="2395" xr:uid="{00000000-0005-0000-0000-000064090000}"/>
    <cellStyle name="Normal 113 2 2" xfId="3603" xr:uid="{00000000-0005-0000-0000-000065090000}"/>
    <cellStyle name="Normal 114" xfId="2396" xr:uid="{00000000-0005-0000-0000-000066090000}"/>
    <cellStyle name="Normal 114 2" xfId="2397" xr:uid="{00000000-0005-0000-0000-000067090000}"/>
    <cellStyle name="Normal 114 2 2" xfId="3618" xr:uid="{00000000-0005-0000-0000-000068090000}"/>
    <cellStyle name="Normal 114 3" xfId="2398" xr:uid="{00000000-0005-0000-0000-000069090000}"/>
    <cellStyle name="Normal 114 5 3 3" xfId="3619" xr:uid="{00000000-0005-0000-0000-00006A090000}"/>
    <cellStyle name="Normal 115" xfId="2399" xr:uid="{00000000-0005-0000-0000-00006B090000}"/>
    <cellStyle name="Normal 116" xfId="2400" xr:uid="{00000000-0005-0000-0000-00006C090000}"/>
    <cellStyle name="Normal 117" xfId="2401" xr:uid="{00000000-0005-0000-0000-00006D090000}"/>
    <cellStyle name="Normal 118" xfId="2402" xr:uid="{00000000-0005-0000-0000-00006E090000}"/>
    <cellStyle name="Normal 119" xfId="2403" xr:uid="{00000000-0005-0000-0000-00006F090000}"/>
    <cellStyle name="Normal 12" xfId="2404" xr:uid="{00000000-0005-0000-0000-000070090000}"/>
    <cellStyle name="Normal 12 2" xfId="2405" xr:uid="{00000000-0005-0000-0000-000071090000}"/>
    <cellStyle name="Normal 12_SUMMARY RC9 (1..." xfId="2406" xr:uid="{00000000-0005-0000-0000-000072090000}"/>
    <cellStyle name="Normal 120" xfId="2407" xr:uid="{00000000-0005-0000-0000-000073090000}"/>
    <cellStyle name="Normal 121" xfId="2408" xr:uid="{00000000-0005-0000-0000-000074090000}"/>
    <cellStyle name="Normal 121 2 2" xfId="3593" xr:uid="{00000000-0005-0000-0000-000075090000}"/>
    <cellStyle name="Normal 121 2 2 2" xfId="3598" xr:uid="{00000000-0005-0000-0000-000076090000}"/>
    <cellStyle name="Normal 121 5 2" xfId="3599" xr:uid="{00000000-0005-0000-0000-000077090000}"/>
    <cellStyle name="Normal 121 6" xfId="3600" xr:uid="{00000000-0005-0000-0000-000078090000}"/>
    <cellStyle name="Normal 122" xfId="2409" xr:uid="{00000000-0005-0000-0000-000079090000}"/>
    <cellStyle name="Normal 123" xfId="2410" xr:uid="{00000000-0005-0000-0000-00007A090000}"/>
    <cellStyle name="Normal 123 2" xfId="3616" xr:uid="{00000000-0005-0000-0000-00007B090000}"/>
    <cellStyle name="Normal 124" xfId="2411" xr:uid="{00000000-0005-0000-0000-00007C090000}"/>
    <cellStyle name="Normal 124 2" xfId="3622" xr:uid="{00000000-0005-0000-0000-00007D090000}"/>
    <cellStyle name="Normal 13" xfId="2412" xr:uid="{00000000-0005-0000-0000-00007E090000}"/>
    <cellStyle name="Normal 13 2" xfId="2413" xr:uid="{00000000-0005-0000-0000-00007F090000}"/>
    <cellStyle name="Normal 13_SUMMARY RC9 (1..." xfId="2414" xr:uid="{00000000-0005-0000-0000-000080090000}"/>
    <cellStyle name="Normal 14" xfId="2415" xr:uid="{00000000-0005-0000-0000-000081090000}"/>
    <cellStyle name="Normal 14 2" xfId="2416" xr:uid="{00000000-0005-0000-0000-000082090000}"/>
    <cellStyle name="Normal 14_SUMMARY RC9 (1..." xfId="2417" xr:uid="{00000000-0005-0000-0000-000083090000}"/>
    <cellStyle name="Normal 15" xfId="2418" xr:uid="{00000000-0005-0000-0000-000084090000}"/>
    <cellStyle name="Normal 15 2" xfId="2419" xr:uid="{00000000-0005-0000-0000-000085090000}"/>
    <cellStyle name="Normal 15_SUMMARY RC9 (1..." xfId="2420" xr:uid="{00000000-0005-0000-0000-000086090000}"/>
    <cellStyle name="Normal 16" xfId="2421" xr:uid="{00000000-0005-0000-0000-000087090000}"/>
    <cellStyle name="Normal 16 2" xfId="2422" xr:uid="{00000000-0005-0000-0000-000088090000}"/>
    <cellStyle name="Normal 16_SUMMARY RC9 (1..." xfId="2423" xr:uid="{00000000-0005-0000-0000-000089090000}"/>
    <cellStyle name="Normal 17" xfId="2424" xr:uid="{00000000-0005-0000-0000-00008A090000}"/>
    <cellStyle name="Normal 17 2" xfId="2425" xr:uid="{00000000-0005-0000-0000-00008B090000}"/>
    <cellStyle name="Normal 17_SUMMARY RC9 (1..." xfId="2426" xr:uid="{00000000-0005-0000-0000-00008C090000}"/>
    <cellStyle name="Normal 18" xfId="2427" xr:uid="{00000000-0005-0000-0000-00008D090000}"/>
    <cellStyle name="Normal 18 2" xfId="2428" xr:uid="{00000000-0005-0000-0000-00008E090000}"/>
    <cellStyle name="Normal 18_SUMMARY RC9 (1..." xfId="2429" xr:uid="{00000000-0005-0000-0000-00008F090000}"/>
    <cellStyle name="Normal 19" xfId="2430" xr:uid="{00000000-0005-0000-0000-000090090000}"/>
    <cellStyle name="Normal 19 2" xfId="2431" xr:uid="{00000000-0005-0000-0000-000091090000}"/>
    <cellStyle name="Normal 19_SUMMARY RC9 (1..." xfId="2432" xr:uid="{00000000-0005-0000-0000-000092090000}"/>
    <cellStyle name="Normal 2" xfId="2433" xr:uid="{00000000-0005-0000-0000-000093090000}"/>
    <cellStyle name="Normal 2 10" xfId="2434" xr:uid="{00000000-0005-0000-0000-000094090000}"/>
    <cellStyle name="Normal 2 10 2" xfId="3620" xr:uid="{00000000-0005-0000-0000-000095090000}"/>
    <cellStyle name="Normal 2 11" xfId="2435" xr:uid="{00000000-0005-0000-0000-000096090000}"/>
    <cellStyle name="Normal 2 12" xfId="2436" xr:uid="{00000000-0005-0000-0000-000097090000}"/>
    <cellStyle name="Normal 2 13" xfId="2437" xr:uid="{00000000-0005-0000-0000-000098090000}"/>
    <cellStyle name="Normal 2 14" xfId="2438" xr:uid="{00000000-0005-0000-0000-000099090000}"/>
    <cellStyle name="Normal 2 15" xfId="2439" xr:uid="{00000000-0005-0000-0000-00009A090000}"/>
    <cellStyle name="Normal 2 16" xfId="2440" xr:uid="{00000000-0005-0000-0000-00009B090000}"/>
    <cellStyle name="Normal 2 17" xfId="2441" xr:uid="{00000000-0005-0000-0000-00009C090000}"/>
    <cellStyle name="Normal 2 18" xfId="2442" xr:uid="{00000000-0005-0000-0000-00009D090000}"/>
    <cellStyle name="Normal 2 19" xfId="2443" xr:uid="{00000000-0005-0000-0000-00009E090000}"/>
    <cellStyle name="Normal 2 2" xfId="2444" xr:uid="{00000000-0005-0000-0000-00009F090000}"/>
    <cellStyle name="Normal 2 2 2" xfId="2445" xr:uid="{00000000-0005-0000-0000-0000A0090000}"/>
    <cellStyle name="Normal 2 2 3" xfId="2446" xr:uid="{00000000-0005-0000-0000-0000A1090000}"/>
    <cellStyle name="Normal 2 2 4" xfId="2447" xr:uid="{00000000-0005-0000-0000-0000A2090000}"/>
    <cellStyle name="Normal 2 2 4 2" xfId="3597" xr:uid="{00000000-0005-0000-0000-0000A3090000}"/>
    <cellStyle name="Normal 2 20" xfId="2448" xr:uid="{00000000-0005-0000-0000-0000A4090000}"/>
    <cellStyle name="Normal 2 21" xfId="2449" xr:uid="{00000000-0005-0000-0000-0000A5090000}"/>
    <cellStyle name="Normal 2 22" xfId="2450" xr:uid="{00000000-0005-0000-0000-0000A6090000}"/>
    <cellStyle name="Normal 2 23" xfId="2451" xr:uid="{00000000-0005-0000-0000-0000A7090000}"/>
    <cellStyle name="Normal 2 24" xfId="2452" xr:uid="{00000000-0005-0000-0000-0000A8090000}"/>
    <cellStyle name="Normal 2 25" xfId="2453" xr:uid="{00000000-0005-0000-0000-0000A9090000}"/>
    <cellStyle name="Normal 2 26" xfId="2454" xr:uid="{00000000-0005-0000-0000-0000AA090000}"/>
    <cellStyle name="Normal 2 27" xfId="2455" xr:uid="{00000000-0005-0000-0000-0000AB090000}"/>
    <cellStyle name="Normal 2 28" xfId="2456" xr:uid="{00000000-0005-0000-0000-0000AC090000}"/>
    <cellStyle name="Normal 2 29" xfId="2457" xr:uid="{00000000-0005-0000-0000-0000AD090000}"/>
    <cellStyle name="Normal 2 3" xfId="2458" xr:uid="{00000000-0005-0000-0000-0000AE090000}"/>
    <cellStyle name="Normal 2 3 2" xfId="2459" xr:uid="{00000000-0005-0000-0000-0000AF090000}"/>
    <cellStyle name="Normal 2 3 2 2" xfId="3606" xr:uid="{00000000-0005-0000-0000-0000B0090000}"/>
    <cellStyle name="Normal 2 30" xfId="2460" xr:uid="{00000000-0005-0000-0000-0000B1090000}"/>
    <cellStyle name="Normal 2 31" xfId="2461" xr:uid="{00000000-0005-0000-0000-0000B2090000}"/>
    <cellStyle name="Normal 2 32" xfId="2462" xr:uid="{00000000-0005-0000-0000-0000B3090000}"/>
    <cellStyle name="Normal 2 33" xfId="2463" xr:uid="{00000000-0005-0000-0000-0000B4090000}"/>
    <cellStyle name="Normal 2 34" xfId="2464" xr:uid="{00000000-0005-0000-0000-0000B5090000}"/>
    <cellStyle name="Normal 2 35" xfId="2465" xr:uid="{00000000-0005-0000-0000-0000B6090000}"/>
    <cellStyle name="Normal 2 36" xfId="2466" xr:uid="{00000000-0005-0000-0000-0000B7090000}"/>
    <cellStyle name="Normal 2 37" xfId="2467" xr:uid="{00000000-0005-0000-0000-0000B8090000}"/>
    <cellStyle name="Normal 2 38" xfId="2468" xr:uid="{00000000-0005-0000-0000-0000B9090000}"/>
    <cellStyle name="Normal 2 39" xfId="2469" xr:uid="{00000000-0005-0000-0000-0000BA090000}"/>
    <cellStyle name="Normal 2 4" xfId="2470" xr:uid="{00000000-0005-0000-0000-0000BB090000}"/>
    <cellStyle name="Normal 2 40" xfId="2471" xr:uid="{00000000-0005-0000-0000-0000BC090000}"/>
    <cellStyle name="Normal 2 41" xfId="2472" xr:uid="{00000000-0005-0000-0000-0000BD090000}"/>
    <cellStyle name="Normal 2 42" xfId="2473" xr:uid="{00000000-0005-0000-0000-0000BE090000}"/>
    <cellStyle name="Normal 2 43" xfId="2474" xr:uid="{00000000-0005-0000-0000-0000BF090000}"/>
    <cellStyle name="Normal 2 44" xfId="2475" xr:uid="{00000000-0005-0000-0000-0000C0090000}"/>
    <cellStyle name="Normal 2 45" xfId="2476" xr:uid="{00000000-0005-0000-0000-0000C1090000}"/>
    <cellStyle name="Normal 2 46" xfId="2477" xr:uid="{00000000-0005-0000-0000-0000C2090000}"/>
    <cellStyle name="Normal 2 47" xfId="2478" xr:uid="{00000000-0005-0000-0000-0000C3090000}"/>
    <cellStyle name="Normal 2 48" xfId="2479" xr:uid="{00000000-0005-0000-0000-0000C4090000}"/>
    <cellStyle name="Normal 2 49" xfId="2480" xr:uid="{00000000-0005-0000-0000-0000C5090000}"/>
    <cellStyle name="Normal 2 5" xfId="2481" xr:uid="{00000000-0005-0000-0000-0000C6090000}"/>
    <cellStyle name="Normal 2 50" xfId="2482" xr:uid="{00000000-0005-0000-0000-0000C7090000}"/>
    <cellStyle name="Normal 2 51" xfId="2483" xr:uid="{00000000-0005-0000-0000-0000C8090000}"/>
    <cellStyle name="Normal 2 52" xfId="2484" xr:uid="{00000000-0005-0000-0000-0000C9090000}"/>
    <cellStyle name="Normal 2 53" xfId="2485" xr:uid="{00000000-0005-0000-0000-0000CA090000}"/>
    <cellStyle name="Normal 2 54" xfId="2486" xr:uid="{00000000-0005-0000-0000-0000CB090000}"/>
    <cellStyle name="Normal 2 55" xfId="2487" xr:uid="{00000000-0005-0000-0000-0000CC090000}"/>
    <cellStyle name="Normal 2 56" xfId="2488" xr:uid="{00000000-0005-0000-0000-0000CD090000}"/>
    <cellStyle name="Normal 2 57" xfId="2489" xr:uid="{00000000-0005-0000-0000-0000CE090000}"/>
    <cellStyle name="Normal 2 58" xfId="2490" xr:uid="{00000000-0005-0000-0000-0000CF090000}"/>
    <cellStyle name="Normal 2 59" xfId="2491" xr:uid="{00000000-0005-0000-0000-0000D0090000}"/>
    <cellStyle name="Normal 2 6" xfId="2492" xr:uid="{00000000-0005-0000-0000-0000D1090000}"/>
    <cellStyle name="Normal 2 60" xfId="2493" xr:uid="{00000000-0005-0000-0000-0000D2090000}"/>
    <cellStyle name="Normal 2 61" xfId="2494" xr:uid="{00000000-0005-0000-0000-0000D3090000}"/>
    <cellStyle name="Normal 2 62" xfId="2495" xr:uid="{00000000-0005-0000-0000-0000D4090000}"/>
    <cellStyle name="Normal 2 63" xfId="2496" xr:uid="{00000000-0005-0000-0000-0000D5090000}"/>
    <cellStyle name="Normal 2 64" xfId="2497" xr:uid="{00000000-0005-0000-0000-0000D6090000}"/>
    <cellStyle name="Normal 2 65" xfId="3607" xr:uid="{00000000-0005-0000-0000-0000D7090000}"/>
    <cellStyle name="Normal 2 65 2" xfId="3602" xr:uid="{00000000-0005-0000-0000-0000D8090000}"/>
    <cellStyle name="Normal 2 7" xfId="2498" xr:uid="{00000000-0005-0000-0000-0000D9090000}"/>
    <cellStyle name="Normal 2 8" xfId="2499" xr:uid="{00000000-0005-0000-0000-0000DA090000}"/>
    <cellStyle name="Normal 2 9" xfId="2500" xr:uid="{00000000-0005-0000-0000-0000DB090000}"/>
    <cellStyle name="Normal 20" xfId="2501" xr:uid="{00000000-0005-0000-0000-0000DC090000}"/>
    <cellStyle name="Normal 20 2" xfId="2502" xr:uid="{00000000-0005-0000-0000-0000DD090000}"/>
    <cellStyle name="Normal 20_SUMMARY RC9 (1..." xfId="2503" xr:uid="{00000000-0005-0000-0000-0000DE090000}"/>
    <cellStyle name="Normal 21" xfId="2504" xr:uid="{00000000-0005-0000-0000-0000DF090000}"/>
    <cellStyle name="Normal 21 2" xfId="2505" xr:uid="{00000000-0005-0000-0000-0000E0090000}"/>
    <cellStyle name="Normal 21_SUMMARY RC9 (1..." xfId="2506" xr:uid="{00000000-0005-0000-0000-0000E1090000}"/>
    <cellStyle name="Normal 22" xfId="2507" xr:uid="{00000000-0005-0000-0000-0000E2090000}"/>
    <cellStyle name="Normal 22 2" xfId="2508" xr:uid="{00000000-0005-0000-0000-0000E3090000}"/>
    <cellStyle name="Normal 22_SUMMARY RC9 (1..." xfId="2509" xr:uid="{00000000-0005-0000-0000-0000E4090000}"/>
    <cellStyle name="Normal 23" xfId="2510" xr:uid="{00000000-0005-0000-0000-0000E5090000}"/>
    <cellStyle name="Normal 23 2" xfId="2511" xr:uid="{00000000-0005-0000-0000-0000E6090000}"/>
    <cellStyle name="Normal 23_SUMMARY RC9 (1..." xfId="2512" xr:uid="{00000000-0005-0000-0000-0000E7090000}"/>
    <cellStyle name="Normal 24" xfId="2513" xr:uid="{00000000-0005-0000-0000-0000E8090000}"/>
    <cellStyle name="Normal 24 2" xfId="2514" xr:uid="{00000000-0005-0000-0000-0000E9090000}"/>
    <cellStyle name="Normal 24_SUMMARY RC9 (1..." xfId="2515" xr:uid="{00000000-0005-0000-0000-0000EA090000}"/>
    <cellStyle name="Normal 25" xfId="2516" xr:uid="{00000000-0005-0000-0000-0000EB090000}"/>
    <cellStyle name="Normal 25 2" xfId="2517" xr:uid="{00000000-0005-0000-0000-0000EC090000}"/>
    <cellStyle name="Normal 25_SUMMARY RC9 (1..." xfId="2518" xr:uid="{00000000-0005-0000-0000-0000ED090000}"/>
    <cellStyle name="Normal 26" xfId="2519" xr:uid="{00000000-0005-0000-0000-0000EE090000}"/>
    <cellStyle name="Normal 26 2" xfId="2520" xr:uid="{00000000-0005-0000-0000-0000EF090000}"/>
    <cellStyle name="Normal 26_SUMMARY RC9 (1..." xfId="2521" xr:uid="{00000000-0005-0000-0000-0000F0090000}"/>
    <cellStyle name="Normal 27" xfId="2522" xr:uid="{00000000-0005-0000-0000-0000F1090000}"/>
    <cellStyle name="Normal 27 2" xfId="2523" xr:uid="{00000000-0005-0000-0000-0000F2090000}"/>
    <cellStyle name="Normal 27_SUMMARY RC9 (1..." xfId="2524" xr:uid="{00000000-0005-0000-0000-0000F3090000}"/>
    <cellStyle name="Normal 28" xfId="2525" xr:uid="{00000000-0005-0000-0000-0000F4090000}"/>
    <cellStyle name="Normal 28 2" xfId="2526" xr:uid="{00000000-0005-0000-0000-0000F5090000}"/>
    <cellStyle name="Normal 28_SUMMARY RC9 (1..." xfId="2527" xr:uid="{00000000-0005-0000-0000-0000F6090000}"/>
    <cellStyle name="Normal 29" xfId="2528" xr:uid="{00000000-0005-0000-0000-0000F7090000}"/>
    <cellStyle name="Normal 29 2" xfId="2529" xr:uid="{00000000-0005-0000-0000-0000F8090000}"/>
    <cellStyle name="Normal 29_SUMMARY RC9 (1..." xfId="2530" xr:uid="{00000000-0005-0000-0000-0000F9090000}"/>
    <cellStyle name="Normal 3" xfId="2531" xr:uid="{00000000-0005-0000-0000-0000FA090000}"/>
    <cellStyle name="Normal 3 10" xfId="2532" xr:uid="{00000000-0005-0000-0000-0000FB090000}"/>
    <cellStyle name="Normal 3 11" xfId="2533" xr:uid="{00000000-0005-0000-0000-0000FC090000}"/>
    <cellStyle name="Normal 3 12" xfId="2534" xr:uid="{00000000-0005-0000-0000-0000FD090000}"/>
    <cellStyle name="Normal 3 13" xfId="2535" xr:uid="{00000000-0005-0000-0000-0000FE090000}"/>
    <cellStyle name="Normal 3 14" xfId="2536" xr:uid="{00000000-0005-0000-0000-0000FF090000}"/>
    <cellStyle name="Normal 3 15" xfId="2537" xr:uid="{00000000-0005-0000-0000-0000000A0000}"/>
    <cellStyle name="Normal 3 16" xfId="2538" xr:uid="{00000000-0005-0000-0000-0000010A0000}"/>
    <cellStyle name="Normal 3 17" xfId="2539" xr:uid="{00000000-0005-0000-0000-0000020A0000}"/>
    <cellStyle name="Normal 3 18" xfId="2540" xr:uid="{00000000-0005-0000-0000-0000030A0000}"/>
    <cellStyle name="Normal 3 19" xfId="2541" xr:uid="{00000000-0005-0000-0000-0000040A0000}"/>
    <cellStyle name="Normal 3 2" xfId="2542" xr:uid="{00000000-0005-0000-0000-0000050A0000}"/>
    <cellStyle name="Normal 3 2 10" xfId="2543" xr:uid="{00000000-0005-0000-0000-0000060A0000}"/>
    <cellStyle name="Normal 3 2 2" xfId="2544" xr:uid="{00000000-0005-0000-0000-0000070A0000}"/>
    <cellStyle name="Normal 3 2 2 2" xfId="2545" xr:uid="{00000000-0005-0000-0000-0000080A0000}"/>
    <cellStyle name="Normal 3 2 2 3" xfId="2546" xr:uid="{00000000-0005-0000-0000-0000090A0000}"/>
    <cellStyle name="Normal 3 2 2 4" xfId="2547" xr:uid="{00000000-0005-0000-0000-00000A0A0000}"/>
    <cellStyle name="Normal 3 2 2 5" xfId="2548" xr:uid="{00000000-0005-0000-0000-00000B0A0000}"/>
    <cellStyle name="Normal 3 2 2 6" xfId="2549" xr:uid="{00000000-0005-0000-0000-00000C0A0000}"/>
    <cellStyle name="Normal 3 2 2 7" xfId="2550" xr:uid="{00000000-0005-0000-0000-00000D0A0000}"/>
    <cellStyle name="Normal 3 2 2 8" xfId="2551" xr:uid="{00000000-0005-0000-0000-00000E0A0000}"/>
    <cellStyle name="Normal 3 2 2 9" xfId="2552" xr:uid="{00000000-0005-0000-0000-00000F0A0000}"/>
    <cellStyle name="Normal 3 2 3" xfId="2553" xr:uid="{00000000-0005-0000-0000-0000100A0000}"/>
    <cellStyle name="Normal 3 2 4" xfId="2554" xr:uid="{00000000-0005-0000-0000-0000110A0000}"/>
    <cellStyle name="Normal 3 2 5" xfId="2555" xr:uid="{00000000-0005-0000-0000-0000120A0000}"/>
    <cellStyle name="Normal 3 2 6" xfId="2556" xr:uid="{00000000-0005-0000-0000-0000130A0000}"/>
    <cellStyle name="Normal 3 2 7" xfId="2557" xr:uid="{00000000-0005-0000-0000-0000140A0000}"/>
    <cellStyle name="Normal 3 2 8" xfId="2558" xr:uid="{00000000-0005-0000-0000-0000150A0000}"/>
    <cellStyle name="Normal 3 2 9" xfId="2559" xr:uid="{00000000-0005-0000-0000-0000160A0000}"/>
    <cellStyle name="Normal 3 3" xfId="2560" xr:uid="{00000000-0005-0000-0000-0000170A0000}"/>
    <cellStyle name="Normal 3 4" xfId="2561" xr:uid="{00000000-0005-0000-0000-0000180A0000}"/>
    <cellStyle name="Normal 3 5" xfId="2562" xr:uid="{00000000-0005-0000-0000-0000190A0000}"/>
    <cellStyle name="Normal 3 6" xfId="2563" xr:uid="{00000000-0005-0000-0000-00001A0A0000}"/>
    <cellStyle name="Normal 3 7" xfId="2564" xr:uid="{00000000-0005-0000-0000-00001B0A0000}"/>
    <cellStyle name="Normal 3 8" xfId="2565" xr:uid="{00000000-0005-0000-0000-00001C0A0000}"/>
    <cellStyle name="Normal 3 9" xfId="2566" xr:uid="{00000000-0005-0000-0000-00001D0A0000}"/>
    <cellStyle name="Normal 3_MSF SUMMARY" xfId="2567" xr:uid="{00000000-0005-0000-0000-00001E0A0000}"/>
    <cellStyle name="Normal 3_MSF SUMMARY 3" xfId="3612" xr:uid="{00000000-0005-0000-0000-00001F0A0000}"/>
    <cellStyle name="Normal 30" xfId="2568" xr:uid="{00000000-0005-0000-0000-0000200A0000}"/>
    <cellStyle name="Normal 30 2" xfId="2569" xr:uid="{00000000-0005-0000-0000-0000210A0000}"/>
    <cellStyle name="Normal 30_SUMMARY RC9 (1..." xfId="2570" xr:uid="{00000000-0005-0000-0000-0000220A0000}"/>
    <cellStyle name="Normal 31" xfId="2571" xr:uid="{00000000-0005-0000-0000-0000230A0000}"/>
    <cellStyle name="Normal 31 2" xfId="2572" xr:uid="{00000000-0005-0000-0000-0000240A0000}"/>
    <cellStyle name="Normal 31_SUMMARY RC9 (1..." xfId="2573" xr:uid="{00000000-0005-0000-0000-0000250A0000}"/>
    <cellStyle name="Normal 32" xfId="2574" xr:uid="{00000000-0005-0000-0000-0000260A0000}"/>
    <cellStyle name="Normal 32 2" xfId="2575" xr:uid="{00000000-0005-0000-0000-0000270A0000}"/>
    <cellStyle name="Normal 32_SUMMARY RC9 (1..." xfId="2576" xr:uid="{00000000-0005-0000-0000-0000280A0000}"/>
    <cellStyle name="Normal 33" xfId="2577" xr:uid="{00000000-0005-0000-0000-0000290A0000}"/>
    <cellStyle name="Normal 33 2" xfId="2578" xr:uid="{00000000-0005-0000-0000-00002A0A0000}"/>
    <cellStyle name="Normal 33_SUMMARY RC9 (1..." xfId="2579" xr:uid="{00000000-0005-0000-0000-00002B0A0000}"/>
    <cellStyle name="Normal 34" xfId="2580" xr:uid="{00000000-0005-0000-0000-00002C0A0000}"/>
    <cellStyle name="Normal 34 2" xfId="2581" xr:uid="{00000000-0005-0000-0000-00002D0A0000}"/>
    <cellStyle name="Normal 34 2 2" xfId="3604" xr:uid="{00000000-0005-0000-0000-00002E0A0000}"/>
    <cellStyle name="Normal 35" xfId="2582" xr:uid="{00000000-0005-0000-0000-00002F0A0000}"/>
    <cellStyle name="Normal 36" xfId="2583" xr:uid="{00000000-0005-0000-0000-0000300A0000}"/>
    <cellStyle name="Normal 37" xfId="2584" xr:uid="{00000000-0005-0000-0000-0000310A0000}"/>
    <cellStyle name="Normal 38" xfId="2585" xr:uid="{00000000-0005-0000-0000-0000320A0000}"/>
    <cellStyle name="Normal 39" xfId="2586" xr:uid="{00000000-0005-0000-0000-0000330A0000}"/>
    <cellStyle name="Normal 4" xfId="2587" xr:uid="{00000000-0005-0000-0000-0000340A0000}"/>
    <cellStyle name="Normal 4 2" xfId="2588" xr:uid="{00000000-0005-0000-0000-0000350A0000}"/>
    <cellStyle name="Normal 4 2 2" xfId="2589" xr:uid="{00000000-0005-0000-0000-0000360A0000}"/>
    <cellStyle name="Normal 4 2 2 2" xfId="2590" xr:uid="{00000000-0005-0000-0000-0000370A0000}"/>
    <cellStyle name="Normal 4 2 2 2 2" xfId="2591" xr:uid="{00000000-0005-0000-0000-0000380A0000}"/>
    <cellStyle name="Normal 4 2 2 2 3" xfId="2592" xr:uid="{00000000-0005-0000-0000-0000390A0000}"/>
    <cellStyle name="Normal 4 2 2 3" xfId="2593" xr:uid="{00000000-0005-0000-0000-00003A0A0000}"/>
    <cellStyle name="Normal 4 2 2 7" xfId="3611" xr:uid="{00000000-0005-0000-0000-00003B0A0000}"/>
    <cellStyle name="Normal 4 2 3" xfId="2594" xr:uid="{00000000-0005-0000-0000-00003C0A0000}"/>
    <cellStyle name="Normal 4 2 3 2" xfId="2595" xr:uid="{00000000-0005-0000-0000-00003D0A0000}"/>
    <cellStyle name="Normal 4 2 3 2 2" xfId="2596" xr:uid="{00000000-0005-0000-0000-00003E0A0000}"/>
    <cellStyle name="Normal 4 2 3 3" xfId="2597" xr:uid="{00000000-0005-0000-0000-00003F0A0000}"/>
    <cellStyle name="Normal 4 2 3 3 2" xfId="2598" xr:uid="{00000000-0005-0000-0000-0000400A0000}"/>
    <cellStyle name="Normal 4 2 3 4" xfId="2599" xr:uid="{00000000-0005-0000-0000-0000410A0000}"/>
    <cellStyle name="Normal 4 2 4" xfId="2600" xr:uid="{00000000-0005-0000-0000-0000420A0000}"/>
    <cellStyle name="Normal 4 2 5" xfId="2601" xr:uid="{00000000-0005-0000-0000-0000430A0000}"/>
    <cellStyle name="Normal 4 2 6" xfId="2602" xr:uid="{00000000-0005-0000-0000-0000440A0000}"/>
    <cellStyle name="Normal 4 2 6 2" xfId="3608" xr:uid="{00000000-0005-0000-0000-0000450A0000}"/>
    <cellStyle name="Normal 4 2 7" xfId="3610" xr:uid="{00000000-0005-0000-0000-0000460A0000}"/>
    <cellStyle name="Normal 4 2 7 2" xfId="3613" xr:uid="{00000000-0005-0000-0000-0000470A0000}"/>
    <cellStyle name="Normal 4 3" xfId="2603" xr:uid="{00000000-0005-0000-0000-0000480A0000}"/>
    <cellStyle name="Normal 4 3 2" xfId="2604" xr:uid="{00000000-0005-0000-0000-0000490A0000}"/>
    <cellStyle name="Normal 4 3 2 2" xfId="2605" xr:uid="{00000000-0005-0000-0000-00004A0A0000}"/>
    <cellStyle name="Normal 4 3 2 3" xfId="2606" xr:uid="{00000000-0005-0000-0000-00004B0A0000}"/>
    <cellStyle name="Normal 4 3 3" xfId="2607" xr:uid="{00000000-0005-0000-0000-00004C0A0000}"/>
    <cellStyle name="Normal 4 4" xfId="2608" xr:uid="{00000000-0005-0000-0000-00004D0A0000}"/>
    <cellStyle name="Normal 4 5" xfId="2609" xr:uid="{00000000-0005-0000-0000-00004E0A0000}"/>
    <cellStyle name="Normal 4 6" xfId="2610" xr:uid="{00000000-0005-0000-0000-00004F0A0000}"/>
    <cellStyle name="Normal 4 7" xfId="2611" xr:uid="{00000000-0005-0000-0000-0000500A0000}"/>
    <cellStyle name="Normal 4_BAO CAO NDT MSP10" xfId="2612" xr:uid="{00000000-0005-0000-0000-0000510A0000}"/>
    <cellStyle name="Normal 40" xfId="2613" xr:uid="{00000000-0005-0000-0000-0000520A0000}"/>
    <cellStyle name="Normal 41" xfId="2614" xr:uid="{00000000-0005-0000-0000-0000530A0000}"/>
    <cellStyle name="Normal 42" xfId="2615" xr:uid="{00000000-0005-0000-0000-0000540A0000}"/>
    <cellStyle name="Normal 43" xfId="2616" xr:uid="{00000000-0005-0000-0000-0000550A0000}"/>
    <cellStyle name="Normal 44" xfId="2617" xr:uid="{00000000-0005-0000-0000-0000560A0000}"/>
    <cellStyle name="Normal 45" xfId="2618" xr:uid="{00000000-0005-0000-0000-0000570A0000}"/>
    <cellStyle name="Normal 46" xfId="2619" xr:uid="{00000000-0005-0000-0000-0000580A0000}"/>
    <cellStyle name="Normal 47" xfId="2620" xr:uid="{00000000-0005-0000-0000-0000590A0000}"/>
    <cellStyle name="Normal 48" xfId="2621" xr:uid="{00000000-0005-0000-0000-00005A0A0000}"/>
    <cellStyle name="Normal 49" xfId="2622" xr:uid="{00000000-0005-0000-0000-00005B0A0000}"/>
    <cellStyle name="Normal 5" xfId="2623" xr:uid="{00000000-0005-0000-0000-00005C0A0000}"/>
    <cellStyle name="Normal 5 2" xfId="2624" xr:uid="{00000000-0005-0000-0000-00005D0A0000}"/>
    <cellStyle name="Normal 5 3" xfId="2625" xr:uid="{00000000-0005-0000-0000-00005E0A0000}"/>
    <cellStyle name="Normal 5_SUMMARY RC9 (1..." xfId="2626" xr:uid="{00000000-0005-0000-0000-00005F0A0000}"/>
    <cellStyle name="Normal 50" xfId="2627" xr:uid="{00000000-0005-0000-0000-0000600A0000}"/>
    <cellStyle name="Normal 51" xfId="2628" xr:uid="{00000000-0005-0000-0000-0000610A0000}"/>
    <cellStyle name="Normal 52" xfId="2629" xr:uid="{00000000-0005-0000-0000-0000620A0000}"/>
    <cellStyle name="Normal 53" xfId="2630" xr:uid="{00000000-0005-0000-0000-0000630A0000}"/>
    <cellStyle name="Normal 54" xfId="2631" xr:uid="{00000000-0005-0000-0000-0000640A0000}"/>
    <cellStyle name="Normal 55" xfId="2632" xr:uid="{00000000-0005-0000-0000-0000650A0000}"/>
    <cellStyle name="Normal 56" xfId="2633" xr:uid="{00000000-0005-0000-0000-0000660A0000}"/>
    <cellStyle name="Normal 56 2" xfId="2634" xr:uid="{00000000-0005-0000-0000-0000670A0000}"/>
    <cellStyle name="Normal 57" xfId="2635" xr:uid="{00000000-0005-0000-0000-0000680A0000}"/>
    <cellStyle name="Normal 58" xfId="2636" xr:uid="{00000000-0005-0000-0000-0000690A0000}"/>
    <cellStyle name="Normal 59" xfId="2637" xr:uid="{00000000-0005-0000-0000-00006A0A0000}"/>
    <cellStyle name="Normal 59 2" xfId="2638" xr:uid="{00000000-0005-0000-0000-00006B0A0000}"/>
    <cellStyle name="Normal 6" xfId="2639" xr:uid="{00000000-0005-0000-0000-00006C0A0000}"/>
    <cellStyle name="Normal 6 2" xfId="2640" xr:uid="{00000000-0005-0000-0000-00006D0A0000}"/>
    <cellStyle name="Normal 6 3" xfId="2641" xr:uid="{00000000-0005-0000-0000-00006E0A0000}"/>
    <cellStyle name="Normal 6 4" xfId="2642" xr:uid="{00000000-0005-0000-0000-00006F0A0000}"/>
    <cellStyle name="Normal 6 5" xfId="2643" xr:uid="{00000000-0005-0000-0000-0000700A0000}"/>
    <cellStyle name="Normal 6_SUMMARY RC9 (1..." xfId="2644" xr:uid="{00000000-0005-0000-0000-0000710A0000}"/>
    <cellStyle name="Normal 60" xfId="2645" xr:uid="{00000000-0005-0000-0000-0000720A0000}"/>
    <cellStyle name="Normal 61" xfId="2646" xr:uid="{00000000-0005-0000-0000-0000730A0000}"/>
    <cellStyle name="Normal 62" xfId="2647" xr:uid="{00000000-0005-0000-0000-0000740A0000}"/>
    <cellStyle name="Normal 63" xfId="2648" xr:uid="{00000000-0005-0000-0000-0000750A0000}"/>
    <cellStyle name="Normal 64" xfId="2649" xr:uid="{00000000-0005-0000-0000-0000760A0000}"/>
    <cellStyle name="Normal 65" xfId="2650" xr:uid="{00000000-0005-0000-0000-0000770A0000}"/>
    <cellStyle name="Normal 66" xfId="2651" xr:uid="{00000000-0005-0000-0000-0000780A0000}"/>
    <cellStyle name="Normal 67" xfId="2652" xr:uid="{00000000-0005-0000-0000-0000790A0000}"/>
    <cellStyle name="Normal 68" xfId="2653" xr:uid="{00000000-0005-0000-0000-00007A0A0000}"/>
    <cellStyle name="Normal 69" xfId="2654" xr:uid="{00000000-0005-0000-0000-00007B0A0000}"/>
    <cellStyle name="Normal 7" xfId="2655" xr:uid="{00000000-0005-0000-0000-00007C0A0000}"/>
    <cellStyle name="Normal 7 2" xfId="2656" xr:uid="{00000000-0005-0000-0000-00007D0A0000}"/>
    <cellStyle name="Normal 7_SUMMARY RC9 (1..." xfId="2657" xr:uid="{00000000-0005-0000-0000-00007E0A0000}"/>
    <cellStyle name="Normal 70" xfId="2658" xr:uid="{00000000-0005-0000-0000-00007F0A0000}"/>
    <cellStyle name="Normal 71" xfId="2659" xr:uid="{00000000-0005-0000-0000-0000800A0000}"/>
    <cellStyle name="Normal 72" xfId="2660" xr:uid="{00000000-0005-0000-0000-0000810A0000}"/>
    <cellStyle name="Normal 73" xfId="2661" xr:uid="{00000000-0005-0000-0000-0000820A0000}"/>
    <cellStyle name="Normal 74" xfId="2662" xr:uid="{00000000-0005-0000-0000-0000830A0000}"/>
    <cellStyle name="Normal 75" xfId="2663" xr:uid="{00000000-0005-0000-0000-0000840A0000}"/>
    <cellStyle name="Normal 76" xfId="2664" xr:uid="{00000000-0005-0000-0000-0000850A0000}"/>
    <cellStyle name="Normal 77" xfId="2665" xr:uid="{00000000-0005-0000-0000-0000860A0000}"/>
    <cellStyle name="Normal 78" xfId="2666" xr:uid="{00000000-0005-0000-0000-0000870A0000}"/>
    <cellStyle name="Normal 79" xfId="2667" xr:uid="{00000000-0005-0000-0000-0000880A0000}"/>
    <cellStyle name="Normal 8" xfId="2668" xr:uid="{00000000-0005-0000-0000-0000890A0000}"/>
    <cellStyle name="Normal 8 2" xfId="2669" xr:uid="{00000000-0005-0000-0000-00008A0A0000}"/>
    <cellStyle name="Normal 8_SUMMARY RC9 (1..." xfId="2670" xr:uid="{00000000-0005-0000-0000-00008B0A0000}"/>
    <cellStyle name="Normal 80" xfId="2671" xr:uid="{00000000-0005-0000-0000-00008C0A0000}"/>
    <cellStyle name="Normal 81" xfId="2672" xr:uid="{00000000-0005-0000-0000-00008D0A0000}"/>
    <cellStyle name="Normal 82" xfId="2673" xr:uid="{00000000-0005-0000-0000-00008E0A0000}"/>
    <cellStyle name="Normal 83" xfId="2674" xr:uid="{00000000-0005-0000-0000-00008F0A0000}"/>
    <cellStyle name="Normal 83 2" xfId="2675" xr:uid="{00000000-0005-0000-0000-0000900A0000}"/>
    <cellStyle name="Normal 83_SUMMARY RC9 (1..." xfId="2676" xr:uid="{00000000-0005-0000-0000-0000910A0000}"/>
    <cellStyle name="Normal 84" xfId="2677" xr:uid="{00000000-0005-0000-0000-0000920A0000}"/>
    <cellStyle name="Normal 84 2" xfId="2678" xr:uid="{00000000-0005-0000-0000-0000930A0000}"/>
    <cellStyle name="Normal 84_SUMMARY RC9 (1..." xfId="2679" xr:uid="{00000000-0005-0000-0000-0000940A0000}"/>
    <cellStyle name="Normal 85" xfId="2680" xr:uid="{00000000-0005-0000-0000-0000950A0000}"/>
    <cellStyle name="Normal 85 2" xfId="2681" xr:uid="{00000000-0005-0000-0000-0000960A0000}"/>
    <cellStyle name="Normal 85_SUMMARY RC9 (1..." xfId="2682" xr:uid="{00000000-0005-0000-0000-0000970A0000}"/>
    <cellStyle name="Normal 86" xfId="2683" xr:uid="{00000000-0005-0000-0000-0000980A0000}"/>
    <cellStyle name="Normal 86 2" xfId="2684" xr:uid="{00000000-0005-0000-0000-0000990A0000}"/>
    <cellStyle name="Normal 86_SUMMARY RC9 (1..." xfId="2685" xr:uid="{00000000-0005-0000-0000-00009A0A0000}"/>
    <cellStyle name="Normal 87" xfId="2686" xr:uid="{00000000-0005-0000-0000-00009B0A0000}"/>
    <cellStyle name="Normal 87 2" xfId="2687" xr:uid="{00000000-0005-0000-0000-00009C0A0000}"/>
    <cellStyle name="Normal 87_SUMMARY RC9 (1..." xfId="2688" xr:uid="{00000000-0005-0000-0000-00009D0A0000}"/>
    <cellStyle name="Normal 88" xfId="2689" xr:uid="{00000000-0005-0000-0000-00009E0A0000}"/>
    <cellStyle name="Normal 88 2" xfId="2690" xr:uid="{00000000-0005-0000-0000-00009F0A0000}"/>
    <cellStyle name="Normal 88_SUMMARY RC9 (1..." xfId="2691" xr:uid="{00000000-0005-0000-0000-0000A00A0000}"/>
    <cellStyle name="Normal 89" xfId="2692" xr:uid="{00000000-0005-0000-0000-0000A10A0000}"/>
    <cellStyle name="Normal 89 2" xfId="2693" xr:uid="{00000000-0005-0000-0000-0000A20A0000}"/>
    <cellStyle name="Normal 89_SUMMARY RC9 (1..." xfId="2694" xr:uid="{00000000-0005-0000-0000-0000A30A0000}"/>
    <cellStyle name="Normal 9" xfId="2695" xr:uid="{00000000-0005-0000-0000-0000A40A0000}"/>
    <cellStyle name="Normal 9 2" xfId="2696" xr:uid="{00000000-0005-0000-0000-0000A50A0000}"/>
    <cellStyle name="Normal 9_SUMMARY RC9 (1..." xfId="2697" xr:uid="{00000000-0005-0000-0000-0000A60A0000}"/>
    <cellStyle name="Normal 90" xfId="2698" xr:uid="{00000000-0005-0000-0000-0000A70A0000}"/>
    <cellStyle name="Normal 90 2" xfId="2699" xr:uid="{00000000-0005-0000-0000-0000A80A0000}"/>
    <cellStyle name="Normal 90_SUMMARY RC9 (1..." xfId="2700" xr:uid="{00000000-0005-0000-0000-0000A90A0000}"/>
    <cellStyle name="Normal 91" xfId="2701" xr:uid="{00000000-0005-0000-0000-0000AA0A0000}"/>
    <cellStyle name="Normal 91 2" xfId="2702" xr:uid="{00000000-0005-0000-0000-0000AB0A0000}"/>
    <cellStyle name="Normal 91_SUMMARY RC9 (1..." xfId="2703" xr:uid="{00000000-0005-0000-0000-0000AC0A0000}"/>
    <cellStyle name="Normal 92" xfId="2704" xr:uid="{00000000-0005-0000-0000-0000AD0A0000}"/>
    <cellStyle name="Normal 92 2" xfId="2705" xr:uid="{00000000-0005-0000-0000-0000AE0A0000}"/>
    <cellStyle name="Normal 92_SUMMARY RC9 (1..." xfId="2706" xr:uid="{00000000-0005-0000-0000-0000AF0A0000}"/>
    <cellStyle name="Normal 93" xfId="2707" xr:uid="{00000000-0005-0000-0000-0000B00A0000}"/>
    <cellStyle name="Normal 93 2" xfId="2708" xr:uid="{00000000-0005-0000-0000-0000B10A0000}"/>
    <cellStyle name="Normal 93 3" xfId="2709" xr:uid="{00000000-0005-0000-0000-0000B20A0000}"/>
    <cellStyle name="Normal 93_SUMMARY RC9 (1..." xfId="2710" xr:uid="{00000000-0005-0000-0000-0000B30A0000}"/>
    <cellStyle name="Normal 94" xfId="2711" xr:uid="{00000000-0005-0000-0000-0000B40A0000}"/>
    <cellStyle name="Normal 94 2" xfId="2712" xr:uid="{00000000-0005-0000-0000-0000B50A0000}"/>
    <cellStyle name="Normal 94_SUMMARY RC9 (1..." xfId="2713" xr:uid="{00000000-0005-0000-0000-0000B60A0000}"/>
    <cellStyle name="Normal 95" xfId="2714" xr:uid="{00000000-0005-0000-0000-0000B70A0000}"/>
    <cellStyle name="Normal 96" xfId="2715" xr:uid="{00000000-0005-0000-0000-0000B80A0000}"/>
    <cellStyle name="Normal 97" xfId="2716" xr:uid="{00000000-0005-0000-0000-0000B90A0000}"/>
    <cellStyle name="Normal 98" xfId="2717" xr:uid="{00000000-0005-0000-0000-0000BA0A0000}"/>
    <cellStyle name="Normal 99" xfId="2718" xr:uid="{00000000-0005-0000-0000-0000BB0A0000}"/>
    <cellStyle name="Normal_Danh muc DWG" xfId="2719" xr:uid="{00000000-0005-0000-0000-0000BC0A0000}"/>
    <cellStyle name="Normal_MSF 001-015-_WELDING CONTROL CLPP RC7" xfId="2720" xr:uid="{00000000-0005-0000-0000-0000BD0A0000}"/>
    <cellStyle name="Normal_MSF 001-015-_WELDING CONTROL CLPP RC7 2" xfId="3615" xr:uid="{00000000-0005-0000-0000-0000BE0A0000}"/>
    <cellStyle name="Normal_MSF 001-015-_WELDING CONTROL CLPP RC7 3" xfId="3617" xr:uid="{00000000-0005-0000-0000-0000BF0A0000}"/>
    <cellStyle name="Normal_MSF 001-015-_WELDING CONTROL CLPP RC7 4" xfId="3609" xr:uid="{00000000-0005-0000-0000-0000C00A0000}"/>
    <cellStyle name="Normal1" xfId="2721" xr:uid="{00000000-0005-0000-0000-0000C10A0000}"/>
    <cellStyle name="Normal1 2" xfId="2722" xr:uid="{00000000-0005-0000-0000-0000C20A0000}"/>
    <cellStyle name="Normal1 3" xfId="2723" xr:uid="{00000000-0005-0000-0000-0000C30A0000}"/>
    <cellStyle name="Normal1_SUMMARY RC9 (1..." xfId="2724" xr:uid="{00000000-0005-0000-0000-0000C40A0000}"/>
    <cellStyle name="Normale_ PESO ELETTR." xfId="2725" xr:uid="{00000000-0005-0000-0000-0000C50A0000}"/>
    <cellStyle name="Normalny_Cennik obowiazuje od 06-08-2001 r (1)" xfId="2726" xr:uid="{00000000-0005-0000-0000-0000C60A0000}"/>
    <cellStyle name="Note 2" xfId="2727" xr:uid="{00000000-0005-0000-0000-0000C70A0000}"/>
    <cellStyle name="Note 2 2" xfId="2728" xr:uid="{00000000-0005-0000-0000-0000C80A0000}"/>
    <cellStyle name="Note 3" xfId="2729" xr:uid="{00000000-0005-0000-0000-0000C90A0000}"/>
    <cellStyle name="Œ…‹æØ‚è [0.00]_laroux" xfId="2730" xr:uid="{00000000-0005-0000-0000-0000CA0A0000}"/>
    <cellStyle name="Œ…‹æØ‚è_laroux" xfId="2731" xr:uid="{00000000-0005-0000-0000-0000CB0A0000}"/>
    <cellStyle name="oft Excel]_x000d__x000a_Comment=The open=/f lines load custom functions into the Paste Function list._x000d__x000a_Maximized=2_x000d__x000a_Basics=1_x000d__x000a_A" xfId="2732" xr:uid="{00000000-0005-0000-0000-0000CC0A0000}"/>
    <cellStyle name="oft Excel]_x000d__x000a_Comment=The open=/f lines load custom functions into the Paste Function list._x000d__x000a_Maximized=2_x000d__x000a_Basics=1_x000d__x000a_A 2" xfId="2733" xr:uid="{00000000-0005-0000-0000-0000CD0A0000}"/>
    <cellStyle name="oft Excel]_x000d__x000a_Comment=The open=/f lines load custom functions into the Paste Function list._x000d__x000a_Maximized=2_x000d__x000a_Basics=1_x000d__x000a_A 3" xfId="2734" xr:uid="{00000000-0005-0000-0000-0000CE0A0000}"/>
    <cellStyle name="oft Excel]_x000d__x000a_Comment=The open=/f lines load custom functions into the Paste Function list._x000d__x000a_Maximized=2_x000d__x000a_Basics=1_x000d__x000a_A_SUMMARY RC9 (1..." xfId="2735" xr:uid="{00000000-0005-0000-0000-0000CF0A0000}"/>
    <cellStyle name="oft Excel]_x000d__x000a_Comment=The open=/f lines load custom functions into the Paste Function list._x000d__x000a_Maximized=3_x000d__x000a_Basics=1_x000d__x000a_A" xfId="2736" xr:uid="{00000000-0005-0000-0000-0000D00A0000}"/>
    <cellStyle name="oft Excel]_x000d__x000a_Comment=The open=/f lines load custom functions into the Paste Function list._x000d__x000a_Maximized=3_x000d__x000a_Basics=1_x000d__x000a_A 2" xfId="2737" xr:uid="{00000000-0005-0000-0000-0000D10A0000}"/>
    <cellStyle name="oft Excel]_x000d__x000a_Comment=The open=/f lines load custom functions into the Paste Function list._x000d__x000a_Maximized=3_x000d__x000a_Basics=1_x000d__x000a_A 2 2" xfId="2738" xr:uid="{00000000-0005-0000-0000-0000D20A0000}"/>
    <cellStyle name="oft Excel]_x000d__x000a_Comment=The open=/f lines load custom functions into the Paste Function list._x000d__x000a_Maximized=3_x000d__x000a_Basics=1_x000d__x000a_A 2_SUMMARY RC9 (1..." xfId="2739" xr:uid="{00000000-0005-0000-0000-0000D30A0000}"/>
    <cellStyle name="oft Excel]_x000d__x000a_Comment=The open=/f lines load custom functions into the Paste Function list._x000d__x000a_Maximized=3_x000d__x000a_Basics=1_x000d__x000a_A 3" xfId="2740" xr:uid="{00000000-0005-0000-0000-0000D40A0000}"/>
    <cellStyle name="oft Excel]_x000d__x000a_Comment=The open=/f lines load custom functions into the Paste Function list._x000d__x000a_Maximized=3_x000d__x000a_Basics=1_x000d__x000a_A 4" xfId="2741" xr:uid="{00000000-0005-0000-0000-0000D50A0000}"/>
    <cellStyle name="omma [0]_Mktg Prog" xfId="2742" xr:uid="{00000000-0005-0000-0000-0000D60A0000}"/>
    <cellStyle name="ormal_Sheet1_1" xfId="2743" xr:uid="{00000000-0005-0000-0000-0000D70A0000}"/>
    <cellStyle name="Output 2" xfId="2744" xr:uid="{00000000-0005-0000-0000-0000D80A0000}"/>
    <cellStyle name="Output 2 2" xfId="2745" xr:uid="{00000000-0005-0000-0000-0000D90A0000}"/>
    <cellStyle name="Output 3" xfId="2746" xr:uid="{00000000-0005-0000-0000-0000DA0A0000}"/>
    <cellStyle name="Percent [2]" xfId="2747" xr:uid="{00000000-0005-0000-0000-0000DB0A0000}"/>
    <cellStyle name="Percent [2] 2" xfId="2748" xr:uid="{00000000-0005-0000-0000-0000DC0A0000}"/>
    <cellStyle name="Percent 2" xfId="2749" xr:uid="{00000000-0005-0000-0000-0000DD0A0000}"/>
    <cellStyle name="Percent 2 2" xfId="2750" xr:uid="{00000000-0005-0000-0000-0000DE0A0000}"/>
    <cellStyle name="RowLevel_0" xfId="2751" xr:uid="{00000000-0005-0000-0000-0000DF0A0000}"/>
    <cellStyle name="RUSS" xfId="2752" xr:uid="{00000000-0005-0000-0000-0000E00A0000}"/>
    <cellStyle name="S—_x0008_" xfId="2753" xr:uid="{00000000-0005-0000-0000-0000E10A0000}"/>
    <cellStyle name="S—_x0008_ 2" xfId="2754" xr:uid="{00000000-0005-0000-0000-0000E20A0000}"/>
    <cellStyle name="S—_x0008_ 3" xfId="2755" xr:uid="{00000000-0005-0000-0000-0000E30A0000}"/>
    <cellStyle name="s]_x000d__x000a_spooler=yes_x000d__x000a_load=_x000d__x000a_Beep=yes_x000d__x000a_NullPort=None_x000d__x000a_BorderWidth=3_x000d__x000a_CursorBlinkRate=1200_x000d__x000a_DoubleClickSpeed=452_x000d__x000a_Programs=co" xfId="2756" xr:uid="{00000000-0005-0000-0000-0000E40A0000}"/>
    <cellStyle name="s]_x000d__x000a_spooler=yes_x000d__x000a_load=_x000d__x000a_Beep=yes_x000d__x000a_NullPort=None_x000d__x000a_BorderWidth=3_x000d__x000a_CursorBlinkRate=1200_x000d__x000a_DoubleClickSpeed=452_x000d__x000a_Programs=co 2" xfId="2757" xr:uid="{00000000-0005-0000-0000-0000E50A0000}"/>
    <cellStyle name="s]_x000d__x000a_spooler=yes_x000d__x000a_load=_x000d__x000a_Beep=yes_x000d__x000a_NullPort=None_x000d__x000a_BorderWidth=3_x000d__x000a_CursorBlinkRate=1200_x000d__x000a_DoubleClickSpeed=452_x000d__x000a_Programs=co 2 2" xfId="2758" xr:uid="{00000000-0005-0000-0000-0000E60A0000}"/>
    <cellStyle name="s]_x000d__x000a_spooler=yes_x000d__x000a_load=_x000d__x000a_Beep=yes_x000d__x000a_NullPort=None_x000d__x000a_BorderWidth=3_x000d__x000a_CursorBlinkRate=1200_x000d__x000a_DoubleClickSpeed=452_x000d__x000a_Programs=co 2_SUMMARY RC9 (1..." xfId="2759" xr:uid="{00000000-0005-0000-0000-0000E70A0000}"/>
    <cellStyle name="s]_x000d__x000a_spooler=yes_x000d__x000a_load=_x000d__x000a_Beep=yes_x000d__x000a_NullPort=None_x000d__x000a_BorderWidth=3_x000d__x000a_CursorBlinkRate=1200_x000d__x000a_DoubleClickSpeed=452_x000d__x000a_Programs=co 3" xfId="2760" xr:uid="{00000000-0005-0000-0000-0000E80A0000}"/>
    <cellStyle name="s]_x000d__x000a_spooler=yes_x000d__x000a_load=_x000d__x000a_Beep=yes_x000d__x000a_NullPort=None_x000d__x000a_BorderWidth=3_x000d__x000a_CursorBlinkRate=1200_x000d__x000a_DoubleClickSpeed=452_x000d__x000a_Programs=co 4" xfId="2761" xr:uid="{00000000-0005-0000-0000-0000E90A0000}"/>
    <cellStyle name="SAPBEXaggData" xfId="2762" xr:uid="{00000000-0005-0000-0000-0000EA0A0000}"/>
    <cellStyle name="SAPBEXaggData 2" xfId="2763" xr:uid="{00000000-0005-0000-0000-0000EB0A0000}"/>
    <cellStyle name="SAPBEXaggDataEmph" xfId="2764" xr:uid="{00000000-0005-0000-0000-0000EC0A0000}"/>
    <cellStyle name="SAPBEXaggDataEmph 2" xfId="2765" xr:uid="{00000000-0005-0000-0000-0000ED0A0000}"/>
    <cellStyle name="SAPBEXaggItem" xfId="2766" xr:uid="{00000000-0005-0000-0000-0000EE0A0000}"/>
    <cellStyle name="SAPBEXaggItem 2" xfId="2767" xr:uid="{00000000-0005-0000-0000-0000EF0A0000}"/>
    <cellStyle name="SAPBEXchaText" xfId="2768" xr:uid="{00000000-0005-0000-0000-0000F00A0000}"/>
    <cellStyle name="SAPBEXchaText 2" xfId="2769" xr:uid="{00000000-0005-0000-0000-0000F10A0000}"/>
    <cellStyle name="SAPBEXexcBad7" xfId="2770" xr:uid="{00000000-0005-0000-0000-0000F20A0000}"/>
    <cellStyle name="SAPBEXexcBad7 2" xfId="2771" xr:uid="{00000000-0005-0000-0000-0000F30A0000}"/>
    <cellStyle name="SAPBEXexcBad8" xfId="2772" xr:uid="{00000000-0005-0000-0000-0000F40A0000}"/>
    <cellStyle name="SAPBEXexcBad8 2" xfId="2773" xr:uid="{00000000-0005-0000-0000-0000F50A0000}"/>
    <cellStyle name="SAPBEXexcBad9" xfId="2774" xr:uid="{00000000-0005-0000-0000-0000F60A0000}"/>
    <cellStyle name="SAPBEXexcBad9 2" xfId="2775" xr:uid="{00000000-0005-0000-0000-0000F70A0000}"/>
    <cellStyle name="SAPBEXexcCritical4" xfId="2776" xr:uid="{00000000-0005-0000-0000-0000F80A0000}"/>
    <cellStyle name="SAPBEXexcCritical4 2" xfId="2777" xr:uid="{00000000-0005-0000-0000-0000F90A0000}"/>
    <cellStyle name="SAPBEXexcCritical5" xfId="2778" xr:uid="{00000000-0005-0000-0000-0000FA0A0000}"/>
    <cellStyle name="SAPBEXexcCritical5 2" xfId="2779" xr:uid="{00000000-0005-0000-0000-0000FB0A0000}"/>
    <cellStyle name="SAPBEXexcCritical6" xfId="2780" xr:uid="{00000000-0005-0000-0000-0000FC0A0000}"/>
    <cellStyle name="SAPBEXexcCritical6 2" xfId="2781" xr:uid="{00000000-0005-0000-0000-0000FD0A0000}"/>
    <cellStyle name="SAPBEXexcGood1" xfId="2782" xr:uid="{00000000-0005-0000-0000-0000FE0A0000}"/>
    <cellStyle name="SAPBEXexcGood1 2" xfId="2783" xr:uid="{00000000-0005-0000-0000-0000FF0A0000}"/>
    <cellStyle name="SAPBEXexcGood2" xfId="2784" xr:uid="{00000000-0005-0000-0000-0000000B0000}"/>
    <cellStyle name="SAPBEXexcGood2 2" xfId="2785" xr:uid="{00000000-0005-0000-0000-0000010B0000}"/>
    <cellStyle name="SAPBEXexcGood3" xfId="2786" xr:uid="{00000000-0005-0000-0000-0000020B0000}"/>
    <cellStyle name="SAPBEXexcGood3 2" xfId="2787" xr:uid="{00000000-0005-0000-0000-0000030B0000}"/>
    <cellStyle name="SAPBEXfilterDrill" xfId="2788" xr:uid="{00000000-0005-0000-0000-0000040B0000}"/>
    <cellStyle name="SAPBEXfilterDrill 2" xfId="2789" xr:uid="{00000000-0005-0000-0000-0000050B0000}"/>
    <cellStyle name="SAPBEXfilterItem" xfId="2790" xr:uid="{00000000-0005-0000-0000-0000060B0000}"/>
    <cellStyle name="SAPBEXfilterItem 2" xfId="2791" xr:uid="{00000000-0005-0000-0000-0000070B0000}"/>
    <cellStyle name="SAPBEXfilterText" xfId="2792" xr:uid="{00000000-0005-0000-0000-0000080B0000}"/>
    <cellStyle name="SAPBEXfilterText 2" xfId="2793" xr:uid="{00000000-0005-0000-0000-0000090B0000}"/>
    <cellStyle name="SAPBEXformats" xfId="2794" xr:uid="{00000000-0005-0000-0000-00000A0B0000}"/>
    <cellStyle name="SAPBEXformats 2" xfId="2795" xr:uid="{00000000-0005-0000-0000-00000B0B0000}"/>
    <cellStyle name="SAPBEXheaderItem" xfId="2796" xr:uid="{00000000-0005-0000-0000-00000C0B0000}"/>
    <cellStyle name="SAPBEXheaderItem 2" xfId="2797" xr:uid="{00000000-0005-0000-0000-00000D0B0000}"/>
    <cellStyle name="SAPBEXheaderText" xfId="2798" xr:uid="{00000000-0005-0000-0000-00000E0B0000}"/>
    <cellStyle name="SAPBEXheaderText 2" xfId="2799" xr:uid="{00000000-0005-0000-0000-00000F0B0000}"/>
    <cellStyle name="SAPBEXresData" xfId="2800" xr:uid="{00000000-0005-0000-0000-0000100B0000}"/>
    <cellStyle name="SAPBEXresData 2" xfId="2801" xr:uid="{00000000-0005-0000-0000-0000110B0000}"/>
    <cellStyle name="SAPBEXresDataEmph" xfId="2802" xr:uid="{00000000-0005-0000-0000-0000120B0000}"/>
    <cellStyle name="SAPBEXresDataEmph 2" xfId="2803" xr:uid="{00000000-0005-0000-0000-0000130B0000}"/>
    <cellStyle name="SAPBEXresItem" xfId="2804" xr:uid="{00000000-0005-0000-0000-0000140B0000}"/>
    <cellStyle name="SAPBEXresItem 2" xfId="2805" xr:uid="{00000000-0005-0000-0000-0000150B0000}"/>
    <cellStyle name="SAPBEXstdData" xfId="2806" xr:uid="{00000000-0005-0000-0000-0000160B0000}"/>
    <cellStyle name="SAPBEXstdData 2" xfId="2807" xr:uid="{00000000-0005-0000-0000-0000170B0000}"/>
    <cellStyle name="SAPBEXstdDataEmph" xfId="2808" xr:uid="{00000000-0005-0000-0000-0000180B0000}"/>
    <cellStyle name="SAPBEXstdDataEmph 2" xfId="2809" xr:uid="{00000000-0005-0000-0000-0000190B0000}"/>
    <cellStyle name="SAPBEXstdItem" xfId="2810" xr:uid="{00000000-0005-0000-0000-00001A0B0000}"/>
    <cellStyle name="SAPBEXstdItem 2" xfId="2811" xr:uid="{00000000-0005-0000-0000-00001B0B0000}"/>
    <cellStyle name="SAPBEXtitle" xfId="2812" xr:uid="{00000000-0005-0000-0000-00001C0B0000}"/>
    <cellStyle name="SAPBEXtitle 2" xfId="2813" xr:uid="{00000000-0005-0000-0000-00001D0B0000}"/>
    <cellStyle name="SAPBEXundefined" xfId="2814" xr:uid="{00000000-0005-0000-0000-00001E0B0000}"/>
    <cellStyle name="SAPBEXundefined 2" xfId="2815" xr:uid="{00000000-0005-0000-0000-00001F0B0000}"/>
    <cellStyle name="Standard_KALK-054" xfId="2816" xr:uid="{00000000-0005-0000-0000-0000200B0000}"/>
    <cellStyle name="Style 1" xfId="2817" xr:uid="{00000000-0005-0000-0000-0000210B0000}"/>
    <cellStyle name="Style 1 2" xfId="2818" xr:uid="{00000000-0005-0000-0000-0000220B0000}"/>
    <cellStyle name="Style 1 2 2" xfId="2819" xr:uid="{00000000-0005-0000-0000-0000230B0000}"/>
    <cellStyle name="Style 1 2_SUMMARY RC9 (1..." xfId="2820" xr:uid="{00000000-0005-0000-0000-0000240B0000}"/>
    <cellStyle name="Style 1 3" xfId="2821" xr:uid="{00000000-0005-0000-0000-0000250B0000}"/>
    <cellStyle name="Style 1 4" xfId="2822" xr:uid="{00000000-0005-0000-0000-0000260B0000}"/>
    <cellStyle name="Style 1 5" xfId="2823" xr:uid="{00000000-0005-0000-0000-0000270B0000}"/>
    <cellStyle name="Style 1 6" xfId="2824" xr:uid="{00000000-0005-0000-0000-0000280B0000}"/>
    <cellStyle name="Style 1 7" xfId="2825" xr:uid="{00000000-0005-0000-0000-0000290B0000}"/>
    <cellStyle name="Style 1 8" xfId="2826" xr:uid="{00000000-0005-0000-0000-00002A0B0000}"/>
    <cellStyle name="Style 1 9" xfId="2827" xr:uid="{00000000-0005-0000-0000-00002B0B0000}"/>
    <cellStyle name="Style 10" xfId="2828" xr:uid="{00000000-0005-0000-0000-00002C0B0000}"/>
    <cellStyle name="Style 10 2" xfId="2829" xr:uid="{00000000-0005-0000-0000-00002D0B0000}"/>
    <cellStyle name="Style 10 3" xfId="2830" xr:uid="{00000000-0005-0000-0000-00002E0B0000}"/>
    <cellStyle name="Style 100" xfId="2831" xr:uid="{00000000-0005-0000-0000-00002F0B0000}"/>
    <cellStyle name="Style 100 2" xfId="2832" xr:uid="{00000000-0005-0000-0000-0000300B0000}"/>
    <cellStyle name="Style 100 3" xfId="2833" xr:uid="{00000000-0005-0000-0000-0000310B0000}"/>
    <cellStyle name="Style 101" xfId="2834" xr:uid="{00000000-0005-0000-0000-0000320B0000}"/>
    <cellStyle name="Style 101 2" xfId="2835" xr:uid="{00000000-0005-0000-0000-0000330B0000}"/>
    <cellStyle name="Style 101 3" xfId="2836" xr:uid="{00000000-0005-0000-0000-0000340B0000}"/>
    <cellStyle name="Style 102" xfId="2837" xr:uid="{00000000-0005-0000-0000-0000350B0000}"/>
    <cellStyle name="Style 102 2" xfId="2838" xr:uid="{00000000-0005-0000-0000-0000360B0000}"/>
    <cellStyle name="Style 102 3" xfId="2839" xr:uid="{00000000-0005-0000-0000-0000370B0000}"/>
    <cellStyle name="Style 103" xfId="2840" xr:uid="{00000000-0005-0000-0000-0000380B0000}"/>
    <cellStyle name="Style 103 2" xfId="2841" xr:uid="{00000000-0005-0000-0000-0000390B0000}"/>
    <cellStyle name="Style 103 3" xfId="2842" xr:uid="{00000000-0005-0000-0000-00003A0B0000}"/>
    <cellStyle name="Style 104" xfId="2843" xr:uid="{00000000-0005-0000-0000-00003B0B0000}"/>
    <cellStyle name="Style 104 2" xfId="2844" xr:uid="{00000000-0005-0000-0000-00003C0B0000}"/>
    <cellStyle name="Style 104 3" xfId="2845" xr:uid="{00000000-0005-0000-0000-00003D0B0000}"/>
    <cellStyle name="Style 105" xfId="2846" xr:uid="{00000000-0005-0000-0000-00003E0B0000}"/>
    <cellStyle name="Style 105 2" xfId="2847" xr:uid="{00000000-0005-0000-0000-00003F0B0000}"/>
    <cellStyle name="Style 105 3" xfId="2848" xr:uid="{00000000-0005-0000-0000-0000400B0000}"/>
    <cellStyle name="Style 106" xfId="2849" xr:uid="{00000000-0005-0000-0000-0000410B0000}"/>
    <cellStyle name="Style 106 2" xfId="2850" xr:uid="{00000000-0005-0000-0000-0000420B0000}"/>
    <cellStyle name="Style 106 3" xfId="2851" xr:uid="{00000000-0005-0000-0000-0000430B0000}"/>
    <cellStyle name="Style 107" xfId="2852" xr:uid="{00000000-0005-0000-0000-0000440B0000}"/>
    <cellStyle name="Style 107 2" xfId="2853" xr:uid="{00000000-0005-0000-0000-0000450B0000}"/>
    <cellStyle name="Style 108" xfId="2854" xr:uid="{00000000-0005-0000-0000-0000460B0000}"/>
    <cellStyle name="Style 108 2" xfId="2855" xr:uid="{00000000-0005-0000-0000-0000470B0000}"/>
    <cellStyle name="Style 109" xfId="2856" xr:uid="{00000000-0005-0000-0000-0000480B0000}"/>
    <cellStyle name="Style 109 2" xfId="2857" xr:uid="{00000000-0005-0000-0000-0000490B0000}"/>
    <cellStyle name="Style 11" xfId="2858" xr:uid="{00000000-0005-0000-0000-00004A0B0000}"/>
    <cellStyle name="Style 11 2" xfId="2859" xr:uid="{00000000-0005-0000-0000-00004B0B0000}"/>
    <cellStyle name="Style 11 3" xfId="2860" xr:uid="{00000000-0005-0000-0000-00004C0B0000}"/>
    <cellStyle name="Style 110" xfId="2861" xr:uid="{00000000-0005-0000-0000-00004D0B0000}"/>
    <cellStyle name="Style 110 2" xfId="2862" xr:uid="{00000000-0005-0000-0000-00004E0B0000}"/>
    <cellStyle name="Style 111" xfId="2863" xr:uid="{00000000-0005-0000-0000-00004F0B0000}"/>
    <cellStyle name="Style 111 2" xfId="2864" xr:uid="{00000000-0005-0000-0000-0000500B0000}"/>
    <cellStyle name="Style 112" xfId="2865" xr:uid="{00000000-0005-0000-0000-0000510B0000}"/>
    <cellStyle name="Style 112 2" xfId="2866" xr:uid="{00000000-0005-0000-0000-0000520B0000}"/>
    <cellStyle name="Style 113" xfId="2867" xr:uid="{00000000-0005-0000-0000-0000530B0000}"/>
    <cellStyle name="Style 113 2" xfId="2868" xr:uid="{00000000-0005-0000-0000-0000540B0000}"/>
    <cellStyle name="Style 114" xfId="2869" xr:uid="{00000000-0005-0000-0000-0000550B0000}"/>
    <cellStyle name="Style 114 2" xfId="2870" xr:uid="{00000000-0005-0000-0000-0000560B0000}"/>
    <cellStyle name="Style 115" xfId="2871" xr:uid="{00000000-0005-0000-0000-0000570B0000}"/>
    <cellStyle name="Style 115 2" xfId="2872" xr:uid="{00000000-0005-0000-0000-0000580B0000}"/>
    <cellStyle name="Style 116" xfId="2873" xr:uid="{00000000-0005-0000-0000-0000590B0000}"/>
    <cellStyle name="Style 116 2" xfId="2874" xr:uid="{00000000-0005-0000-0000-00005A0B0000}"/>
    <cellStyle name="Style 117" xfId="2875" xr:uid="{00000000-0005-0000-0000-00005B0B0000}"/>
    <cellStyle name="Style 117 2" xfId="2876" xr:uid="{00000000-0005-0000-0000-00005C0B0000}"/>
    <cellStyle name="Style 118" xfId="2877" xr:uid="{00000000-0005-0000-0000-00005D0B0000}"/>
    <cellStyle name="Style 118 2" xfId="2878" xr:uid="{00000000-0005-0000-0000-00005E0B0000}"/>
    <cellStyle name="Style 119" xfId="2879" xr:uid="{00000000-0005-0000-0000-00005F0B0000}"/>
    <cellStyle name="Style 119 2" xfId="2880" xr:uid="{00000000-0005-0000-0000-0000600B0000}"/>
    <cellStyle name="Style 12" xfId="2881" xr:uid="{00000000-0005-0000-0000-0000610B0000}"/>
    <cellStyle name="Style 12 2" xfId="2882" xr:uid="{00000000-0005-0000-0000-0000620B0000}"/>
    <cellStyle name="Style 12 3" xfId="2883" xr:uid="{00000000-0005-0000-0000-0000630B0000}"/>
    <cellStyle name="Style 120" xfId="2884" xr:uid="{00000000-0005-0000-0000-0000640B0000}"/>
    <cellStyle name="Style 120 2" xfId="2885" xr:uid="{00000000-0005-0000-0000-0000650B0000}"/>
    <cellStyle name="Style 121" xfId="2886" xr:uid="{00000000-0005-0000-0000-0000660B0000}"/>
    <cellStyle name="Style 121 2" xfId="2887" xr:uid="{00000000-0005-0000-0000-0000670B0000}"/>
    <cellStyle name="Style 122" xfId="2888" xr:uid="{00000000-0005-0000-0000-0000680B0000}"/>
    <cellStyle name="Style 122 2" xfId="2889" xr:uid="{00000000-0005-0000-0000-0000690B0000}"/>
    <cellStyle name="Style 123" xfId="2890" xr:uid="{00000000-0005-0000-0000-00006A0B0000}"/>
    <cellStyle name="Style 123 2" xfId="2891" xr:uid="{00000000-0005-0000-0000-00006B0B0000}"/>
    <cellStyle name="Style 124" xfId="2892" xr:uid="{00000000-0005-0000-0000-00006C0B0000}"/>
    <cellStyle name="Style 124 2" xfId="2893" xr:uid="{00000000-0005-0000-0000-00006D0B0000}"/>
    <cellStyle name="Style 125" xfId="2894" xr:uid="{00000000-0005-0000-0000-00006E0B0000}"/>
    <cellStyle name="Style 125 2" xfId="2895" xr:uid="{00000000-0005-0000-0000-00006F0B0000}"/>
    <cellStyle name="Style 126" xfId="2896" xr:uid="{00000000-0005-0000-0000-0000700B0000}"/>
    <cellStyle name="Style 126 2" xfId="2897" xr:uid="{00000000-0005-0000-0000-0000710B0000}"/>
    <cellStyle name="Style 127" xfId="2898" xr:uid="{00000000-0005-0000-0000-0000720B0000}"/>
    <cellStyle name="Style 127 2" xfId="2899" xr:uid="{00000000-0005-0000-0000-0000730B0000}"/>
    <cellStyle name="Style 128" xfId="2900" xr:uid="{00000000-0005-0000-0000-0000740B0000}"/>
    <cellStyle name="Style 128 2" xfId="2901" xr:uid="{00000000-0005-0000-0000-0000750B0000}"/>
    <cellStyle name="Style 129" xfId="2902" xr:uid="{00000000-0005-0000-0000-0000760B0000}"/>
    <cellStyle name="Style 129 2" xfId="2903" xr:uid="{00000000-0005-0000-0000-0000770B0000}"/>
    <cellStyle name="Style 13" xfId="2904" xr:uid="{00000000-0005-0000-0000-0000780B0000}"/>
    <cellStyle name="Style 13 2" xfId="2905" xr:uid="{00000000-0005-0000-0000-0000790B0000}"/>
    <cellStyle name="Style 13 3" xfId="2906" xr:uid="{00000000-0005-0000-0000-00007A0B0000}"/>
    <cellStyle name="Style 130" xfId="2907" xr:uid="{00000000-0005-0000-0000-00007B0B0000}"/>
    <cellStyle name="Style 130 2" xfId="2908" xr:uid="{00000000-0005-0000-0000-00007C0B0000}"/>
    <cellStyle name="Style 131" xfId="2909" xr:uid="{00000000-0005-0000-0000-00007D0B0000}"/>
    <cellStyle name="Style 131 2" xfId="2910" xr:uid="{00000000-0005-0000-0000-00007E0B0000}"/>
    <cellStyle name="Style 132" xfId="2911" xr:uid="{00000000-0005-0000-0000-00007F0B0000}"/>
    <cellStyle name="Style 132 2" xfId="2912" xr:uid="{00000000-0005-0000-0000-0000800B0000}"/>
    <cellStyle name="Style 133" xfId="2913" xr:uid="{00000000-0005-0000-0000-0000810B0000}"/>
    <cellStyle name="Style 133 2" xfId="2914" xr:uid="{00000000-0005-0000-0000-0000820B0000}"/>
    <cellStyle name="Style 134" xfId="2915" xr:uid="{00000000-0005-0000-0000-0000830B0000}"/>
    <cellStyle name="Style 134 2" xfId="2916" xr:uid="{00000000-0005-0000-0000-0000840B0000}"/>
    <cellStyle name="Style 135" xfId="2917" xr:uid="{00000000-0005-0000-0000-0000850B0000}"/>
    <cellStyle name="Style 135 2" xfId="2918" xr:uid="{00000000-0005-0000-0000-0000860B0000}"/>
    <cellStyle name="Style 136" xfId="2919" xr:uid="{00000000-0005-0000-0000-0000870B0000}"/>
    <cellStyle name="Style 136 2" xfId="2920" xr:uid="{00000000-0005-0000-0000-0000880B0000}"/>
    <cellStyle name="Style 137" xfId="2921" xr:uid="{00000000-0005-0000-0000-0000890B0000}"/>
    <cellStyle name="Style 137 2" xfId="2922" xr:uid="{00000000-0005-0000-0000-00008A0B0000}"/>
    <cellStyle name="Style 138" xfId="2923" xr:uid="{00000000-0005-0000-0000-00008B0B0000}"/>
    <cellStyle name="Style 138 2" xfId="2924" xr:uid="{00000000-0005-0000-0000-00008C0B0000}"/>
    <cellStyle name="Style 139" xfId="2925" xr:uid="{00000000-0005-0000-0000-00008D0B0000}"/>
    <cellStyle name="Style 139 2" xfId="2926" xr:uid="{00000000-0005-0000-0000-00008E0B0000}"/>
    <cellStyle name="Style 14" xfId="2927" xr:uid="{00000000-0005-0000-0000-00008F0B0000}"/>
    <cellStyle name="Style 14 2" xfId="2928" xr:uid="{00000000-0005-0000-0000-0000900B0000}"/>
    <cellStyle name="Style 14 3" xfId="2929" xr:uid="{00000000-0005-0000-0000-0000910B0000}"/>
    <cellStyle name="Style 140" xfId="2930" xr:uid="{00000000-0005-0000-0000-0000920B0000}"/>
    <cellStyle name="Style 140 2" xfId="2931" xr:uid="{00000000-0005-0000-0000-0000930B0000}"/>
    <cellStyle name="Style 141" xfId="2932" xr:uid="{00000000-0005-0000-0000-0000940B0000}"/>
    <cellStyle name="Style 141 2" xfId="2933" xr:uid="{00000000-0005-0000-0000-0000950B0000}"/>
    <cellStyle name="Style 142" xfId="2934" xr:uid="{00000000-0005-0000-0000-0000960B0000}"/>
    <cellStyle name="Style 142 2" xfId="2935" xr:uid="{00000000-0005-0000-0000-0000970B0000}"/>
    <cellStyle name="Style 143" xfId="2936" xr:uid="{00000000-0005-0000-0000-0000980B0000}"/>
    <cellStyle name="Style 143 2" xfId="2937" xr:uid="{00000000-0005-0000-0000-0000990B0000}"/>
    <cellStyle name="Style 144" xfId="2938" xr:uid="{00000000-0005-0000-0000-00009A0B0000}"/>
    <cellStyle name="Style 144 2" xfId="2939" xr:uid="{00000000-0005-0000-0000-00009B0B0000}"/>
    <cellStyle name="Style 145" xfId="2940" xr:uid="{00000000-0005-0000-0000-00009C0B0000}"/>
    <cellStyle name="Style 145 2" xfId="2941" xr:uid="{00000000-0005-0000-0000-00009D0B0000}"/>
    <cellStyle name="Style 146" xfId="2942" xr:uid="{00000000-0005-0000-0000-00009E0B0000}"/>
    <cellStyle name="Style 146 2" xfId="2943" xr:uid="{00000000-0005-0000-0000-00009F0B0000}"/>
    <cellStyle name="Style 147" xfId="2944" xr:uid="{00000000-0005-0000-0000-0000A00B0000}"/>
    <cellStyle name="Style 147 2" xfId="2945" xr:uid="{00000000-0005-0000-0000-0000A10B0000}"/>
    <cellStyle name="Style 148" xfId="2946" xr:uid="{00000000-0005-0000-0000-0000A20B0000}"/>
    <cellStyle name="Style 148 2" xfId="2947" xr:uid="{00000000-0005-0000-0000-0000A30B0000}"/>
    <cellStyle name="Style 149" xfId="2948" xr:uid="{00000000-0005-0000-0000-0000A40B0000}"/>
    <cellStyle name="Style 149 2" xfId="2949" xr:uid="{00000000-0005-0000-0000-0000A50B0000}"/>
    <cellStyle name="Style 15" xfId="2950" xr:uid="{00000000-0005-0000-0000-0000A60B0000}"/>
    <cellStyle name="Style 15 2" xfId="2951" xr:uid="{00000000-0005-0000-0000-0000A70B0000}"/>
    <cellStyle name="Style 15 3" xfId="2952" xr:uid="{00000000-0005-0000-0000-0000A80B0000}"/>
    <cellStyle name="Style 150" xfId="2953" xr:uid="{00000000-0005-0000-0000-0000A90B0000}"/>
    <cellStyle name="Style 150 2" xfId="2954" xr:uid="{00000000-0005-0000-0000-0000AA0B0000}"/>
    <cellStyle name="Style 151" xfId="2955" xr:uid="{00000000-0005-0000-0000-0000AB0B0000}"/>
    <cellStyle name="Style 151 2" xfId="2956" xr:uid="{00000000-0005-0000-0000-0000AC0B0000}"/>
    <cellStyle name="Style 152" xfId="2957" xr:uid="{00000000-0005-0000-0000-0000AD0B0000}"/>
    <cellStyle name="Style 152 2" xfId="2958" xr:uid="{00000000-0005-0000-0000-0000AE0B0000}"/>
    <cellStyle name="Style 153" xfId="2959" xr:uid="{00000000-0005-0000-0000-0000AF0B0000}"/>
    <cellStyle name="Style 153 2" xfId="2960" xr:uid="{00000000-0005-0000-0000-0000B00B0000}"/>
    <cellStyle name="Style 154" xfId="2961" xr:uid="{00000000-0005-0000-0000-0000B10B0000}"/>
    <cellStyle name="Style 154 2" xfId="2962" xr:uid="{00000000-0005-0000-0000-0000B20B0000}"/>
    <cellStyle name="Style 155" xfId="2963" xr:uid="{00000000-0005-0000-0000-0000B30B0000}"/>
    <cellStyle name="Style 155 2" xfId="2964" xr:uid="{00000000-0005-0000-0000-0000B40B0000}"/>
    <cellStyle name="Style 156" xfId="2965" xr:uid="{00000000-0005-0000-0000-0000B50B0000}"/>
    <cellStyle name="Style 156 2" xfId="2966" xr:uid="{00000000-0005-0000-0000-0000B60B0000}"/>
    <cellStyle name="Style 157" xfId="2967" xr:uid="{00000000-0005-0000-0000-0000B70B0000}"/>
    <cellStyle name="Style 157 2" xfId="2968" xr:uid="{00000000-0005-0000-0000-0000B80B0000}"/>
    <cellStyle name="Style 158" xfId="2969" xr:uid="{00000000-0005-0000-0000-0000B90B0000}"/>
    <cellStyle name="Style 158 2" xfId="2970" xr:uid="{00000000-0005-0000-0000-0000BA0B0000}"/>
    <cellStyle name="Style 159" xfId="2971" xr:uid="{00000000-0005-0000-0000-0000BB0B0000}"/>
    <cellStyle name="Style 159 2" xfId="2972" xr:uid="{00000000-0005-0000-0000-0000BC0B0000}"/>
    <cellStyle name="Style 16" xfId="2973" xr:uid="{00000000-0005-0000-0000-0000BD0B0000}"/>
    <cellStyle name="Style 16 2" xfId="2974" xr:uid="{00000000-0005-0000-0000-0000BE0B0000}"/>
    <cellStyle name="Style 16 3" xfId="2975" xr:uid="{00000000-0005-0000-0000-0000BF0B0000}"/>
    <cellStyle name="Style 160" xfId="2976" xr:uid="{00000000-0005-0000-0000-0000C00B0000}"/>
    <cellStyle name="Style 160 2" xfId="2977" xr:uid="{00000000-0005-0000-0000-0000C10B0000}"/>
    <cellStyle name="Style 161" xfId="2978" xr:uid="{00000000-0005-0000-0000-0000C20B0000}"/>
    <cellStyle name="Style 161 2" xfId="2979" xr:uid="{00000000-0005-0000-0000-0000C30B0000}"/>
    <cellStyle name="Style 162" xfId="2980" xr:uid="{00000000-0005-0000-0000-0000C40B0000}"/>
    <cellStyle name="Style 162 2" xfId="2981" xr:uid="{00000000-0005-0000-0000-0000C50B0000}"/>
    <cellStyle name="Style 163" xfId="2982" xr:uid="{00000000-0005-0000-0000-0000C60B0000}"/>
    <cellStyle name="Style 163 2" xfId="2983" xr:uid="{00000000-0005-0000-0000-0000C70B0000}"/>
    <cellStyle name="Style 164" xfId="2984" xr:uid="{00000000-0005-0000-0000-0000C80B0000}"/>
    <cellStyle name="Style 164 2" xfId="2985" xr:uid="{00000000-0005-0000-0000-0000C90B0000}"/>
    <cellStyle name="Style 165" xfId="2986" xr:uid="{00000000-0005-0000-0000-0000CA0B0000}"/>
    <cellStyle name="Style 165 2" xfId="2987" xr:uid="{00000000-0005-0000-0000-0000CB0B0000}"/>
    <cellStyle name="Style 166" xfId="2988" xr:uid="{00000000-0005-0000-0000-0000CC0B0000}"/>
    <cellStyle name="Style 166 2" xfId="2989" xr:uid="{00000000-0005-0000-0000-0000CD0B0000}"/>
    <cellStyle name="Style 167" xfId="2990" xr:uid="{00000000-0005-0000-0000-0000CE0B0000}"/>
    <cellStyle name="Style 167 2" xfId="2991" xr:uid="{00000000-0005-0000-0000-0000CF0B0000}"/>
    <cellStyle name="Style 168" xfId="2992" xr:uid="{00000000-0005-0000-0000-0000D00B0000}"/>
    <cellStyle name="Style 168 2" xfId="2993" xr:uid="{00000000-0005-0000-0000-0000D10B0000}"/>
    <cellStyle name="Style 169" xfId="2994" xr:uid="{00000000-0005-0000-0000-0000D20B0000}"/>
    <cellStyle name="Style 169 2" xfId="2995" xr:uid="{00000000-0005-0000-0000-0000D30B0000}"/>
    <cellStyle name="Style 17" xfId="2996" xr:uid="{00000000-0005-0000-0000-0000D40B0000}"/>
    <cellStyle name="Style 17 2" xfId="2997" xr:uid="{00000000-0005-0000-0000-0000D50B0000}"/>
    <cellStyle name="Style 17 3" xfId="2998" xr:uid="{00000000-0005-0000-0000-0000D60B0000}"/>
    <cellStyle name="Style 170" xfId="2999" xr:uid="{00000000-0005-0000-0000-0000D70B0000}"/>
    <cellStyle name="Style 170 2" xfId="3000" xr:uid="{00000000-0005-0000-0000-0000D80B0000}"/>
    <cellStyle name="Style 171" xfId="3001" xr:uid="{00000000-0005-0000-0000-0000D90B0000}"/>
    <cellStyle name="Style 171 2" xfId="3002" xr:uid="{00000000-0005-0000-0000-0000DA0B0000}"/>
    <cellStyle name="Style 172" xfId="3003" xr:uid="{00000000-0005-0000-0000-0000DB0B0000}"/>
    <cellStyle name="Style 172 2" xfId="3004" xr:uid="{00000000-0005-0000-0000-0000DC0B0000}"/>
    <cellStyle name="Style 173" xfId="3005" xr:uid="{00000000-0005-0000-0000-0000DD0B0000}"/>
    <cellStyle name="Style 173 2" xfId="3006" xr:uid="{00000000-0005-0000-0000-0000DE0B0000}"/>
    <cellStyle name="Style 174" xfId="3007" xr:uid="{00000000-0005-0000-0000-0000DF0B0000}"/>
    <cellStyle name="Style 174 2" xfId="3008" xr:uid="{00000000-0005-0000-0000-0000E00B0000}"/>
    <cellStyle name="Style 175" xfId="3009" xr:uid="{00000000-0005-0000-0000-0000E10B0000}"/>
    <cellStyle name="Style 175 2" xfId="3010" xr:uid="{00000000-0005-0000-0000-0000E20B0000}"/>
    <cellStyle name="Style 176" xfId="3011" xr:uid="{00000000-0005-0000-0000-0000E30B0000}"/>
    <cellStyle name="Style 176 2" xfId="3012" xr:uid="{00000000-0005-0000-0000-0000E40B0000}"/>
    <cellStyle name="Style 177" xfId="3013" xr:uid="{00000000-0005-0000-0000-0000E50B0000}"/>
    <cellStyle name="Style 177 2" xfId="3014" xr:uid="{00000000-0005-0000-0000-0000E60B0000}"/>
    <cellStyle name="Style 178" xfId="3015" xr:uid="{00000000-0005-0000-0000-0000E70B0000}"/>
    <cellStyle name="Style 178 2" xfId="3016" xr:uid="{00000000-0005-0000-0000-0000E80B0000}"/>
    <cellStyle name="Style 179" xfId="3017" xr:uid="{00000000-0005-0000-0000-0000E90B0000}"/>
    <cellStyle name="Style 179 2" xfId="3018" xr:uid="{00000000-0005-0000-0000-0000EA0B0000}"/>
    <cellStyle name="Style 18" xfId="3019" xr:uid="{00000000-0005-0000-0000-0000EB0B0000}"/>
    <cellStyle name="Style 18 2" xfId="3020" xr:uid="{00000000-0005-0000-0000-0000EC0B0000}"/>
    <cellStyle name="Style 18 3" xfId="3021" xr:uid="{00000000-0005-0000-0000-0000ED0B0000}"/>
    <cellStyle name="Style 180" xfId="3022" xr:uid="{00000000-0005-0000-0000-0000EE0B0000}"/>
    <cellStyle name="Style 180 2" xfId="3023" xr:uid="{00000000-0005-0000-0000-0000EF0B0000}"/>
    <cellStyle name="Style 181" xfId="3024" xr:uid="{00000000-0005-0000-0000-0000F00B0000}"/>
    <cellStyle name="Style 181 2" xfId="3025" xr:uid="{00000000-0005-0000-0000-0000F10B0000}"/>
    <cellStyle name="Style 182" xfId="3026" xr:uid="{00000000-0005-0000-0000-0000F20B0000}"/>
    <cellStyle name="Style 182 2" xfId="3027" xr:uid="{00000000-0005-0000-0000-0000F30B0000}"/>
    <cellStyle name="Style 183" xfId="3028" xr:uid="{00000000-0005-0000-0000-0000F40B0000}"/>
    <cellStyle name="Style 183 2" xfId="3029" xr:uid="{00000000-0005-0000-0000-0000F50B0000}"/>
    <cellStyle name="Style 184" xfId="3030" xr:uid="{00000000-0005-0000-0000-0000F60B0000}"/>
    <cellStyle name="Style 184 2" xfId="3031" xr:uid="{00000000-0005-0000-0000-0000F70B0000}"/>
    <cellStyle name="Style 185" xfId="3032" xr:uid="{00000000-0005-0000-0000-0000F80B0000}"/>
    <cellStyle name="Style 185 2" xfId="3033" xr:uid="{00000000-0005-0000-0000-0000F90B0000}"/>
    <cellStyle name="Style 186" xfId="3034" xr:uid="{00000000-0005-0000-0000-0000FA0B0000}"/>
    <cellStyle name="Style 186 2" xfId="3035" xr:uid="{00000000-0005-0000-0000-0000FB0B0000}"/>
    <cellStyle name="Style 187" xfId="3036" xr:uid="{00000000-0005-0000-0000-0000FC0B0000}"/>
    <cellStyle name="Style 187 2" xfId="3037" xr:uid="{00000000-0005-0000-0000-0000FD0B0000}"/>
    <cellStyle name="Style 188" xfId="3038" xr:uid="{00000000-0005-0000-0000-0000FE0B0000}"/>
    <cellStyle name="Style 188 2" xfId="3039" xr:uid="{00000000-0005-0000-0000-0000FF0B0000}"/>
    <cellStyle name="Style 189" xfId="3040" xr:uid="{00000000-0005-0000-0000-0000000C0000}"/>
    <cellStyle name="Style 189 2" xfId="3041" xr:uid="{00000000-0005-0000-0000-0000010C0000}"/>
    <cellStyle name="Style 19" xfId="3042" xr:uid="{00000000-0005-0000-0000-0000020C0000}"/>
    <cellStyle name="Style 19 2" xfId="3043" xr:uid="{00000000-0005-0000-0000-0000030C0000}"/>
    <cellStyle name="Style 19 3" xfId="3044" xr:uid="{00000000-0005-0000-0000-0000040C0000}"/>
    <cellStyle name="Style 190" xfId="3045" xr:uid="{00000000-0005-0000-0000-0000050C0000}"/>
    <cellStyle name="Style 190 2" xfId="3046" xr:uid="{00000000-0005-0000-0000-0000060C0000}"/>
    <cellStyle name="Style 191" xfId="3047" xr:uid="{00000000-0005-0000-0000-0000070C0000}"/>
    <cellStyle name="Style 191 2" xfId="3048" xr:uid="{00000000-0005-0000-0000-0000080C0000}"/>
    <cellStyle name="Style 192" xfId="3049" xr:uid="{00000000-0005-0000-0000-0000090C0000}"/>
    <cellStyle name="Style 192 2" xfId="3050" xr:uid="{00000000-0005-0000-0000-00000A0C0000}"/>
    <cellStyle name="Style 193" xfId="3051" xr:uid="{00000000-0005-0000-0000-00000B0C0000}"/>
    <cellStyle name="Style 193 2" xfId="3052" xr:uid="{00000000-0005-0000-0000-00000C0C0000}"/>
    <cellStyle name="Style 194" xfId="3053" xr:uid="{00000000-0005-0000-0000-00000D0C0000}"/>
    <cellStyle name="Style 194 2" xfId="3054" xr:uid="{00000000-0005-0000-0000-00000E0C0000}"/>
    <cellStyle name="Style 195" xfId="3055" xr:uid="{00000000-0005-0000-0000-00000F0C0000}"/>
    <cellStyle name="Style 195 2" xfId="3056" xr:uid="{00000000-0005-0000-0000-0000100C0000}"/>
    <cellStyle name="Style 196" xfId="3057" xr:uid="{00000000-0005-0000-0000-0000110C0000}"/>
    <cellStyle name="Style 196 2" xfId="3058" xr:uid="{00000000-0005-0000-0000-0000120C0000}"/>
    <cellStyle name="Style 197" xfId="3059" xr:uid="{00000000-0005-0000-0000-0000130C0000}"/>
    <cellStyle name="Style 197 2" xfId="3060" xr:uid="{00000000-0005-0000-0000-0000140C0000}"/>
    <cellStyle name="Style 198" xfId="3061" xr:uid="{00000000-0005-0000-0000-0000150C0000}"/>
    <cellStyle name="Style 198 2" xfId="3062" xr:uid="{00000000-0005-0000-0000-0000160C0000}"/>
    <cellStyle name="Style 199" xfId="3063" xr:uid="{00000000-0005-0000-0000-0000170C0000}"/>
    <cellStyle name="Style 199 2" xfId="3064" xr:uid="{00000000-0005-0000-0000-0000180C0000}"/>
    <cellStyle name="Style 2" xfId="3065" xr:uid="{00000000-0005-0000-0000-0000190C0000}"/>
    <cellStyle name="Style 2 2" xfId="3066" xr:uid="{00000000-0005-0000-0000-00001A0C0000}"/>
    <cellStyle name="Style 2 3" xfId="3067" xr:uid="{00000000-0005-0000-0000-00001B0C0000}"/>
    <cellStyle name="Style 2 4" xfId="3068" xr:uid="{00000000-0005-0000-0000-00001C0C0000}"/>
    <cellStyle name="Style 20" xfId="3069" xr:uid="{00000000-0005-0000-0000-00001D0C0000}"/>
    <cellStyle name="Style 20 2" xfId="3070" xr:uid="{00000000-0005-0000-0000-00001E0C0000}"/>
    <cellStyle name="Style 200" xfId="3071" xr:uid="{00000000-0005-0000-0000-00001F0C0000}"/>
    <cellStyle name="Style 200 2" xfId="3072" xr:uid="{00000000-0005-0000-0000-0000200C0000}"/>
    <cellStyle name="Style 201" xfId="3073" xr:uid="{00000000-0005-0000-0000-0000210C0000}"/>
    <cellStyle name="Style 201 2" xfId="3074" xr:uid="{00000000-0005-0000-0000-0000220C0000}"/>
    <cellStyle name="Style 202" xfId="3075" xr:uid="{00000000-0005-0000-0000-0000230C0000}"/>
    <cellStyle name="Style 202 2" xfId="3076" xr:uid="{00000000-0005-0000-0000-0000240C0000}"/>
    <cellStyle name="Style 203" xfId="3077" xr:uid="{00000000-0005-0000-0000-0000250C0000}"/>
    <cellStyle name="Style 203 2" xfId="3078" xr:uid="{00000000-0005-0000-0000-0000260C0000}"/>
    <cellStyle name="Style 204" xfId="3079" xr:uid="{00000000-0005-0000-0000-0000270C0000}"/>
    <cellStyle name="Style 204 2" xfId="3080" xr:uid="{00000000-0005-0000-0000-0000280C0000}"/>
    <cellStyle name="Style 205" xfId="3081" xr:uid="{00000000-0005-0000-0000-0000290C0000}"/>
    <cellStyle name="Style 205 2" xfId="3082" xr:uid="{00000000-0005-0000-0000-00002A0C0000}"/>
    <cellStyle name="Style 206" xfId="3083" xr:uid="{00000000-0005-0000-0000-00002B0C0000}"/>
    <cellStyle name="Style 206 2" xfId="3084" xr:uid="{00000000-0005-0000-0000-00002C0C0000}"/>
    <cellStyle name="Style 207" xfId="3085" xr:uid="{00000000-0005-0000-0000-00002D0C0000}"/>
    <cellStyle name="Style 207 2" xfId="3086" xr:uid="{00000000-0005-0000-0000-00002E0C0000}"/>
    <cellStyle name="Style 208" xfId="3087" xr:uid="{00000000-0005-0000-0000-00002F0C0000}"/>
    <cellStyle name="Style 208 2" xfId="3088" xr:uid="{00000000-0005-0000-0000-0000300C0000}"/>
    <cellStyle name="Style 209" xfId="3089" xr:uid="{00000000-0005-0000-0000-0000310C0000}"/>
    <cellStyle name="Style 209 2" xfId="3090" xr:uid="{00000000-0005-0000-0000-0000320C0000}"/>
    <cellStyle name="Style 21" xfId="3091" xr:uid="{00000000-0005-0000-0000-0000330C0000}"/>
    <cellStyle name="Style 21 2" xfId="3092" xr:uid="{00000000-0005-0000-0000-0000340C0000}"/>
    <cellStyle name="Style 210" xfId="3093" xr:uid="{00000000-0005-0000-0000-0000350C0000}"/>
    <cellStyle name="Style 210 2" xfId="3094" xr:uid="{00000000-0005-0000-0000-0000360C0000}"/>
    <cellStyle name="Style 211" xfId="3095" xr:uid="{00000000-0005-0000-0000-0000370C0000}"/>
    <cellStyle name="Style 211 2" xfId="3096" xr:uid="{00000000-0005-0000-0000-0000380C0000}"/>
    <cellStyle name="Style 212" xfId="3097" xr:uid="{00000000-0005-0000-0000-0000390C0000}"/>
    <cellStyle name="Style 212 2" xfId="3098" xr:uid="{00000000-0005-0000-0000-00003A0C0000}"/>
    <cellStyle name="Style 213" xfId="3099" xr:uid="{00000000-0005-0000-0000-00003B0C0000}"/>
    <cellStyle name="Style 213 2" xfId="3100" xr:uid="{00000000-0005-0000-0000-00003C0C0000}"/>
    <cellStyle name="Style 214" xfId="3101" xr:uid="{00000000-0005-0000-0000-00003D0C0000}"/>
    <cellStyle name="Style 214 2" xfId="3102" xr:uid="{00000000-0005-0000-0000-00003E0C0000}"/>
    <cellStyle name="Style 215" xfId="3103" xr:uid="{00000000-0005-0000-0000-00003F0C0000}"/>
    <cellStyle name="Style 215 2" xfId="3104" xr:uid="{00000000-0005-0000-0000-0000400C0000}"/>
    <cellStyle name="Style 216" xfId="3105" xr:uid="{00000000-0005-0000-0000-0000410C0000}"/>
    <cellStyle name="Style 216 2" xfId="3106" xr:uid="{00000000-0005-0000-0000-0000420C0000}"/>
    <cellStyle name="Style 217" xfId="3107" xr:uid="{00000000-0005-0000-0000-0000430C0000}"/>
    <cellStyle name="Style 217 2" xfId="3108" xr:uid="{00000000-0005-0000-0000-0000440C0000}"/>
    <cellStyle name="Style 218" xfId="3109" xr:uid="{00000000-0005-0000-0000-0000450C0000}"/>
    <cellStyle name="Style 218 2" xfId="3110" xr:uid="{00000000-0005-0000-0000-0000460C0000}"/>
    <cellStyle name="Style 219" xfId="3111" xr:uid="{00000000-0005-0000-0000-0000470C0000}"/>
    <cellStyle name="Style 219 2" xfId="3112" xr:uid="{00000000-0005-0000-0000-0000480C0000}"/>
    <cellStyle name="Style 22" xfId="3113" xr:uid="{00000000-0005-0000-0000-0000490C0000}"/>
    <cellStyle name="Style 22 2" xfId="3114" xr:uid="{00000000-0005-0000-0000-00004A0C0000}"/>
    <cellStyle name="Style 22 3" xfId="3115" xr:uid="{00000000-0005-0000-0000-00004B0C0000}"/>
    <cellStyle name="Style 220" xfId="3116" xr:uid="{00000000-0005-0000-0000-00004C0C0000}"/>
    <cellStyle name="Style 220 2" xfId="3117" xr:uid="{00000000-0005-0000-0000-00004D0C0000}"/>
    <cellStyle name="Style 221" xfId="3118" xr:uid="{00000000-0005-0000-0000-00004E0C0000}"/>
    <cellStyle name="Style 221 2" xfId="3119" xr:uid="{00000000-0005-0000-0000-00004F0C0000}"/>
    <cellStyle name="Style 222" xfId="3120" xr:uid="{00000000-0005-0000-0000-0000500C0000}"/>
    <cellStyle name="Style 222 2" xfId="3121" xr:uid="{00000000-0005-0000-0000-0000510C0000}"/>
    <cellStyle name="Style 223" xfId="3122" xr:uid="{00000000-0005-0000-0000-0000520C0000}"/>
    <cellStyle name="Style 223 2" xfId="3123" xr:uid="{00000000-0005-0000-0000-0000530C0000}"/>
    <cellStyle name="Style 224" xfId="3124" xr:uid="{00000000-0005-0000-0000-0000540C0000}"/>
    <cellStyle name="Style 224 2" xfId="3125" xr:uid="{00000000-0005-0000-0000-0000550C0000}"/>
    <cellStyle name="Style 225" xfId="3126" xr:uid="{00000000-0005-0000-0000-0000560C0000}"/>
    <cellStyle name="Style 225 2" xfId="3127" xr:uid="{00000000-0005-0000-0000-0000570C0000}"/>
    <cellStyle name="Style 226" xfId="3128" xr:uid="{00000000-0005-0000-0000-0000580C0000}"/>
    <cellStyle name="Style 226 2" xfId="3129" xr:uid="{00000000-0005-0000-0000-0000590C0000}"/>
    <cellStyle name="Style 227" xfId="3130" xr:uid="{00000000-0005-0000-0000-00005A0C0000}"/>
    <cellStyle name="Style 227 2" xfId="3131" xr:uid="{00000000-0005-0000-0000-00005B0C0000}"/>
    <cellStyle name="Style 228" xfId="3132" xr:uid="{00000000-0005-0000-0000-00005C0C0000}"/>
    <cellStyle name="Style 228 2" xfId="3133" xr:uid="{00000000-0005-0000-0000-00005D0C0000}"/>
    <cellStyle name="Style 229" xfId="3134" xr:uid="{00000000-0005-0000-0000-00005E0C0000}"/>
    <cellStyle name="Style 229 2" xfId="3135" xr:uid="{00000000-0005-0000-0000-00005F0C0000}"/>
    <cellStyle name="Style 23" xfId="3136" xr:uid="{00000000-0005-0000-0000-0000600C0000}"/>
    <cellStyle name="Style 23 2" xfId="3137" xr:uid="{00000000-0005-0000-0000-0000610C0000}"/>
    <cellStyle name="Style 23 3" xfId="3138" xr:uid="{00000000-0005-0000-0000-0000620C0000}"/>
    <cellStyle name="Style 230" xfId="3139" xr:uid="{00000000-0005-0000-0000-0000630C0000}"/>
    <cellStyle name="Style 230 2" xfId="3140" xr:uid="{00000000-0005-0000-0000-0000640C0000}"/>
    <cellStyle name="Style 231" xfId="3141" xr:uid="{00000000-0005-0000-0000-0000650C0000}"/>
    <cellStyle name="Style 231 2" xfId="3142" xr:uid="{00000000-0005-0000-0000-0000660C0000}"/>
    <cellStyle name="Style 232" xfId="3143" xr:uid="{00000000-0005-0000-0000-0000670C0000}"/>
    <cellStyle name="Style 232 2" xfId="3144" xr:uid="{00000000-0005-0000-0000-0000680C0000}"/>
    <cellStyle name="Style 233" xfId="3145" xr:uid="{00000000-0005-0000-0000-0000690C0000}"/>
    <cellStyle name="Style 233 2" xfId="3146" xr:uid="{00000000-0005-0000-0000-00006A0C0000}"/>
    <cellStyle name="Style 234" xfId="3147" xr:uid="{00000000-0005-0000-0000-00006B0C0000}"/>
    <cellStyle name="Style 234 2" xfId="3148" xr:uid="{00000000-0005-0000-0000-00006C0C0000}"/>
    <cellStyle name="Style 235" xfId="3149" xr:uid="{00000000-0005-0000-0000-00006D0C0000}"/>
    <cellStyle name="Style 235 2" xfId="3150" xr:uid="{00000000-0005-0000-0000-00006E0C0000}"/>
    <cellStyle name="Style 236" xfId="3151" xr:uid="{00000000-0005-0000-0000-00006F0C0000}"/>
    <cellStyle name="Style 236 2" xfId="3152" xr:uid="{00000000-0005-0000-0000-0000700C0000}"/>
    <cellStyle name="Style 237" xfId="3153" xr:uid="{00000000-0005-0000-0000-0000710C0000}"/>
    <cellStyle name="Style 237 2" xfId="3154" xr:uid="{00000000-0005-0000-0000-0000720C0000}"/>
    <cellStyle name="Style 238" xfId="3155" xr:uid="{00000000-0005-0000-0000-0000730C0000}"/>
    <cellStyle name="Style 238 2" xfId="3156" xr:uid="{00000000-0005-0000-0000-0000740C0000}"/>
    <cellStyle name="Style 239" xfId="3157" xr:uid="{00000000-0005-0000-0000-0000750C0000}"/>
    <cellStyle name="Style 239 2" xfId="3158" xr:uid="{00000000-0005-0000-0000-0000760C0000}"/>
    <cellStyle name="Style 24" xfId="3159" xr:uid="{00000000-0005-0000-0000-0000770C0000}"/>
    <cellStyle name="Style 24 2" xfId="3160" xr:uid="{00000000-0005-0000-0000-0000780C0000}"/>
    <cellStyle name="Style 240" xfId="3161" xr:uid="{00000000-0005-0000-0000-0000790C0000}"/>
    <cellStyle name="Style 240 2" xfId="3162" xr:uid="{00000000-0005-0000-0000-00007A0C0000}"/>
    <cellStyle name="Style 241" xfId="3163" xr:uid="{00000000-0005-0000-0000-00007B0C0000}"/>
    <cellStyle name="Style 241 2" xfId="3164" xr:uid="{00000000-0005-0000-0000-00007C0C0000}"/>
    <cellStyle name="Style 25" xfId="3165" xr:uid="{00000000-0005-0000-0000-00007D0C0000}"/>
    <cellStyle name="Style 25 2" xfId="3166" xr:uid="{00000000-0005-0000-0000-00007E0C0000}"/>
    <cellStyle name="Style 25 3" xfId="3167" xr:uid="{00000000-0005-0000-0000-00007F0C0000}"/>
    <cellStyle name="Style 26" xfId="3168" xr:uid="{00000000-0005-0000-0000-0000800C0000}"/>
    <cellStyle name="Style 26 2" xfId="3169" xr:uid="{00000000-0005-0000-0000-0000810C0000}"/>
    <cellStyle name="Style 26 3" xfId="3170" xr:uid="{00000000-0005-0000-0000-0000820C0000}"/>
    <cellStyle name="Style 27" xfId="3171" xr:uid="{00000000-0005-0000-0000-0000830C0000}"/>
    <cellStyle name="Style 27 2" xfId="3172" xr:uid="{00000000-0005-0000-0000-0000840C0000}"/>
    <cellStyle name="Style 27 3" xfId="3173" xr:uid="{00000000-0005-0000-0000-0000850C0000}"/>
    <cellStyle name="Style 28" xfId="3174" xr:uid="{00000000-0005-0000-0000-0000860C0000}"/>
    <cellStyle name="Style 28 2" xfId="3175" xr:uid="{00000000-0005-0000-0000-0000870C0000}"/>
    <cellStyle name="Style 29" xfId="3176" xr:uid="{00000000-0005-0000-0000-0000880C0000}"/>
    <cellStyle name="Style 29 2" xfId="3177" xr:uid="{00000000-0005-0000-0000-0000890C0000}"/>
    <cellStyle name="Style 29 3" xfId="3178" xr:uid="{00000000-0005-0000-0000-00008A0C0000}"/>
    <cellStyle name="Style 3" xfId="3179" xr:uid="{00000000-0005-0000-0000-00008B0C0000}"/>
    <cellStyle name="Style 3 2" xfId="3180" xr:uid="{00000000-0005-0000-0000-00008C0C0000}"/>
    <cellStyle name="Style 3 3" xfId="3181" xr:uid="{00000000-0005-0000-0000-00008D0C0000}"/>
    <cellStyle name="Style 30" xfId="3182" xr:uid="{00000000-0005-0000-0000-00008E0C0000}"/>
    <cellStyle name="Style 30 2" xfId="3183" xr:uid="{00000000-0005-0000-0000-00008F0C0000}"/>
    <cellStyle name="Style 30 3" xfId="3184" xr:uid="{00000000-0005-0000-0000-0000900C0000}"/>
    <cellStyle name="Style 31" xfId="3185" xr:uid="{00000000-0005-0000-0000-0000910C0000}"/>
    <cellStyle name="Style 31 2" xfId="3186" xr:uid="{00000000-0005-0000-0000-0000920C0000}"/>
    <cellStyle name="Style 31 3" xfId="3187" xr:uid="{00000000-0005-0000-0000-0000930C0000}"/>
    <cellStyle name="Style 32" xfId="3188" xr:uid="{00000000-0005-0000-0000-0000940C0000}"/>
    <cellStyle name="Style 32 2" xfId="3189" xr:uid="{00000000-0005-0000-0000-0000950C0000}"/>
    <cellStyle name="Style 32 3" xfId="3190" xr:uid="{00000000-0005-0000-0000-0000960C0000}"/>
    <cellStyle name="Style 33" xfId="3191" xr:uid="{00000000-0005-0000-0000-0000970C0000}"/>
    <cellStyle name="Style 33 2" xfId="3192" xr:uid="{00000000-0005-0000-0000-0000980C0000}"/>
    <cellStyle name="Style 33 3" xfId="3193" xr:uid="{00000000-0005-0000-0000-0000990C0000}"/>
    <cellStyle name="Style 34" xfId="3194" xr:uid="{00000000-0005-0000-0000-00009A0C0000}"/>
    <cellStyle name="Style 34 2" xfId="3195" xr:uid="{00000000-0005-0000-0000-00009B0C0000}"/>
    <cellStyle name="Style 34 3" xfId="3196" xr:uid="{00000000-0005-0000-0000-00009C0C0000}"/>
    <cellStyle name="Style 35" xfId="3197" xr:uid="{00000000-0005-0000-0000-00009D0C0000}"/>
    <cellStyle name="Style 35 2" xfId="3198" xr:uid="{00000000-0005-0000-0000-00009E0C0000}"/>
    <cellStyle name="Style 35 3" xfId="3199" xr:uid="{00000000-0005-0000-0000-00009F0C0000}"/>
    <cellStyle name="Style 36" xfId="3200" xr:uid="{00000000-0005-0000-0000-0000A00C0000}"/>
    <cellStyle name="Style 36 2" xfId="3201" xr:uid="{00000000-0005-0000-0000-0000A10C0000}"/>
    <cellStyle name="Style 36 3" xfId="3202" xr:uid="{00000000-0005-0000-0000-0000A20C0000}"/>
    <cellStyle name="Style 37" xfId="3203" xr:uid="{00000000-0005-0000-0000-0000A30C0000}"/>
    <cellStyle name="Style 37 2" xfId="3204" xr:uid="{00000000-0005-0000-0000-0000A40C0000}"/>
    <cellStyle name="Style 38" xfId="3205" xr:uid="{00000000-0005-0000-0000-0000A50C0000}"/>
    <cellStyle name="Style 38 2" xfId="3206" xr:uid="{00000000-0005-0000-0000-0000A60C0000}"/>
    <cellStyle name="Style 39" xfId="3207" xr:uid="{00000000-0005-0000-0000-0000A70C0000}"/>
    <cellStyle name="Style 39 2" xfId="3208" xr:uid="{00000000-0005-0000-0000-0000A80C0000}"/>
    <cellStyle name="Style 39 3" xfId="3209" xr:uid="{00000000-0005-0000-0000-0000A90C0000}"/>
    <cellStyle name="Style 4" xfId="3210" xr:uid="{00000000-0005-0000-0000-0000AA0C0000}"/>
    <cellStyle name="Style 4 2" xfId="3211" xr:uid="{00000000-0005-0000-0000-0000AB0C0000}"/>
    <cellStyle name="Style 4 3" xfId="3212" xr:uid="{00000000-0005-0000-0000-0000AC0C0000}"/>
    <cellStyle name="Style 40" xfId="3213" xr:uid="{00000000-0005-0000-0000-0000AD0C0000}"/>
    <cellStyle name="Style 40 2" xfId="3214" xr:uid="{00000000-0005-0000-0000-0000AE0C0000}"/>
    <cellStyle name="Style 41" xfId="3215" xr:uid="{00000000-0005-0000-0000-0000AF0C0000}"/>
    <cellStyle name="Style 41 2" xfId="3216" xr:uid="{00000000-0005-0000-0000-0000B00C0000}"/>
    <cellStyle name="Style 42" xfId="3217" xr:uid="{00000000-0005-0000-0000-0000B10C0000}"/>
    <cellStyle name="Style 42 2" xfId="3218" xr:uid="{00000000-0005-0000-0000-0000B20C0000}"/>
    <cellStyle name="Style 42 3" xfId="3219" xr:uid="{00000000-0005-0000-0000-0000B30C0000}"/>
    <cellStyle name="Style 43" xfId="3220" xr:uid="{00000000-0005-0000-0000-0000B40C0000}"/>
    <cellStyle name="Style 43 2" xfId="3221" xr:uid="{00000000-0005-0000-0000-0000B50C0000}"/>
    <cellStyle name="Style 44" xfId="3222" xr:uid="{00000000-0005-0000-0000-0000B60C0000}"/>
    <cellStyle name="Style 44 2" xfId="3223" xr:uid="{00000000-0005-0000-0000-0000B70C0000}"/>
    <cellStyle name="Style 44 3" xfId="3224" xr:uid="{00000000-0005-0000-0000-0000B80C0000}"/>
    <cellStyle name="Style 45" xfId="3225" xr:uid="{00000000-0005-0000-0000-0000B90C0000}"/>
    <cellStyle name="Style 45 2" xfId="3226" xr:uid="{00000000-0005-0000-0000-0000BA0C0000}"/>
    <cellStyle name="Style 45 3" xfId="3227" xr:uid="{00000000-0005-0000-0000-0000BB0C0000}"/>
    <cellStyle name="Style 46" xfId="3228" xr:uid="{00000000-0005-0000-0000-0000BC0C0000}"/>
    <cellStyle name="Style 46 2" xfId="3229" xr:uid="{00000000-0005-0000-0000-0000BD0C0000}"/>
    <cellStyle name="Style 46 3" xfId="3230" xr:uid="{00000000-0005-0000-0000-0000BE0C0000}"/>
    <cellStyle name="Style 47" xfId="3231" xr:uid="{00000000-0005-0000-0000-0000BF0C0000}"/>
    <cellStyle name="Style 47 2" xfId="3232" xr:uid="{00000000-0005-0000-0000-0000C00C0000}"/>
    <cellStyle name="Style 47 3" xfId="3233" xr:uid="{00000000-0005-0000-0000-0000C10C0000}"/>
    <cellStyle name="Style 48" xfId="3234" xr:uid="{00000000-0005-0000-0000-0000C20C0000}"/>
    <cellStyle name="Style 48 2" xfId="3235" xr:uid="{00000000-0005-0000-0000-0000C30C0000}"/>
    <cellStyle name="Style 48 3" xfId="3236" xr:uid="{00000000-0005-0000-0000-0000C40C0000}"/>
    <cellStyle name="Style 49" xfId="3237" xr:uid="{00000000-0005-0000-0000-0000C50C0000}"/>
    <cellStyle name="Style 49 2" xfId="3238" xr:uid="{00000000-0005-0000-0000-0000C60C0000}"/>
    <cellStyle name="Style 49 3" xfId="3239" xr:uid="{00000000-0005-0000-0000-0000C70C0000}"/>
    <cellStyle name="Style 5" xfId="3240" xr:uid="{00000000-0005-0000-0000-0000C80C0000}"/>
    <cellStyle name="Style 5 2" xfId="3241" xr:uid="{00000000-0005-0000-0000-0000C90C0000}"/>
    <cellStyle name="Style 5 3" xfId="3242" xr:uid="{00000000-0005-0000-0000-0000CA0C0000}"/>
    <cellStyle name="Style 50" xfId="3243" xr:uid="{00000000-0005-0000-0000-0000CB0C0000}"/>
    <cellStyle name="Style 50 2" xfId="3244" xr:uid="{00000000-0005-0000-0000-0000CC0C0000}"/>
    <cellStyle name="Style 50 3" xfId="3245" xr:uid="{00000000-0005-0000-0000-0000CD0C0000}"/>
    <cellStyle name="Style 51" xfId="3246" xr:uid="{00000000-0005-0000-0000-0000CE0C0000}"/>
    <cellStyle name="Style 51 2" xfId="3247" xr:uid="{00000000-0005-0000-0000-0000CF0C0000}"/>
    <cellStyle name="Style 51 3" xfId="3248" xr:uid="{00000000-0005-0000-0000-0000D00C0000}"/>
    <cellStyle name="Style 52" xfId="3249" xr:uid="{00000000-0005-0000-0000-0000D10C0000}"/>
    <cellStyle name="Style 52 2" xfId="3250" xr:uid="{00000000-0005-0000-0000-0000D20C0000}"/>
    <cellStyle name="Style 52 3" xfId="3251" xr:uid="{00000000-0005-0000-0000-0000D30C0000}"/>
    <cellStyle name="Style 53" xfId="3252" xr:uid="{00000000-0005-0000-0000-0000D40C0000}"/>
    <cellStyle name="Style 53 2" xfId="3253" xr:uid="{00000000-0005-0000-0000-0000D50C0000}"/>
    <cellStyle name="Style 53 3" xfId="3254" xr:uid="{00000000-0005-0000-0000-0000D60C0000}"/>
    <cellStyle name="Style 54" xfId="3255" xr:uid="{00000000-0005-0000-0000-0000D70C0000}"/>
    <cellStyle name="Style 54 2" xfId="3256" xr:uid="{00000000-0005-0000-0000-0000D80C0000}"/>
    <cellStyle name="Style 54 3" xfId="3257" xr:uid="{00000000-0005-0000-0000-0000D90C0000}"/>
    <cellStyle name="Style 55" xfId="3258" xr:uid="{00000000-0005-0000-0000-0000DA0C0000}"/>
    <cellStyle name="Style 55 2" xfId="3259" xr:uid="{00000000-0005-0000-0000-0000DB0C0000}"/>
    <cellStyle name="Style 55 3" xfId="3260" xr:uid="{00000000-0005-0000-0000-0000DC0C0000}"/>
    <cellStyle name="Style 56" xfId="3261" xr:uid="{00000000-0005-0000-0000-0000DD0C0000}"/>
    <cellStyle name="Style 56 2" xfId="3262" xr:uid="{00000000-0005-0000-0000-0000DE0C0000}"/>
    <cellStyle name="Style 56 3" xfId="3263" xr:uid="{00000000-0005-0000-0000-0000DF0C0000}"/>
    <cellStyle name="Style 57" xfId="3264" xr:uid="{00000000-0005-0000-0000-0000E00C0000}"/>
    <cellStyle name="Style 57 2" xfId="3265" xr:uid="{00000000-0005-0000-0000-0000E10C0000}"/>
    <cellStyle name="Style 57 3" xfId="3266" xr:uid="{00000000-0005-0000-0000-0000E20C0000}"/>
    <cellStyle name="Style 58" xfId="3267" xr:uid="{00000000-0005-0000-0000-0000E30C0000}"/>
    <cellStyle name="Style 58 2" xfId="3268" xr:uid="{00000000-0005-0000-0000-0000E40C0000}"/>
    <cellStyle name="Style 59" xfId="3269" xr:uid="{00000000-0005-0000-0000-0000E50C0000}"/>
    <cellStyle name="Style 59 2" xfId="3270" xr:uid="{00000000-0005-0000-0000-0000E60C0000}"/>
    <cellStyle name="Style 59 3" xfId="3271" xr:uid="{00000000-0005-0000-0000-0000E70C0000}"/>
    <cellStyle name="Style 6" xfId="3272" xr:uid="{00000000-0005-0000-0000-0000E80C0000}"/>
    <cellStyle name="Style 6 2" xfId="3273" xr:uid="{00000000-0005-0000-0000-0000E90C0000}"/>
    <cellStyle name="Style 6 3" xfId="3274" xr:uid="{00000000-0005-0000-0000-0000EA0C0000}"/>
    <cellStyle name="Style 60" xfId="3275" xr:uid="{00000000-0005-0000-0000-0000EB0C0000}"/>
    <cellStyle name="Style 60 2" xfId="3276" xr:uid="{00000000-0005-0000-0000-0000EC0C0000}"/>
    <cellStyle name="Style 60 3" xfId="3277" xr:uid="{00000000-0005-0000-0000-0000ED0C0000}"/>
    <cellStyle name="Style 61" xfId="3278" xr:uid="{00000000-0005-0000-0000-0000EE0C0000}"/>
    <cellStyle name="Style 61 2" xfId="3279" xr:uid="{00000000-0005-0000-0000-0000EF0C0000}"/>
    <cellStyle name="Style 61 3" xfId="3280" xr:uid="{00000000-0005-0000-0000-0000F00C0000}"/>
    <cellStyle name="Style 62" xfId="3281" xr:uid="{00000000-0005-0000-0000-0000F10C0000}"/>
    <cellStyle name="Style 62 2" xfId="3282" xr:uid="{00000000-0005-0000-0000-0000F20C0000}"/>
    <cellStyle name="Style 62 3" xfId="3283" xr:uid="{00000000-0005-0000-0000-0000F30C0000}"/>
    <cellStyle name="Style 63" xfId="3284" xr:uid="{00000000-0005-0000-0000-0000F40C0000}"/>
    <cellStyle name="Style 63 2" xfId="3285" xr:uid="{00000000-0005-0000-0000-0000F50C0000}"/>
    <cellStyle name="Style 63 3" xfId="3286" xr:uid="{00000000-0005-0000-0000-0000F60C0000}"/>
    <cellStyle name="Style 64" xfId="3287" xr:uid="{00000000-0005-0000-0000-0000F70C0000}"/>
    <cellStyle name="Style 64 2" xfId="3288" xr:uid="{00000000-0005-0000-0000-0000F80C0000}"/>
    <cellStyle name="Style 65" xfId="3289" xr:uid="{00000000-0005-0000-0000-0000F90C0000}"/>
    <cellStyle name="Style 65 2" xfId="3290" xr:uid="{00000000-0005-0000-0000-0000FA0C0000}"/>
    <cellStyle name="Style 66" xfId="3291" xr:uid="{00000000-0005-0000-0000-0000FB0C0000}"/>
    <cellStyle name="Style 66 2" xfId="3292" xr:uid="{00000000-0005-0000-0000-0000FC0C0000}"/>
    <cellStyle name="Style 66 3" xfId="3293" xr:uid="{00000000-0005-0000-0000-0000FD0C0000}"/>
    <cellStyle name="Style 67" xfId="3294" xr:uid="{00000000-0005-0000-0000-0000FE0C0000}"/>
    <cellStyle name="Style 67 2" xfId="3295" xr:uid="{00000000-0005-0000-0000-0000FF0C0000}"/>
    <cellStyle name="Style 67 3" xfId="3296" xr:uid="{00000000-0005-0000-0000-0000000D0000}"/>
    <cellStyle name="Style 68" xfId="3297" xr:uid="{00000000-0005-0000-0000-0000010D0000}"/>
    <cellStyle name="Style 68 2" xfId="3298" xr:uid="{00000000-0005-0000-0000-0000020D0000}"/>
    <cellStyle name="Style 68 3" xfId="3299" xr:uid="{00000000-0005-0000-0000-0000030D0000}"/>
    <cellStyle name="Style 69" xfId="3300" xr:uid="{00000000-0005-0000-0000-0000040D0000}"/>
    <cellStyle name="Style 69 2" xfId="3301" xr:uid="{00000000-0005-0000-0000-0000050D0000}"/>
    <cellStyle name="Style 69 3" xfId="3302" xr:uid="{00000000-0005-0000-0000-0000060D0000}"/>
    <cellStyle name="Style 7" xfId="3303" xr:uid="{00000000-0005-0000-0000-0000070D0000}"/>
    <cellStyle name="Style 7 2" xfId="3304" xr:uid="{00000000-0005-0000-0000-0000080D0000}"/>
    <cellStyle name="Style 7 3" xfId="3305" xr:uid="{00000000-0005-0000-0000-0000090D0000}"/>
    <cellStyle name="Style 70" xfId="3306" xr:uid="{00000000-0005-0000-0000-00000A0D0000}"/>
    <cellStyle name="Style 70 2" xfId="3307" xr:uid="{00000000-0005-0000-0000-00000B0D0000}"/>
    <cellStyle name="Style 70 3" xfId="3308" xr:uid="{00000000-0005-0000-0000-00000C0D0000}"/>
    <cellStyle name="Style 71" xfId="3309" xr:uid="{00000000-0005-0000-0000-00000D0D0000}"/>
    <cellStyle name="Style 71 2" xfId="3310" xr:uid="{00000000-0005-0000-0000-00000E0D0000}"/>
    <cellStyle name="Style 72" xfId="3311" xr:uid="{00000000-0005-0000-0000-00000F0D0000}"/>
    <cellStyle name="Style 72 2" xfId="3312" xr:uid="{00000000-0005-0000-0000-0000100D0000}"/>
    <cellStyle name="Style 73" xfId="3313" xr:uid="{00000000-0005-0000-0000-0000110D0000}"/>
    <cellStyle name="Style 73 2" xfId="3314" xr:uid="{00000000-0005-0000-0000-0000120D0000}"/>
    <cellStyle name="Style 73 3" xfId="3315" xr:uid="{00000000-0005-0000-0000-0000130D0000}"/>
    <cellStyle name="Style 74" xfId="3316" xr:uid="{00000000-0005-0000-0000-0000140D0000}"/>
    <cellStyle name="Style 74 2" xfId="3317" xr:uid="{00000000-0005-0000-0000-0000150D0000}"/>
    <cellStyle name="Style 74 3" xfId="3318" xr:uid="{00000000-0005-0000-0000-0000160D0000}"/>
    <cellStyle name="Style 75" xfId="3319" xr:uid="{00000000-0005-0000-0000-0000170D0000}"/>
    <cellStyle name="Style 75 2" xfId="3320" xr:uid="{00000000-0005-0000-0000-0000180D0000}"/>
    <cellStyle name="Style 75 3" xfId="3321" xr:uid="{00000000-0005-0000-0000-0000190D0000}"/>
    <cellStyle name="Style 76" xfId="3322" xr:uid="{00000000-0005-0000-0000-00001A0D0000}"/>
    <cellStyle name="Style 76 2" xfId="3323" xr:uid="{00000000-0005-0000-0000-00001B0D0000}"/>
    <cellStyle name="Style 76 3" xfId="3324" xr:uid="{00000000-0005-0000-0000-00001C0D0000}"/>
    <cellStyle name="Style 77" xfId="3325" xr:uid="{00000000-0005-0000-0000-00001D0D0000}"/>
    <cellStyle name="Style 77 2" xfId="3326" xr:uid="{00000000-0005-0000-0000-00001E0D0000}"/>
    <cellStyle name="Style 78" xfId="3327" xr:uid="{00000000-0005-0000-0000-00001F0D0000}"/>
    <cellStyle name="Style 78 2" xfId="3328" xr:uid="{00000000-0005-0000-0000-0000200D0000}"/>
    <cellStyle name="Style 78 3" xfId="3329" xr:uid="{00000000-0005-0000-0000-0000210D0000}"/>
    <cellStyle name="Style 79" xfId="3330" xr:uid="{00000000-0005-0000-0000-0000220D0000}"/>
    <cellStyle name="Style 79 2" xfId="3331" xr:uid="{00000000-0005-0000-0000-0000230D0000}"/>
    <cellStyle name="Style 79 3" xfId="3332" xr:uid="{00000000-0005-0000-0000-0000240D0000}"/>
    <cellStyle name="Style 8" xfId="3333" xr:uid="{00000000-0005-0000-0000-0000250D0000}"/>
    <cellStyle name="Style 8 2" xfId="3334" xr:uid="{00000000-0005-0000-0000-0000260D0000}"/>
    <cellStyle name="Style 8 3" xfId="3335" xr:uid="{00000000-0005-0000-0000-0000270D0000}"/>
    <cellStyle name="Style 80" xfId="3336" xr:uid="{00000000-0005-0000-0000-0000280D0000}"/>
    <cellStyle name="Style 80 2" xfId="3337" xr:uid="{00000000-0005-0000-0000-0000290D0000}"/>
    <cellStyle name="Style 80 3" xfId="3338" xr:uid="{00000000-0005-0000-0000-00002A0D0000}"/>
    <cellStyle name="Style 81" xfId="3339" xr:uid="{00000000-0005-0000-0000-00002B0D0000}"/>
    <cellStyle name="Style 81 2" xfId="3340" xr:uid="{00000000-0005-0000-0000-00002C0D0000}"/>
    <cellStyle name="Style 81 3" xfId="3341" xr:uid="{00000000-0005-0000-0000-00002D0D0000}"/>
    <cellStyle name="Style 82" xfId="3342" xr:uid="{00000000-0005-0000-0000-00002E0D0000}"/>
    <cellStyle name="Style 82 2" xfId="3343" xr:uid="{00000000-0005-0000-0000-00002F0D0000}"/>
    <cellStyle name="Style 82 3" xfId="3344" xr:uid="{00000000-0005-0000-0000-0000300D0000}"/>
    <cellStyle name="Style 83" xfId="3345" xr:uid="{00000000-0005-0000-0000-0000310D0000}"/>
    <cellStyle name="Style 83 2" xfId="3346" xr:uid="{00000000-0005-0000-0000-0000320D0000}"/>
    <cellStyle name="Style 83 3" xfId="3347" xr:uid="{00000000-0005-0000-0000-0000330D0000}"/>
    <cellStyle name="Style 84" xfId="3348" xr:uid="{00000000-0005-0000-0000-0000340D0000}"/>
    <cellStyle name="Style 84 2" xfId="3349" xr:uid="{00000000-0005-0000-0000-0000350D0000}"/>
    <cellStyle name="Style 84 3" xfId="3350" xr:uid="{00000000-0005-0000-0000-0000360D0000}"/>
    <cellStyle name="Style 85" xfId="3351" xr:uid="{00000000-0005-0000-0000-0000370D0000}"/>
    <cellStyle name="Style 85 2" xfId="3352" xr:uid="{00000000-0005-0000-0000-0000380D0000}"/>
    <cellStyle name="Style 85 3" xfId="3353" xr:uid="{00000000-0005-0000-0000-0000390D0000}"/>
    <cellStyle name="Style 86" xfId="3354" xr:uid="{00000000-0005-0000-0000-00003A0D0000}"/>
    <cellStyle name="Style 86 2" xfId="3355" xr:uid="{00000000-0005-0000-0000-00003B0D0000}"/>
    <cellStyle name="Style 86 3" xfId="3356" xr:uid="{00000000-0005-0000-0000-00003C0D0000}"/>
    <cellStyle name="Style 87" xfId="3357" xr:uid="{00000000-0005-0000-0000-00003D0D0000}"/>
    <cellStyle name="Style 87 2" xfId="3358" xr:uid="{00000000-0005-0000-0000-00003E0D0000}"/>
    <cellStyle name="Style 87 3" xfId="3359" xr:uid="{00000000-0005-0000-0000-00003F0D0000}"/>
    <cellStyle name="Style 88" xfId="3360" xr:uid="{00000000-0005-0000-0000-0000400D0000}"/>
    <cellStyle name="Style 88 2" xfId="3361" xr:uid="{00000000-0005-0000-0000-0000410D0000}"/>
    <cellStyle name="Style 89" xfId="3362" xr:uid="{00000000-0005-0000-0000-0000420D0000}"/>
    <cellStyle name="Style 89 2" xfId="3363" xr:uid="{00000000-0005-0000-0000-0000430D0000}"/>
    <cellStyle name="Style 89 3" xfId="3364" xr:uid="{00000000-0005-0000-0000-0000440D0000}"/>
    <cellStyle name="Style 9" xfId="3365" xr:uid="{00000000-0005-0000-0000-0000450D0000}"/>
    <cellStyle name="Style 9 2" xfId="3366" xr:uid="{00000000-0005-0000-0000-0000460D0000}"/>
    <cellStyle name="Style 9 3" xfId="3367" xr:uid="{00000000-0005-0000-0000-0000470D0000}"/>
    <cellStyle name="Style 90" xfId="3368" xr:uid="{00000000-0005-0000-0000-0000480D0000}"/>
    <cellStyle name="Style 90 2" xfId="3369" xr:uid="{00000000-0005-0000-0000-0000490D0000}"/>
    <cellStyle name="Style 90 3" xfId="3370" xr:uid="{00000000-0005-0000-0000-00004A0D0000}"/>
    <cellStyle name="Style 91" xfId="3371" xr:uid="{00000000-0005-0000-0000-00004B0D0000}"/>
    <cellStyle name="Style 91 2" xfId="3372" xr:uid="{00000000-0005-0000-0000-00004C0D0000}"/>
    <cellStyle name="Style 91 3" xfId="3373" xr:uid="{00000000-0005-0000-0000-00004D0D0000}"/>
    <cellStyle name="Style 92" xfId="3374" xr:uid="{00000000-0005-0000-0000-00004E0D0000}"/>
    <cellStyle name="Style 92 2" xfId="3375" xr:uid="{00000000-0005-0000-0000-00004F0D0000}"/>
    <cellStyle name="Style 93" xfId="3376" xr:uid="{00000000-0005-0000-0000-0000500D0000}"/>
    <cellStyle name="Style 93 2" xfId="3377" xr:uid="{00000000-0005-0000-0000-0000510D0000}"/>
    <cellStyle name="Style 93 3" xfId="3378" xr:uid="{00000000-0005-0000-0000-0000520D0000}"/>
    <cellStyle name="Style 94" xfId="3379" xr:uid="{00000000-0005-0000-0000-0000530D0000}"/>
    <cellStyle name="Style 94 2" xfId="3380" xr:uid="{00000000-0005-0000-0000-0000540D0000}"/>
    <cellStyle name="Style 94 3" xfId="3381" xr:uid="{00000000-0005-0000-0000-0000550D0000}"/>
    <cellStyle name="Style 95" xfId="3382" xr:uid="{00000000-0005-0000-0000-0000560D0000}"/>
    <cellStyle name="Style 95 2" xfId="3383" xr:uid="{00000000-0005-0000-0000-0000570D0000}"/>
    <cellStyle name="Style 95 3" xfId="3384" xr:uid="{00000000-0005-0000-0000-0000580D0000}"/>
    <cellStyle name="Style 96" xfId="3385" xr:uid="{00000000-0005-0000-0000-0000590D0000}"/>
    <cellStyle name="Style 96 2" xfId="3386" xr:uid="{00000000-0005-0000-0000-00005A0D0000}"/>
    <cellStyle name="Style 96 3" xfId="3387" xr:uid="{00000000-0005-0000-0000-00005B0D0000}"/>
    <cellStyle name="Style 97" xfId="3388" xr:uid="{00000000-0005-0000-0000-00005C0D0000}"/>
    <cellStyle name="Style 97 2" xfId="3389" xr:uid="{00000000-0005-0000-0000-00005D0D0000}"/>
    <cellStyle name="Style 97 3" xfId="3390" xr:uid="{00000000-0005-0000-0000-00005E0D0000}"/>
    <cellStyle name="Style 98" xfId="3391" xr:uid="{00000000-0005-0000-0000-00005F0D0000}"/>
    <cellStyle name="Style 98 2" xfId="3392" xr:uid="{00000000-0005-0000-0000-0000600D0000}"/>
    <cellStyle name="Style 98 3" xfId="3393" xr:uid="{00000000-0005-0000-0000-0000610D0000}"/>
    <cellStyle name="Style 99" xfId="3394" xr:uid="{00000000-0005-0000-0000-0000620D0000}"/>
    <cellStyle name="Style 99 2" xfId="3395" xr:uid="{00000000-0005-0000-0000-0000630D0000}"/>
    <cellStyle name="Style 99 3" xfId="3396" xr:uid="{00000000-0005-0000-0000-0000640D0000}"/>
    <cellStyle name="style_1" xfId="3397" xr:uid="{00000000-0005-0000-0000-0000650D0000}"/>
    <cellStyle name="subhead" xfId="3398" xr:uid="{00000000-0005-0000-0000-0000660D0000}"/>
    <cellStyle name="subhead 2" xfId="3399" xr:uid="{00000000-0005-0000-0000-0000670D0000}"/>
    <cellStyle name="subhead 3" xfId="3400" xr:uid="{00000000-0005-0000-0000-0000680D0000}"/>
    <cellStyle name="symbol" xfId="3401" xr:uid="{00000000-0005-0000-0000-0000690D0000}"/>
    <cellStyle name="symbol 2" xfId="3402" xr:uid="{00000000-0005-0000-0000-00006A0D0000}"/>
    <cellStyle name="symbol 3" xfId="3403" xr:uid="{00000000-0005-0000-0000-00006B0D0000}"/>
    <cellStyle name="T" xfId="3404" xr:uid="{00000000-0005-0000-0000-00006C0D0000}"/>
    <cellStyle name="T 2" xfId="3405" xr:uid="{00000000-0005-0000-0000-00006D0D0000}"/>
    <cellStyle name="T 3" xfId="3406" xr:uid="{00000000-0005-0000-0000-00006E0D0000}"/>
    <cellStyle name="T_(2)" xfId="3407" xr:uid="{00000000-0005-0000-0000-00006F0D0000}"/>
    <cellStyle name="T_bang cham cong_BCH" xfId="3408" xr:uid="{00000000-0005-0000-0000-0000700D0000}"/>
    <cellStyle name="T_BANG LUONG MOI KSDH va KSDC (co phu cap khu vuc)" xfId="3409" xr:uid="{00000000-0005-0000-0000-0000710D0000}"/>
    <cellStyle name="T_BANG LUONG MOI KSDH va KSDC (co phu cap khu vuc) 2" xfId="3410" xr:uid="{00000000-0005-0000-0000-0000720D0000}"/>
    <cellStyle name="T_BANG LUONG MOI KSDH va KSDC (co phu cap khu vuc) 3" xfId="3411" xr:uid="{00000000-0005-0000-0000-0000730D0000}"/>
    <cellStyle name="T_BANG LUONG MOI KSDH va KSDC (co phu cap khu vuc)_SUMMARY RC9 (1..." xfId="3412" xr:uid="{00000000-0005-0000-0000-0000740D0000}"/>
    <cellStyle name="T_Book1" xfId="3413" xr:uid="{00000000-0005-0000-0000-0000750D0000}"/>
    <cellStyle name="T_Book1 2" xfId="3414" xr:uid="{00000000-0005-0000-0000-0000760D0000}"/>
    <cellStyle name="T_Book1 2 2" xfId="3415" xr:uid="{00000000-0005-0000-0000-0000770D0000}"/>
    <cellStyle name="T_Book1 2_SUMMARY RC9 (1..." xfId="3416" xr:uid="{00000000-0005-0000-0000-0000780D0000}"/>
    <cellStyle name="T_Book1 3" xfId="3417" xr:uid="{00000000-0005-0000-0000-0000790D0000}"/>
    <cellStyle name="T_Book1 4" xfId="3418" xr:uid="{00000000-0005-0000-0000-00007A0D0000}"/>
    <cellStyle name="T_Book1_1" xfId="3419" xr:uid="{00000000-0005-0000-0000-00007B0D0000}"/>
    <cellStyle name="T_Book1_1 2" xfId="3420" xr:uid="{00000000-0005-0000-0000-00007C0D0000}"/>
    <cellStyle name="T_Book1_1 2 2" xfId="3421" xr:uid="{00000000-0005-0000-0000-00007D0D0000}"/>
    <cellStyle name="T_Book1_1 2_SUMMARY RC9 (1..." xfId="3422" xr:uid="{00000000-0005-0000-0000-00007E0D0000}"/>
    <cellStyle name="T_Book1_1 3" xfId="3423" xr:uid="{00000000-0005-0000-0000-00007F0D0000}"/>
    <cellStyle name="T_Book1_1 4" xfId="3424" xr:uid="{00000000-0005-0000-0000-0000800D0000}"/>
    <cellStyle name="T_Book1_HECO-NR78-Gui a-Vinh(15-5-07)" xfId="3425" xr:uid="{00000000-0005-0000-0000-0000810D0000}"/>
    <cellStyle name="T_Book1_HECO-NR78-Gui a-Vinh(15-5-07) 2" xfId="3426" xr:uid="{00000000-0005-0000-0000-0000820D0000}"/>
    <cellStyle name="T_Book1_HECO-NR78-Gui a-Vinh(15-5-07) 2 2" xfId="3427" xr:uid="{00000000-0005-0000-0000-0000830D0000}"/>
    <cellStyle name="T_Book1_HECO-NR78-Gui a-Vinh(15-5-07) 2_SUMMARY RC9 (1..." xfId="3428" xr:uid="{00000000-0005-0000-0000-0000840D0000}"/>
    <cellStyle name="T_Book1_HECO-NR78-Gui a-Vinh(15-5-07) 3" xfId="3429" xr:uid="{00000000-0005-0000-0000-0000850D0000}"/>
    <cellStyle name="T_Book1_HECO-NR78-Gui a-Vinh(15-5-07) 4" xfId="3430" xr:uid="{00000000-0005-0000-0000-0000860D0000}"/>
    <cellStyle name="T_CDKT" xfId="3431" xr:uid="{00000000-0005-0000-0000-0000870D0000}"/>
    <cellStyle name="T_CDKT 2" xfId="3432" xr:uid="{00000000-0005-0000-0000-0000880D0000}"/>
    <cellStyle name="T_CDKT 2 2" xfId="3433" xr:uid="{00000000-0005-0000-0000-0000890D0000}"/>
    <cellStyle name="T_CDKT 2_SUMMARY RC9 (1..." xfId="3434" xr:uid="{00000000-0005-0000-0000-00008A0D0000}"/>
    <cellStyle name="T_CDKT 3" xfId="3435" xr:uid="{00000000-0005-0000-0000-00008B0D0000}"/>
    <cellStyle name="T_CDKT 4" xfId="3436" xr:uid="{00000000-0005-0000-0000-00008C0D0000}"/>
    <cellStyle name="T_Cost for DD (summary)" xfId="3441" xr:uid="{00000000-0005-0000-0000-0000910D0000}"/>
    <cellStyle name="T_Cost for DD (summary) 2" xfId="3442" xr:uid="{00000000-0005-0000-0000-0000920D0000}"/>
    <cellStyle name="T_Cost for DD (summary) 2 2" xfId="3443" xr:uid="{00000000-0005-0000-0000-0000930D0000}"/>
    <cellStyle name="T_Cost for DD (summary) 2_SUMMARY RC9 (1..." xfId="3444" xr:uid="{00000000-0005-0000-0000-0000940D0000}"/>
    <cellStyle name="T_Cost for DD (summary) 3" xfId="3445" xr:uid="{00000000-0005-0000-0000-0000950D0000}"/>
    <cellStyle name="T_Cost for DD (summary) 4" xfId="3446" xr:uid="{00000000-0005-0000-0000-0000960D0000}"/>
    <cellStyle name="T_ChamCongBan_Yêu cầu không xoá &amp; Copy sang file #" xfId="3437" xr:uid="{00000000-0005-0000-0000-00008D0D0000}"/>
    <cellStyle name="T_ChamCongBan_Yêu cầu không xoá &amp; Copy sang file # 2" xfId="3438" xr:uid="{00000000-0005-0000-0000-00008E0D0000}"/>
    <cellStyle name="T_ChamCongBan_Yêu cầu không xoá &amp; Copy sang file #_(2)" xfId="3439" xr:uid="{00000000-0005-0000-0000-00008F0D0000}"/>
    <cellStyle name="T_ChamCongBan_Yêu cầu không xoá &amp; Copy sang file #_(4)" xfId="3440" xr:uid="{00000000-0005-0000-0000-0000900D0000}"/>
    <cellStyle name="T_DAU DO UT" xfId="3447" xr:uid="{00000000-0005-0000-0000-0000970D0000}"/>
    <cellStyle name="T_KIEM SOAT KICH THUOC TONG THEBK15-JACKET" xfId="3454" xr:uid="{00000000-0005-0000-0000-00009E0D0000}"/>
    <cellStyle name="T_KIEM SOAT KICH THUOC TONG THEBK15-JACKET_(2)" xfId="3455" xr:uid="{00000000-0005-0000-0000-00009F0D0000}"/>
    <cellStyle name="T_KIEM SOAT KICH THUOC TONG THEBK15-JACKET_(4)" xfId="3456" xr:uid="{00000000-0005-0000-0000-0000A00D0000}"/>
    <cellStyle name="T_KIEM SOAT KICH THUOC TONG THE-PIPING-RC4" xfId="3457" xr:uid="{00000000-0005-0000-0000-0000A10D0000}"/>
    <cellStyle name="T_Khao satD1" xfId="3448" xr:uid="{00000000-0005-0000-0000-0000980D0000}"/>
    <cellStyle name="T_Khao satD1 2" xfId="3449" xr:uid="{00000000-0005-0000-0000-0000990D0000}"/>
    <cellStyle name="T_Khao satD1 2 2" xfId="3450" xr:uid="{00000000-0005-0000-0000-00009A0D0000}"/>
    <cellStyle name="T_Khao satD1 2_SUMMARY RC9 (1..." xfId="3451" xr:uid="{00000000-0005-0000-0000-00009B0D0000}"/>
    <cellStyle name="T_Khao satD1 3" xfId="3452" xr:uid="{00000000-0005-0000-0000-00009C0D0000}"/>
    <cellStyle name="T_Khao satD1 4" xfId="3453" xr:uid="{00000000-0005-0000-0000-00009D0D0000}"/>
    <cellStyle name="T_REQUEST" xfId="3458" xr:uid="{00000000-0005-0000-0000-0000A20D0000}"/>
    <cellStyle name="T_RT thi tho han 100 -" xfId="3459" xr:uid="{00000000-0005-0000-0000-0000A30D0000}"/>
    <cellStyle name="T_RT thi tho han 100 - 2" xfId="3460" xr:uid="{00000000-0005-0000-0000-0000A40D0000}"/>
    <cellStyle name="T_RT(1-)" xfId="3461" xr:uid="{00000000-0005-0000-0000-0000A50D0000}"/>
    <cellStyle name="T_RT-FL 24-" xfId="3462" xr:uid="{00000000-0005-0000-0000-0000A60D0000}"/>
    <cellStyle name="T_SUMMARY RC9 (1..." xfId="3463" xr:uid="{00000000-0005-0000-0000-0000A70D0000}"/>
    <cellStyle name="T_tien2004" xfId="3469" xr:uid="{00000000-0005-0000-0000-0000AD0D0000}"/>
    <cellStyle name="T_tien2004 2" xfId="3470" xr:uid="{00000000-0005-0000-0000-0000AE0D0000}"/>
    <cellStyle name="T_tien2004 2 2" xfId="3471" xr:uid="{00000000-0005-0000-0000-0000AF0D0000}"/>
    <cellStyle name="T_tien2004 2_SUMMARY RC9 (1..." xfId="3472" xr:uid="{00000000-0005-0000-0000-0000B00D0000}"/>
    <cellStyle name="T_tien2004 3" xfId="3473" xr:uid="{00000000-0005-0000-0000-0000B10D0000}"/>
    <cellStyle name="T_tien2004 4" xfId="3474" xr:uid="{00000000-0005-0000-0000-0000B20D0000}"/>
    <cellStyle name="T_TKE-ChoDon-sua" xfId="3475" xr:uid="{00000000-0005-0000-0000-0000B30D0000}"/>
    <cellStyle name="T_TKE-ChoDon-sua 2" xfId="3476" xr:uid="{00000000-0005-0000-0000-0000B40D0000}"/>
    <cellStyle name="T_TKE-ChoDon-sua 3" xfId="3477" xr:uid="{00000000-0005-0000-0000-0000B50D0000}"/>
    <cellStyle name="T_TKE-ChoDon-sua_SUMMARY RC9 (1..." xfId="3478" xr:uid="{00000000-0005-0000-0000-0000B60D0000}"/>
    <cellStyle name="T_Thong ke" xfId="3464" xr:uid="{00000000-0005-0000-0000-0000A80D0000}"/>
    <cellStyle name="T_Thong ke 2" xfId="3465" xr:uid="{00000000-0005-0000-0000-0000A90D0000}"/>
    <cellStyle name="T_Thong ke 3" xfId="3466" xr:uid="{00000000-0005-0000-0000-0000AA0D0000}"/>
    <cellStyle name="T_Thong ke_SUMMARY RC9 (1..." xfId="3467" xr:uid="{00000000-0005-0000-0000-0000AB0D0000}"/>
    <cellStyle name="T_Thu, chi CT MOI 6" xfId="3468" xr:uid="{00000000-0005-0000-0000-0000AC0D0000}"/>
    <cellStyle name="tde" xfId="3479" xr:uid="{00000000-0005-0000-0000-0000B70D0000}"/>
    <cellStyle name="tde 2" xfId="3480" xr:uid="{00000000-0005-0000-0000-0000B80D0000}"/>
    <cellStyle name="Title 2" xfId="3494" xr:uid="{00000000-0005-0000-0000-0000C60D0000}"/>
    <cellStyle name="Title 2 2" xfId="3495" xr:uid="{00000000-0005-0000-0000-0000C70D0000}"/>
    <cellStyle name="Title 3" xfId="3496" xr:uid="{00000000-0005-0000-0000-0000C80D0000}"/>
    <cellStyle name="Total 2" xfId="3497" xr:uid="{00000000-0005-0000-0000-0000C90D0000}"/>
    <cellStyle name="Total 2 2" xfId="3498" xr:uid="{00000000-0005-0000-0000-0000CA0D0000}"/>
    <cellStyle name="Total 3" xfId="3499" xr:uid="{00000000-0005-0000-0000-0000CB0D0000}"/>
    <cellStyle name="th" xfId="3481" xr:uid="{00000000-0005-0000-0000-0000B90D0000}"/>
    <cellStyle name="th 2" xfId="3482" xr:uid="{00000000-0005-0000-0000-0000BA0D0000}"/>
    <cellStyle name="th 3" xfId="3483" xr:uid="{00000000-0005-0000-0000-0000BB0D0000}"/>
    <cellStyle name="th_SUMMARY RC9 (1..." xfId="3484" xr:uid="{00000000-0005-0000-0000-0000BC0D0000}"/>
    <cellStyle name="þ_x001d_ð¤_x000c_¯þ_x0014__x000d_¨þU_x0001_À_x0004_ _x0015__x000f__x0001__x0001_" xfId="3485" xr:uid="{00000000-0005-0000-0000-0000BD0D0000}"/>
    <cellStyle name="þ_x001d_ð¤_x000c_¯þ_x0014__x000d_¨þU_x0001_À_x0004_ _x0015__x000f__x0001__x0001_ 2" xfId="3486" xr:uid="{00000000-0005-0000-0000-0000BE0D0000}"/>
    <cellStyle name="þ_x001d_ð·_x000c_æþ'_x000d_ßþU_x0001_Ø_x0005_ü_x0014__x0007__x0001__x0001_" xfId="3487" xr:uid="{00000000-0005-0000-0000-0000BF0D0000}"/>
    <cellStyle name="þ_x001d_ð·_x000c_æþ'_x000d_ßþU_x0001_Ø_x0005_ü_x0014__x0007__x0001__x0001_ 2" xfId="3488" xr:uid="{00000000-0005-0000-0000-0000C00D0000}"/>
    <cellStyle name="þ_x001d_ð·_x000c_æþ'_x000d_ßþU_x0001_Ø_x0005_ü_x0014__x0007__x0001__x0001_ 3" xfId="3489" xr:uid="{00000000-0005-0000-0000-0000C10D0000}"/>
    <cellStyle name="þ_x001d_ð·_x000c_æþ'_x000d_ßþU_x0001_Ø_x0005_ü_x0014__x0007__x0001__x0001__SUMMARY RC9 (1..." xfId="3490" xr:uid="{00000000-0005-0000-0000-0000C20D0000}"/>
    <cellStyle name="þ_x001d_ðÇ%Uý—&amp;Hý9_x0008_Ÿ s_x000a__x0007__x0001__x0001_" xfId="3491" xr:uid="{00000000-0005-0000-0000-0000C30D0000}"/>
    <cellStyle name="þ_x001d_ðÇ%Uý—&amp;Hý9_x0008_Ÿ s_x000a__x0007__x0001__x0001_ 2" xfId="3492" xr:uid="{00000000-0005-0000-0000-0000C40D0000}"/>
    <cellStyle name="þ_x001d_ðÇ%Uý—&amp;Hý9_x0008_Ÿ_x0009_s_x000a__x0007__x0001__x0001_" xfId="3493" xr:uid="{00000000-0005-0000-0000-0000C50D0000}"/>
    <cellStyle name="Valuta (0)_CALPREZZ" xfId="3500" xr:uid="{00000000-0005-0000-0000-0000CC0D0000}"/>
    <cellStyle name="Valuta_ PESO ELETTR." xfId="3501" xr:uid="{00000000-0005-0000-0000-0000CD0D0000}"/>
    <cellStyle name="viet" xfId="3502" xr:uid="{00000000-0005-0000-0000-0000CE0D0000}"/>
    <cellStyle name="viet 2" xfId="3503" xr:uid="{00000000-0005-0000-0000-0000CF0D0000}"/>
    <cellStyle name="viet 3" xfId="3504" xr:uid="{00000000-0005-0000-0000-0000D00D0000}"/>
    <cellStyle name="viet_SUMMARY RC9 (1..." xfId="3505" xr:uid="{00000000-0005-0000-0000-0000D10D0000}"/>
    <cellStyle name="viet2" xfId="3506" xr:uid="{00000000-0005-0000-0000-0000D20D0000}"/>
    <cellStyle name="viet2 2" xfId="3507" xr:uid="{00000000-0005-0000-0000-0000D30D0000}"/>
    <cellStyle name="viet2 3" xfId="3508" xr:uid="{00000000-0005-0000-0000-0000D40D0000}"/>
    <cellStyle name="viet2_SUMMARY RC9 (1..." xfId="3509" xr:uid="{00000000-0005-0000-0000-0000D50D0000}"/>
    <cellStyle name="vn_time" xfId="3510" xr:uid="{00000000-0005-0000-0000-0000D60D0000}"/>
    <cellStyle name="vnbo" xfId="3511" xr:uid="{00000000-0005-0000-0000-0000D70D0000}"/>
    <cellStyle name="vntxt1" xfId="3520" xr:uid="{00000000-0005-0000-0000-0000E00D0000}"/>
    <cellStyle name="vntxt1 2" xfId="3521" xr:uid="{00000000-0005-0000-0000-0000E10D0000}"/>
    <cellStyle name="vntxt1 3" xfId="3522" xr:uid="{00000000-0005-0000-0000-0000E20D0000}"/>
    <cellStyle name="vntxt1_SUMMARY RC9 (1..." xfId="3523" xr:uid="{00000000-0005-0000-0000-0000E30D0000}"/>
    <cellStyle name="vntxt2" xfId="3524" xr:uid="{00000000-0005-0000-0000-0000E40D0000}"/>
    <cellStyle name="vntxt2 2" xfId="3525" xr:uid="{00000000-0005-0000-0000-0000E50D0000}"/>
    <cellStyle name="vnhead1" xfId="3512" xr:uid="{00000000-0005-0000-0000-0000D80D0000}"/>
    <cellStyle name="vnhead1 2" xfId="3513" xr:uid="{00000000-0005-0000-0000-0000D90D0000}"/>
    <cellStyle name="vnhead2" xfId="3514" xr:uid="{00000000-0005-0000-0000-0000DA0D0000}"/>
    <cellStyle name="vnhead2 2" xfId="3515" xr:uid="{00000000-0005-0000-0000-0000DB0D0000}"/>
    <cellStyle name="vnhead3" xfId="3516" xr:uid="{00000000-0005-0000-0000-0000DC0D0000}"/>
    <cellStyle name="vnhead3 2" xfId="3517" xr:uid="{00000000-0005-0000-0000-0000DD0D0000}"/>
    <cellStyle name="vnhead4" xfId="3518" xr:uid="{00000000-0005-0000-0000-0000DE0D0000}"/>
    <cellStyle name="vnhead4 2" xfId="3519" xr:uid="{00000000-0005-0000-0000-0000DF0D0000}"/>
    <cellStyle name="W36" xfId="3526" xr:uid="{00000000-0005-0000-0000-0000E60D0000}"/>
    <cellStyle name="W36 2" xfId="3527" xr:uid="{00000000-0005-0000-0000-0000E70D0000}"/>
    <cellStyle name="W36 3" xfId="3528" xr:uid="{00000000-0005-0000-0000-0000E80D0000}"/>
    <cellStyle name="Währung [0]_UXO VII" xfId="3529" xr:uid="{00000000-0005-0000-0000-0000E90D0000}"/>
    <cellStyle name="Währung_UXO VII" xfId="3530" xr:uid="{00000000-0005-0000-0000-0000EA0D0000}"/>
    <cellStyle name="Walutowy [0]_Invoices2001Slovakia" xfId="3531" xr:uid="{00000000-0005-0000-0000-0000EB0D0000}"/>
    <cellStyle name="Walutowy_Invoices2001Slovakia" xfId="3532" xr:uid="{00000000-0005-0000-0000-0000EC0D0000}"/>
    <cellStyle name="Warning Text 2" xfId="3533" xr:uid="{00000000-0005-0000-0000-0000ED0D0000}"/>
    <cellStyle name="Warning Text 2 2" xfId="3534" xr:uid="{00000000-0005-0000-0000-0000EE0D0000}"/>
    <cellStyle name="Warning Text 3" xfId="3535" xr:uid="{00000000-0005-0000-0000-0000EF0D0000}"/>
    <cellStyle name="xuan" xfId="3536" xr:uid="{00000000-0005-0000-0000-0000F00D0000}"/>
    <cellStyle name="xuan 2" xfId="3537" xr:uid="{00000000-0005-0000-0000-0000F10D0000}"/>
    <cellStyle name="Акцент1" xfId="3538" xr:uid="{00000000-0005-0000-0000-0000F20D0000}"/>
    <cellStyle name="Акцент2" xfId="3539" xr:uid="{00000000-0005-0000-0000-0000F30D0000}"/>
    <cellStyle name="Акцент3" xfId="3540" xr:uid="{00000000-0005-0000-0000-0000F40D0000}"/>
    <cellStyle name="Акцент4" xfId="3541" xr:uid="{00000000-0005-0000-0000-0000F50D0000}"/>
    <cellStyle name="Акцент5" xfId="3542" xr:uid="{00000000-0005-0000-0000-0000F60D0000}"/>
    <cellStyle name="Акцент6" xfId="3543" xr:uid="{00000000-0005-0000-0000-0000F70D0000}"/>
    <cellStyle name="Ввод " xfId="3544" xr:uid="{00000000-0005-0000-0000-0000F80D0000}"/>
    <cellStyle name="Вывод" xfId="3545" xr:uid="{00000000-0005-0000-0000-0000F90D0000}"/>
    <cellStyle name="Вычисление" xfId="3546" xr:uid="{00000000-0005-0000-0000-0000FA0D0000}"/>
    <cellStyle name="Заголовок 1" xfId="3547" xr:uid="{00000000-0005-0000-0000-0000FB0D0000}"/>
    <cellStyle name="Заголовок 2" xfId="3548" xr:uid="{00000000-0005-0000-0000-0000FC0D0000}"/>
    <cellStyle name="Заголовок 3" xfId="3549" xr:uid="{00000000-0005-0000-0000-0000FD0D0000}"/>
    <cellStyle name="Заголовок 4" xfId="3550" xr:uid="{00000000-0005-0000-0000-0000FE0D0000}"/>
    <cellStyle name="Итог" xfId="3551" xr:uid="{00000000-0005-0000-0000-0000FF0D0000}"/>
    <cellStyle name="Контрольная ячейка" xfId="3552" xr:uid="{00000000-0005-0000-0000-0000000E0000}"/>
    <cellStyle name="Название" xfId="3553" xr:uid="{00000000-0005-0000-0000-0000010E0000}"/>
    <cellStyle name="Нейтральный" xfId="3554" xr:uid="{00000000-0005-0000-0000-0000020E0000}"/>
    <cellStyle name="Плохой" xfId="3555" xr:uid="{00000000-0005-0000-0000-0000030E0000}"/>
    <cellStyle name="Пояснение" xfId="3556" xr:uid="{00000000-0005-0000-0000-0000040E0000}"/>
    <cellStyle name="Примечание" xfId="3557" xr:uid="{00000000-0005-0000-0000-0000050E0000}"/>
    <cellStyle name="Связанная ячейка" xfId="3558" xr:uid="{00000000-0005-0000-0000-0000060E0000}"/>
    <cellStyle name="Текст предупреждения" xfId="3559" xr:uid="{00000000-0005-0000-0000-0000070E0000}"/>
    <cellStyle name="Хороший" xfId="3560" xr:uid="{00000000-0005-0000-0000-0000080E0000}"/>
    <cellStyle name=" [0.00]_ Att. 1- Cover" xfId="3561" xr:uid="{00000000-0005-0000-0000-0000090E0000}"/>
    <cellStyle name="_ Att. 1- Cover" xfId="3562" xr:uid="{00000000-0005-0000-0000-00000A0E0000}"/>
    <cellStyle name="?_ Att. 1- Cover" xfId="3563" xr:uid="{00000000-0005-0000-0000-00000B0E0000}"/>
    <cellStyle name="똿뗦먛귟 [0.00]_PRODUCT DETAIL Q1" xfId="3564" xr:uid="{00000000-0005-0000-0000-00000C0E0000}"/>
    <cellStyle name="똿뗦먛귟_PRODUCT DETAIL Q1" xfId="3565" xr:uid="{00000000-0005-0000-0000-00000D0E0000}"/>
    <cellStyle name="믅됞 [0.00]_PRODUCT DETAIL Q1" xfId="3566" xr:uid="{00000000-0005-0000-0000-00000E0E0000}"/>
    <cellStyle name="믅됞_PRODUCT DETAIL Q1" xfId="3567" xr:uid="{00000000-0005-0000-0000-00000F0E0000}"/>
    <cellStyle name="백분율_95" xfId="3568" xr:uid="{00000000-0005-0000-0000-0000100E0000}"/>
    <cellStyle name="뷭?_BOOKSHIP" xfId="3569" xr:uid="{00000000-0005-0000-0000-0000110E0000}"/>
    <cellStyle name="콤마 [0]_ 비목별 월별기술 " xfId="3570" xr:uid="{00000000-0005-0000-0000-0000120E0000}"/>
    <cellStyle name="콤마_ 비목별 월별기술 " xfId="3571" xr:uid="{00000000-0005-0000-0000-0000130E0000}"/>
    <cellStyle name="통화 [0]_1" xfId="3572" xr:uid="{00000000-0005-0000-0000-0000140E0000}"/>
    <cellStyle name="통화_1" xfId="3573" xr:uid="{00000000-0005-0000-0000-0000150E0000}"/>
    <cellStyle name="표준_ 97년 경영분석(안)" xfId="3574" xr:uid="{00000000-0005-0000-0000-0000160E0000}"/>
    <cellStyle name="一般_00Q3902REV.1" xfId="3575" xr:uid="{00000000-0005-0000-0000-0000170E0000}"/>
    <cellStyle name="千位分隔_CCTV" xfId="3576" xr:uid="{00000000-0005-0000-0000-0000180E0000}"/>
    <cellStyle name="千分位[0]_00Q3902REV.1" xfId="3577" xr:uid="{00000000-0005-0000-0000-0000190E0000}"/>
    <cellStyle name="千分位_00Q3902REV.1" xfId="3578" xr:uid="{00000000-0005-0000-0000-00001A0E0000}"/>
    <cellStyle name="常规_215" xfId="3579" xr:uid="{00000000-0005-0000-0000-00001B0E0000}"/>
    <cellStyle name="未定義" xfId="3580" xr:uid="{00000000-0005-0000-0000-00001C0E0000}"/>
    <cellStyle name="未定義 2" xfId="3581" xr:uid="{00000000-0005-0000-0000-00001D0E0000}"/>
    <cellStyle name="未定義 3" xfId="3582" xr:uid="{00000000-0005-0000-0000-00001E0E0000}"/>
    <cellStyle name="桁区切り [0.00]_BE-BQ" xfId="3583" xr:uid="{00000000-0005-0000-0000-00001F0E0000}"/>
    <cellStyle name="桁区切り_BE-BQ" xfId="3584" xr:uid="{00000000-0005-0000-0000-0000200E0000}"/>
    <cellStyle name="標準_(A1)BOQ " xfId="3585" xr:uid="{00000000-0005-0000-0000-0000210E0000}"/>
    <cellStyle name="貨幣 [0]_00Q3902REV.1" xfId="3586" xr:uid="{00000000-0005-0000-0000-0000220E0000}"/>
    <cellStyle name="貨幣[0]_BRE" xfId="3587" xr:uid="{00000000-0005-0000-0000-0000230E0000}"/>
    <cellStyle name="貨幣_00Q3902REV.1" xfId="3588" xr:uid="{00000000-0005-0000-0000-0000240E0000}"/>
    <cellStyle name="通貨 [0.00]_BE-BQ" xfId="3589" xr:uid="{00000000-0005-0000-0000-0000250E0000}"/>
    <cellStyle name="通貨_BE-BQ" xfId="3590" xr:uid="{00000000-0005-0000-0000-0000260E0000}"/>
  </cellStyles>
  <dxfs count="16">
    <dxf>
      <font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condense val="0"/>
        <extend val="0"/>
        <color indexed="9"/>
      </font>
      <fill>
        <patternFill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  <dxf>
      <font>
        <color indexed="9"/>
      </font>
      <fill>
        <patternFill patternType="solid"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fmlaLink="#REF!" lockText="1" noThreeD="1"/>
</file>

<file path=xl/ctrlProps/ctrlProp19.xml><?xml version="1.0" encoding="utf-8"?>
<formControlPr xmlns="http://schemas.microsoft.com/office/spreadsheetml/2009/9/main" objectType="CheckBox" fmlaLink="#REF!" lockText="1" noThreeD="1"/>
</file>

<file path=xl/ctrlProps/ctrlProp20.xml><?xml version="1.0" encoding="utf-8"?>
<formControlPr xmlns="http://schemas.microsoft.com/office/spreadsheetml/2009/9/main" objectType="CheckBox" fmlaLink="#REF!" lockText="1" noThreeD="1"/>
</file>

<file path=xl/ctrlProps/ctrlProp21.xml><?xml version="1.0" encoding="utf-8"?>
<formControlPr xmlns="http://schemas.microsoft.com/office/spreadsheetml/2009/9/main" objectType="CheckBox" checked="Checked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34290</xdr:colOff>
          <xdr:row>0</xdr:row>
          <xdr:rowOff>396240</xdr:rowOff>
        </xdr:from>
        <xdr:to>
          <xdr:col>17</xdr:col>
          <xdr:colOff>38100</xdr:colOff>
          <xdr:row>2</xdr:row>
          <xdr:rowOff>38100</xdr:rowOff>
        </xdr:to>
        <xdr:sp macro="" textlink="">
          <xdr:nvSpPr>
            <xdr:cNvPr id="14481409" name="Check Box 1" hidden="1">
              <a:extLst>
                <a:ext uri="{63B3BB69-23CF-44E3-9099-C40C66FF867C}">
                  <a14:compatExt spid="_x0000_s14481409"/>
                </a:ext>
                <a:ext uri="{FF2B5EF4-FFF2-40B4-BE49-F238E27FC236}">
                  <a16:creationId xmlns:a16="http://schemas.microsoft.com/office/drawing/2014/main" id="{00000000-0008-0000-0200-000001F8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0" bIns="41148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NV chưa kết thúc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17</xdr:col>
          <xdr:colOff>228600</xdr:colOff>
          <xdr:row>0</xdr:row>
          <xdr:rowOff>396240</xdr:rowOff>
        </xdr:from>
        <xdr:to>
          <xdr:col>19</xdr:col>
          <xdr:colOff>632460</xdr:colOff>
          <xdr:row>2</xdr:row>
          <xdr:rowOff>38100</xdr:rowOff>
        </xdr:to>
        <xdr:sp macro="" textlink="">
          <xdr:nvSpPr>
            <xdr:cNvPr id="14481410" name="Check Box 2" hidden="1">
              <a:extLst>
                <a:ext uri="{63B3BB69-23CF-44E3-9099-C40C66FF867C}">
                  <a14:compatExt spid="_x0000_s14481410"/>
                </a:ext>
                <a:ext uri="{FF2B5EF4-FFF2-40B4-BE49-F238E27FC236}">
                  <a16:creationId xmlns:a16="http://schemas.microsoft.com/office/drawing/2014/main" id="{00000000-0008-0000-0200-000002F8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0" bIns="41148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NV đã kết thúc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0</xdr:colOff>
          <xdr:row>0</xdr:row>
          <xdr:rowOff>365760</xdr:rowOff>
        </xdr:from>
        <xdr:to>
          <xdr:col>8</xdr:col>
          <xdr:colOff>30480</xdr:colOff>
          <xdr:row>2</xdr:row>
          <xdr:rowOff>38100</xdr:rowOff>
        </xdr:to>
        <xdr:sp macro="" textlink="">
          <xdr:nvSpPr>
            <xdr:cNvPr id="14481411" name="Check Box 3" hidden="1">
              <a:extLst>
                <a:ext uri="{63B3BB69-23CF-44E3-9099-C40C66FF867C}">
                  <a14:compatExt spid="_x0000_s14481411"/>
                </a:ext>
                <a:ext uri="{FF2B5EF4-FFF2-40B4-BE49-F238E27FC236}">
                  <a16:creationId xmlns:a16="http://schemas.microsoft.com/office/drawing/2014/main" id="{00000000-0008-0000-0200-000003F8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0" bIns="41148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09-1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182880</xdr:colOff>
          <xdr:row>0</xdr:row>
          <xdr:rowOff>384810</xdr:rowOff>
        </xdr:from>
        <xdr:to>
          <xdr:col>10</xdr:col>
          <xdr:colOff>232410</xdr:colOff>
          <xdr:row>2</xdr:row>
          <xdr:rowOff>30480</xdr:rowOff>
        </xdr:to>
        <xdr:sp macro="" textlink="">
          <xdr:nvSpPr>
            <xdr:cNvPr id="14481412" name="Check Box 4" hidden="1">
              <a:extLst>
                <a:ext uri="{63B3BB69-23CF-44E3-9099-C40C66FF867C}">
                  <a14:compatExt spid="_x0000_s14481412"/>
                </a:ext>
                <a:ext uri="{FF2B5EF4-FFF2-40B4-BE49-F238E27FC236}">
                  <a16:creationId xmlns:a16="http://schemas.microsoft.com/office/drawing/2014/main" id="{00000000-0008-0000-0200-000004F8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0" bIns="41148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DVN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17</xdr:col>
          <xdr:colOff>232410</xdr:colOff>
          <xdr:row>3</xdr:row>
          <xdr:rowOff>0</xdr:rowOff>
        </xdr:from>
        <xdr:to>
          <xdr:col>19</xdr:col>
          <xdr:colOff>346710</xdr:colOff>
          <xdr:row>4</xdr:row>
          <xdr:rowOff>15240</xdr:rowOff>
        </xdr:to>
        <xdr:sp macro="" textlink="">
          <xdr:nvSpPr>
            <xdr:cNvPr id="14481413" name="Check Box 5" hidden="1">
              <a:extLst>
                <a:ext uri="{63B3BB69-23CF-44E3-9099-C40C66FF867C}">
                  <a14:compatExt spid="_x0000_s14481413"/>
                </a:ext>
                <a:ext uri="{FF2B5EF4-FFF2-40B4-BE49-F238E27FC236}">
                  <a16:creationId xmlns:a16="http://schemas.microsoft.com/office/drawing/2014/main" id="{00000000-0008-0000-0200-000005F8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0" bIns="41148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Ngoài biển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49530</xdr:colOff>
          <xdr:row>3</xdr:row>
          <xdr:rowOff>0</xdr:rowOff>
        </xdr:from>
        <xdr:to>
          <xdr:col>16</xdr:col>
          <xdr:colOff>34290</xdr:colOff>
          <xdr:row>4</xdr:row>
          <xdr:rowOff>15240</xdr:rowOff>
        </xdr:to>
        <xdr:sp macro="" textlink="">
          <xdr:nvSpPr>
            <xdr:cNvPr id="14481414" name="Check Box 6" hidden="1">
              <a:extLst>
                <a:ext uri="{63B3BB69-23CF-44E3-9099-C40C66FF867C}">
                  <a14:compatExt spid="_x0000_s14481414"/>
                </a:ext>
                <a:ext uri="{FF2B5EF4-FFF2-40B4-BE49-F238E27FC236}">
                  <a16:creationId xmlns:a16="http://schemas.microsoft.com/office/drawing/2014/main" id="{00000000-0008-0000-0200-000006F8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54864" tIns="41148" rIns="0" bIns="41148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Trên bờ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19050</xdr:rowOff>
    </xdr:from>
    <xdr:to>
      <xdr:col>3</xdr:col>
      <xdr:colOff>123825</xdr:colOff>
      <xdr:row>1</xdr:row>
      <xdr:rowOff>352425</xdr:rowOff>
    </xdr:to>
    <xdr:pic>
      <xdr:nvPicPr>
        <xdr:cNvPr id="2" name="Picture 4" descr="LOGO NIPI 2012 moidep.jpg">
          <a:extLst>
            <a:ext uri="{FF2B5EF4-FFF2-40B4-BE49-F238E27FC236}">
              <a16:creationId xmlns:a16="http://schemas.microsoft.com/office/drawing/2014/main" id="{22E36631-A602-4541-9067-D1B692C34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9050"/>
          <a:ext cx="99250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25</xdr:row>
      <xdr:rowOff>19050</xdr:rowOff>
    </xdr:from>
    <xdr:to>
      <xdr:col>3</xdr:col>
      <xdr:colOff>123825</xdr:colOff>
      <xdr:row>26</xdr:row>
      <xdr:rowOff>352425</xdr:rowOff>
    </xdr:to>
    <xdr:pic>
      <xdr:nvPicPr>
        <xdr:cNvPr id="3" name="Picture 4" descr="LOGO NIPI 2012 moidep.jpg">
          <a:extLst>
            <a:ext uri="{FF2B5EF4-FFF2-40B4-BE49-F238E27FC236}">
              <a16:creationId xmlns:a16="http://schemas.microsoft.com/office/drawing/2014/main" id="{6B31147D-5D04-4650-B621-6784032D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292840"/>
          <a:ext cx="99250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54</xdr:row>
      <xdr:rowOff>19050</xdr:rowOff>
    </xdr:from>
    <xdr:to>
      <xdr:col>3</xdr:col>
      <xdr:colOff>123825</xdr:colOff>
      <xdr:row>55</xdr:row>
      <xdr:rowOff>352425</xdr:rowOff>
    </xdr:to>
    <xdr:pic>
      <xdr:nvPicPr>
        <xdr:cNvPr id="4" name="Picture 4" descr="LOGO NIPI 2012 moidep.jpg">
          <a:extLst>
            <a:ext uri="{FF2B5EF4-FFF2-40B4-BE49-F238E27FC236}">
              <a16:creationId xmlns:a16="http://schemas.microsoft.com/office/drawing/2014/main" id="{5719085B-6BA4-4BFC-B216-FECF32CF5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1160740"/>
          <a:ext cx="99250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83</xdr:row>
      <xdr:rowOff>19050</xdr:rowOff>
    </xdr:from>
    <xdr:to>
      <xdr:col>3</xdr:col>
      <xdr:colOff>123825</xdr:colOff>
      <xdr:row>84</xdr:row>
      <xdr:rowOff>352425</xdr:rowOff>
    </xdr:to>
    <xdr:pic>
      <xdr:nvPicPr>
        <xdr:cNvPr id="5" name="Picture 4" descr="LOGO NIPI 2012 moidep.jpg">
          <a:extLst>
            <a:ext uri="{FF2B5EF4-FFF2-40B4-BE49-F238E27FC236}">
              <a16:creationId xmlns:a16="http://schemas.microsoft.com/office/drawing/2014/main" id="{82C03516-B399-4DAB-9C3E-736E05DBC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1028640"/>
          <a:ext cx="99250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15240</xdr:rowOff>
        </xdr:from>
        <xdr:to>
          <xdr:col>1</xdr:col>
          <xdr:colOff>746760</xdr:colOff>
          <xdr:row>4</xdr:row>
          <xdr:rowOff>125730</xdr:rowOff>
        </xdr:to>
        <xdr:sp macro="" textlink="">
          <xdr:nvSpPr>
            <xdr:cNvPr id="56321" name="Object 1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5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10</xdr:row>
      <xdr:rowOff>0</xdr:rowOff>
    </xdr:from>
    <xdr:ext cx="25648" cy="134076"/>
    <xdr:sp macro="" textlink="">
      <xdr:nvSpPr>
        <xdr:cNvPr id="2" name="Rectangle 4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9155430" y="2263140"/>
          <a:ext cx="25648" cy="134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NI-Times"/>
            </a:rPr>
            <a:t> </a:t>
          </a:r>
        </a:p>
      </xdr:txBody>
    </xdr:sp>
    <xdr:clientData/>
  </xdr:oneCellAnchor>
  <xdr:oneCellAnchor>
    <xdr:from>
      <xdr:col>25</xdr:col>
      <xdr:colOff>523875</xdr:colOff>
      <xdr:row>4</xdr:row>
      <xdr:rowOff>171450</xdr:rowOff>
    </xdr:from>
    <xdr:ext cx="32060" cy="147476"/>
    <xdr:sp macro="" textlink="">
      <xdr:nvSpPr>
        <xdr:cNvPr id="3" name="Rectangle 3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8315325" y="1139190"/>
          <a:ext cx="32060" cy="147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27</xdr:col>
      <xdr:colOff>0</xdr:colOff>
      <xdr:row>10</xdr:row>
      <xdr:rowOff>0</xdr:rowOff>
    </xdr:from>
    <xdr:ext cx="25648" cy="134076"/>
    <xdr:sp macro="" textlink="">
      <xdr:nvSpPr>
        <xdr:cNvPr id="4" name="Rectangle 4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9041130" y="2263140"/>
          <a:ext cx="25648" cy="134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NI-Times"/>
            </a:rPr>
            <a:t> 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106680</xdr:colOff>
          <xdr:row>0</xdr:row>
          <xdr:rowOff>278130</xdr:rowOff>
        </xdr:from>
        <xdr:to>
          <xdr:col>1</xdr:col>
          <xdr:colOff>659130</xdr:colOff>
          <xdr:row>3</xdr:row>
          <xdr:rowOff>125730</xdr:rowOff>
        </xdr:to>
        <xdr:sp macro="" textlink="">
          <xdr:nvSpPr>
            <xdr:cNvPr id="14514177" name="Object 1" hidden="1">
              <a:extLst>
                <a:ext uri="{63B3BB69-23CF-44E3-9099-C40C66FF867C}">
                  <a14:compatExt spid="_x0000_s14514177"/>
                </a:ext>
                <a:ext uri="{FF2B5EF4-FFF2-40B4-BE49-F238E27FC236}">
                  <a16:creationId xmlns:a16="http://schemas.microsoft.com/office/drawing/2014/main" id="{00000000-0008-0000-0600-00000178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30480</xdr:colOff>
          <xdr:row>13</xdr:row>
          <xdr:rowOff>182880</xdr:rowOff>
        </xdr:from>
        <xdr:to>
          <xdr:col>13</xdr:col>
          <xdr:colOff>373380</xdr:colOff>
          <xdr:row>15</xdr:row>
          <xdr:rowOff>0</xdr:rowOff>
        </xdr:to>
        <xdr:sp macro="" textlink="">
          <xdr:nvSpPr>
            <xdr:cNvPr id="14514178" name="Check Box 2" hidden="1">
              <a:extLst>
                <a:ext uri="{63B3BB69-23CF-44E3-9099-C40C66FF867C}">
                  <a14:compatExt spid="_x0000_s14514178"/>
                </a:ext>
                <a:ext uri="{FF2B5EF4-FFF2-40B4-BE49-F238E27FC236}">
                  <a16:creationId xmlns:a16="http://schemas.microsoft.com/office/drawing/2014/main" id="{00000000-0008-0000-0600-00000278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240030</xdr:colOff>
          <xdr:row>13</xdr:row>
          <xdr:rowOff>163830</xdr:rowOff>
        </xdr:from>
        <xdr:to>
          <xdr:col>16</xdr:col>
          <xdr:colOff>30480</xdr:colOff>
          <xdr:row>14</xdr:row>
          <xdr:rowOff>182880</xdr:rowOff>
        </xdr:to>
        <xdr:sp macro="" textlink="">
          <xdr:nvSpPr>
            <xdr:cNvPr id="14514179" name="Check Box 3" hidden="1">
              <a:extLst>
                <a:ext uri="{63B3BB69-23CF-44E3-9099-C40C66FF867C}">
                  <a14:compatExt spid="_x0000_s14514179"/>
                </a:ext>
                <a:ext uri="{FF2B5EF4-FFF2-40B4-BE49-F238E27FC236}">
                  <a16:creationId xmlns:a16="http://schemas.microsoft.com/office/drawing/2014/main" id="{00000000-0008-0000-0600-00000378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87630</xdr:colOff>
          <xdr:row>13</xdr:row>
          <xdr:rowOff>163830</xdr:rowOff>
        </xdr:from>
        <xdr:to>
          <xdr:col>19</xdr:col>
          <xdr:colOff>220980</xdr:colOff>
          <xdr:row>14</xdr:row>
          <xdr:rowOff>182880</xdr:rowOff>
        </xdr:to>
        <xdr:sp macro="" textlink="">
          <xdr:nvSpPr>
            <xdr:cNvPr id="14514180" name="Check Box 4" hidden="1">
              <a:extLst>
                <a:ext uri="{63B3BB69-23CF-44E3-9099-C40C66FF867C}">
                  <a14:compatExt spid="_x0000_s14514180"/>
                </a:ext>
                <a:ext uri="{FF2B5EF4-FFF2-40B4-BE49-F238E27FC236}">
                  <a16:creationId xmlns:a16="http://schemas.microsoft.com/office/drawing/2014/main" id="{00000000-0008-0000-0600-00000478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125730</xdr:colOff>
          <xdr:row>13</xdr:row>
          <xdr:rowOff>163830</xdr:rowOff>
        </xdr:from>
        <xdr:to>
          <xdr:col>21</xdr:col>
          <xdr:colOff>247650</xdr:colOff>
          <xdr:row>15</xdr:row>
          <xdr:rowOff>11430</xdr:rowOff>
        </xdr:to>
        <xdr:sp macro="" textlink="">
          <xdr:nvSpPr>
            <xdr:cNvPr id="14514181" name="Check Box 5" hidden="1">
              <a:extLst>
                <a:ext uri="{63B3BB69-23CF-44E3-9099-C40C66FF867C}">
                  <a14:compatExt spid="_x0000_s14514181"/>
                </a:ext>
                <a:ext uri="{FF2B5EF4-FFF2-40B4-BE49-F238E27FC236}">
                  <a16:creationId xmlns:a16="http://schemas.microsoft.com/office/drawing/2014/main" id="{00000000-0008-0000-0600-00000578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27</xdr:col>
      <xdr:colOff>0</xdr:colOff>
      <xdr:row>6</xdr:row>
      <xdr:rowOff>171450</xdr:rowOff>
    </xdr:from>
    <xdr:ext cx="32060" cy="147476"/>
    <xdr:sp macro="" textlink="">
      <xdr:nvSpPr>
        <xdr:cNvPr id="10" name="Rectangle 3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9565005" y="1558290"/>
          <a:ext cx="32060" cy="147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41910</xdr:colOff>
          <xdr:row>0</xdr:row>
          <xdr:rowOff>57150</xdr:rowOff>
        </xdr:from>
        <xdr:to>
          <xdr:col>1</xdr:col>
          <xdr:colOff>697230</xdr:colOff>
          <xdr:row>2</xdr:row>
          <xdr:rowOff>228600</xdr:rowOff>
        </xdr:to>
        <xdr:sp macro="" textlink="">
          <xdr:nvSpPr>
            <xdr:cNvPr id="13493249" name="Object 1" hidden="1">
              <a:extLst>
                <a:ext uri="{63B3BB69-23CF-44E3-9099-C40C66FF867C}">
                  <a14:compatExt spid="_x0000_s13493249"/>
                </a:ext>
                <a:ext uri="{FF2B5EF4-FFF2-40B4-BE49-F238E27FC236}">
                  <a16:creationId xmlns:a16="http://schemas.microsoft.com/office/drawing/2014/main" id="{00000000-0008-0000-0700-000001E4C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11430</xdr:colOff>
          <xdr:row>1</xdr:row>
          <xdr:rowOff>0</xdr:rowOff>
        </xdr:from>
        <xdr:to>
          <xdr:col>1</xdr:col>
          <xdr:colOff>647700</xdr:colOff>
          <xdr:row>5</xdr:row>
          <xdr:rowOff>57150</xdr:rowOff>
        </xdr:to>
        <xdr:sp macro="" textlink="">
          <xdr:nvSpPr>
            <xdr:cNvPr id="14457860" name="Object 4" hidden="1">
              <a:extLst>
                <a:ext uri="{63B3BB69-23CF-44E3-9099-C40C66FF867C}">
                  <a14:compatExt spid="_x0000_s14457860"/>
                </a:ext>
                <a:ext uri="{FF2B5EF4-FFF2-40B4-BE49-F238E27FC236}">
                  <a16:creationId xmlns:a16="http://schemas.microsoft.com/office/drawing/2014/main" id="{00000000-0008-0000-0800-0000049C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15240</xdr:colOff>
          <xdr:row>0</xdr:row>
          <xdr:rowOff>194310</xdr:rowOff>
        </xdr:from>
        <xdr:to>
          <xdr:col>1</xdr:col>
          <xdr:colOff>632460</xdr:colOff>
          <xdr:row>4</xdr:row>
          <xdr:rowOff>57150</xdr:rowOff>
        </xdr:to>
        <xdr:sp macro="" textlink="">
          <xdr:nvSpPr>
            <xdr:cNvPr id="14445569" name="Object 1" hidden="1">
              <a:extLst>
                <a:ext uri="{63B3BB69-23CF-44E3-9099-C40C66FF867C}">
                  <a14:compatExt spid="_x0000_s14445569"/>
                </a:ext>
                <a:ext uri="{FF2B5EF4-FFF2-40B4-BE49-F238E27FC236}">
                  <a16:creationId xmlns:a16="http://schemas.microsoft.com/office/drawing/2014/main" id="{00000000-0008-0000-0900-0000016C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205740</xdr:rowOff>
        </xdr:from>
        <xdr:to>
          <xdr:col>1</xdr:col>
          <xdr:colOff>613410</xdr:colOff>
          <xdr:row>4</xdr:row>
          <xdr:rowOff>87630</xdr:rowOff>
        </xdr:to>
        <xdr:sp macro="" textlink="">
          <xdr:nvSpPr>
            <xdr:cNvPr id="14461953" name="Object 1" hidden="1">
              <a:extLst>
                <a:ext uri="{63B3BB69-23CF-44E3-9099-C40C66FF867C}">
                  <a14:compatExt spid="_x0000_s14461953"/>
                </a:ext>
                <a:ext uri="{FF2B5EF4-FFF2-40B4-BE49-F238E27FC236}">
                  <a16:creationId xmlns:a16="http://schemas.microsoft.com/office/drawing/2014/main" id="{00000000-0008-0000-0A00-000001AC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28163</xdr:colOff>
          <xdr:row>10</xdr:row>
          <xdr:rowOff>150329</xdr:rowOff>
        </xdr:from>
        <xdr:to>
          <xdr:col>19</xdr:col>
          <xdr:colOff>223629</xdr:colOff>
          <xdr:row>12</xdr:row>
          <xdr:rowOff>26505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GrpSpPr/>
          </xdr:nvGrpSpPr>
          <xdr:grpSpPr>
            <a:xfrm>
              <a:off x="3845783" y="2127719"/>
              <a:ext cx="2313826" cy="257176"/>
              <a:chOff x="3622825" y="2055329"/>
              <a:chExt cx="2174999" cy="232336"/>
            </a:xfrm>
          </xdr:grpSpPr>
          <xdr:sp macro="" textlink="">
            <xdr:nvSpPr>
              <xdr:cNvPr id="14461954" name="Check Box 2" hidden="1">
                <a:extLst>
                  <a:ext uri="{63B3BB69-23CF-44E3-9099-C40C66FF867C}">
                    <a14:compatExt spid="_x0000_s14461954"/>
                  </a:ext>
                  <a:ext uri="{FF2B5EF4-FFF2-40B4-BE49-F238E27FC236}">
                    <a16:creationId xmlns:a16="http://schemas.microsoft.com/office/drawing/2014/main" id="{00000000-0008-0000-0A00-000002ACDC00}"/>
                  </a:ext>
                </a:extLst>
              </xdr:cNvPr>
              <xdr:cNvSpPr/>
            </xdr:nvSpPr>
            <xdr:spPr bwMode="auto">
              <a:xfrm>
                <a:off x="3622825" y="2055329"/>
                <a:ext cx="559911" cy="23232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54864" tIns="41148" rIns="0" bIns="41148" anchor="ctr" upright="1"/>
              <a:lstStyle/>
              <a:p>
                <a:pPr algn="l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IOW</a:t>
                </a:r>
              </a:p>
            </xdr:txBody>
          </xdr:sp>
          <xdr:sp macro="" textlink="">
            <xdr:nvSpPr>
              <xdr:cNvPr id="14461955" name="Check Box 3" hidden="1">
                <a:extLst>
                  <a:ext uri="{63B3BB69-23CF-44E3-9099-C40C66FF867C}">
                    <a14:compatExt spid="_x0000_s14461955"/>
                  </a:ext>
                  <a:ext uri="{FF2B5EF4-FFF2-40B4-BE49-F238E27FC236}">
                    <a16:creationId xmlns:a16="http://schemas.microsoft.com/office/drawing/2014/main" id="{00000000-0008-0000-0A00-000003ACDC00}"/>
                  </a:ext>
                </a:extLst>
              </xdr:cNvPr>
              <xdr:cNvSpPr/>
            </xdr:nvSpPr>
            <xdr:spPr bwMode="auto">
              <a:xfrm>
                <a:off x="4424572" y="2055329"/>
                <a:ext cx="669235" cy="22280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54864" tIns="41148" rIns="0" bIns="41148" anchor="ctr" upright="1"/>
              <a:lstStyle/>
              <a:p>
                <a:pPr algn="l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ASME</a:t>
                </a:r>
              </a:p>
            </xdr:txBody>
          </xdr:sp>
          <xdr:sp macro="" textlink="">
            <xdr:nvSpPr>
              <xdr:cNvPr id="14461956" name="Check Box 4" hidden="1">
                <a:extLst>
                  <a:ext uri="{63B3BB69-23CF-44E3-9099-C40C66FF867C}">
                    <a14:compatExt spid="_x0000_s14461956"/>
                  </a:ext>
                  <a:ext uri="{FF2B5EF4-FFF2-40B4-BE49-F238E27FC236}">
                    <a16:creationId xmlns:a16="http://schemas.microsoft.com/office/drawing/2014/main" id="{00000000-0008-0000-0A00-000004ACDC00}"/>
                  </a:ext>
                </a:extLst>
              </xdr:cNvPr>
              <xdr:cNvSpPr/>
            </xdr:nvSpPr>
            <xdr:spPr bwMode="auto">
              <a:xfrm>
                <a:off x="5281815" y="2055338"/>
                <a:ext cx="516009" cy="23232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54864" tIns="41148" rIns="0" bIns="41148" anchor="ctr" upright="1"/>
              <a:lstStyle/>
              <a:p>
                <a:pPr algn="l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API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157370</xdr:colOff>
          <xdr:row>20</xdr:row>
          <xdr:rowOff>107675</xdr:rowOff>
        </xdr:from>
        <xdr:to>
          <xdr:col>19</xdr:col>
          <xdr:colOff>376861</xdr:colOff>
          <xdr:row>21</xdr:row>
          <xdr:rowOff>44314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GrpSpPr/>
          </xdr:nvGrpSpPr>
          <xdr:grpSpPr>
            <a:xfrm>
              <a:off x="3792110" y="4306295"/>
              <a:ext cx="2520731" cy="279539"/>
              <a:chOff x="3569760" y="4308521"/>
              <a:chExt cx="2381245" cy="276229"/>
            </a:xfrm>
          </xdr:grpSpPr>
          <xdr:sp macro="" textlink="">
            <xdr:nvSpPr>
              <xdr:cNvPr id="14461957" name="Check Box 5" hidden="1">
                <a:extLst>
                  <a:ext uri="{63B3BB69-23CF-44E3-9099-C40C66FF867C}">
                    <a14:compatExt spid="_x0000_s14461957"/>
                  </a:ext>
                  <a:ext uri="{FF2B5EF4-FFF2-40B4-BE49-F238E27FC236}">
                    <a16:creationId xmlns:a16="http://schemas.microsoft.com/office/drawing/2014/main" id="{00000000-0008-0000-0A00-000005ACDC00}"/>
                  </a:ext>
                </a:extLst>
              </xdr:cNvPr>
              <xdr:cNvSpPr/>
            </xdr:nvSpPr>
            <xdr:spPr bwMode="auto">
              <a:xfrm>
                <a:off x="3569760" y="4327250"/>
                <a:ext cx="1200122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54864" tIns="41148" rIns="0" bIns="41148" anchor="ctr" upright="1"/>
              <a:lstStyle/>
              <a:p>
                <a:pPr algn="l" rtl="0">
                  <a:defRPr sz="1000"/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Cellulose paste</a:t>
                </a:r>
              </a:p>
            </xdr:txBody>
          </xdr:sp>
          <xdr:sp macro="" textlink="">
            <xdr:nvSpPr>
              <xdr:cNvPr id="14461958" name="Check Box 6" hidden="1">
                <a:extLst>
                  <a:ext uri="{63B3BB69-23CF-44E3-9099-C40C66FF867C}">
                    <a14:compatExt spid="_x0000_s14461958"/>
                  </a:ext>
                  <a:ext uri="{FF2B5EF4-FFF2-40B4-BE49-F238E27FC236}">
                    <a16:creationId xmlns:a16="http://schemas.microsoft.com/office/drawing/2014/main" id="{00000000-0008-0000-0A00-000006ACDC00}"/>
                  </a:ext>
                </a:extLst>
              </xdr:cNvPr>
              <xdr:cNvSpPr/>
            </xdr:nvSpPr>
            <xdr:spPr bwMode="auto">
              <a:xfrm>
                <a:off x="4827056" y="4308521"/>
                <a:ext cx="1123949" cy="27622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45720" tIns="36576" rIns="0" bIns="36576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 Petroleum grease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100292</xdr:colOff>
      <xdr:row>0</xdr:row>
      <xdr:rowOff>101196</xdr:rowOff>
    </xdr:from>
    <xdr:to>
      <xdr:col>3</xdr:col>
      <xdr:colOff>739587</xdr:colOff>
      <xdr:row>3</xdr:row>
      <xdr:rowOff>122358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92" y="101196"/>
          <a:ext cx="1486460" cy="1043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144780</xdr:colOff>
          <xdr:row>19</xdr:row>
          <xdr:rowOff>106680</xdr:rowOff>
        </xdr:from>
        <xdr:to>
          <xdr:col>14</xdr:col>
          <xdr:colOff>38100</xdr:colOff>
          <xdr:row>20</xdr:row>
          <xdr:rowOff>0</xdr:rowOff>
        </xdr:to>
        <xdr:sp macro="" textlink="">
          <xdr:nvSpPr>
            <xdr:cNvPr id="14464001" name="Check Box 1" hidden="1">
              <a:extLst>
                <a:ext uri="{63B3BB69-23CF-44E3-9099-C40C66FF867C}">
                  <a14:compatExt spid="_x0000_s14464001"/>
                </a:ext>
                <a:ext uri="{FF2B5EF4-FFF2-40B4-BE49-F238E27FC236}">
                  <a16:creationId xmlns:a16="http://schemas.microsoft.com/office/drawing/2014/main" id="{00000000-0008-0000-0C00-000001B4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19</xdr:row>
          <xdr:rowOff>114300</xdr:rowOff>
        </xdr:from>
        <xdr:to>
          <xdr:col>18</xdr:col>
          <xdr:colOff>152400</xdr:colOff>
          <xdr:row>20</xdr:row>
          <xdr:rowOff>11430</xdr:rowOff>
        </xdr:to>
        <xdr:sp macro="" textlink="">
          <xdr:nvSpPr>
            <xdr:cNvPr id="14464002" name="Check Box 2" hidden="1">
              <a:extLst>
                <a:ext uri="{63B3BB69-23CF-44E3-9099-C40C66FF867C}">
                  <a14:compatExt spid="_x0000_s14464002"/>
                </a:ext>
                <a:ext uri="{FF2B5EF4-FFF2-40B4-BE49-F238E27FC236}">
                  <a16:creationId xmlns:a16="http://schemas.microsoft.com/office/drawing/2014/main" id="{00000000-0008-0000-0C00-000002B4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30480</xdr:colOff>
          <xdr:row>0</xdr:row>
          <xdr:rowOff>144780</xdr:rowOff>
        </xdr:from>
        <xdr:to>
          <xdr:col>1</xdr:col>
          <xdr:colOff>544830</xdr:colOff>
          <xdr:row>3</xdr:row>
          <xdr:rowOff>57150</xdr:rowOff>
        </xdr:to>
        <xdr:sp macro="" textlink="">
          <xdr:nvSpPr>
            <xdr:cNvPr id="14464003" name="Object 3" hidden="1">
              <a:extLst>
                <a:ext uri="{63B3BB69-23CF-44E3-9099-C40C66FF867C}">
                  <a14:compatExt spid="_x0000_s14464003"/>
                </a:ext>
                <a:ext uri="{FF2B5EF4-FFF2-40B4-BE49-F238E27FC236}">
                  <a16:creationId xmlns:a16="http://schemas.microsoft.com/office/drawing/2014/main" id="{00000000-0008-0000-0C00-000003B4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9</xdr:row>
          <xdr:rowOff>133350</xdr:rowOff>
        </xdr:from>
        <xdr:to>
          <xdr:col>15</xdr:col>
          <xdr:colOff>171450</xdr:colOff>
          <xdr:row>11</xdr:row>
          <xdr:rowOff>19050</xdr:rowOff>
        </xdr:to>
        <xdr:sp macro="" textlink="">
          <xdr:nvSpPr>
            <xdr:cNvPr id="14464004" name="Check Box 4" hidden="1">
              <a:extLst>
                <a:ext uri="{63B3BB69-23CF-44E3-9099-C40C66FF867C}">
                  <a14:compatExt spid="_x0000_s14464004"/>
                </a:ext>
                <a:ext uri="{FF2B5EF4-FFF2-40B4-BE49-F238E27FC236}">
                  <a16:creationId xmlns:a16="http://schemas.microsoft.com/office/drawing/2014/main" id="{00000000-0008-0000-0C00-000004B4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9</xdr:row>
          <xdr:rowOff>125730</xdr:rowOff>
        </xdr:from>
        <xdr:to>
          <xdr:col>17</xdr:col>
          <xdr:colOff>304800</xdr:colOff>
          <xdr:row>11</xdr:row>
          <xdr:rowOff>19050</xdr:rowOff>
        </xdr:to>
        <xdr:sp macro="" textlink="">
          <xdr:nvSpPr>
            <xdr:cNvPr id="14464005" name="Check Box 5" hidden="1">
              <a:extLst>
                <a:ext uri="{63B3BB69-23CF-44E3-9099-C40C66FF867C}">
                  <a14:compatExt spid="_x0000_s14464005"/>
                </a:ext>
                <a:ext uri="{FF2B5EF4-FFF2-40B4-BE49-F238E27FC236}">
                  <a16:creationId xmlns:a16="http://schemas.microsoft.com/office/drawing/2014/main" id="{00000000-0008-0000-0C00-000005B4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220980</xdr:colOff>
          <xdr:row>9</xdr:row>
          <xdr:rowOff>125730</xdr:rowOff>
        </xdr:from>
        <xdr:to>
          <xdr:col>18</xdr:col>
          <xdr:colOff>468630</xdr:colOff>
          <xdr:row>11</xdr:row>
          <xdr:rowOff>19050</xdr:rowOff>
        </xdr:to>
        <xdr:sp macro="" textlink="">
          <xdr:nvSpPr>
            <xdr:cNvPr id="14464006" name="Check Box 6" hidden="1">
              <a:extLst>
                <a:ext uri="{63B3BB69-23CF-44E3-9099-C40C66FF867C}">
                  <a14:compatExt spid="_x0000_s14464006"/>
                </a:ext>
                <a:ext uri="{FF2B5EF4-FFF2-40B4-BE49-F238E27FC236}">
                  <a16:creationId xmlns:a16="http://schemas.microsoft.com/office/drawing/2014/main" id="{00000000-0008-0000-0C00-000006B4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0</xdr:row>
      <xdr:rowOff>41910</xdr:rowOff>
    </xdr:from>
    <xdr:to>
      <xdr:col>0</xdr:col>
      <xdr:colOff>972502</xdr:colOff>
      <xdr:row>4</xdr:row>
      <xdr:rowOff>63891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670" y="41910"/>
          <a:ext cx="945832" cy="783981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413331</xdr:colOff>
      <xdr:row>7</xdr:row>
      <xdr:rowOff>232207</xdr:rowOff>
    </xdr:from>
    <xdr:to>
      <xdr:col>18</xdr:col>
      <xdr:colOff>361392</xdr:colOff>
      <xdr:row>12</xdr:row>
      <xdr:rowOff>100251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09494" y="2127682"/>
          <a:ext cx="4515298" cy="1439669"/>
        </a:xfrm>
        <a:prstGeom prst="rect">
          <a:avLst/>
        </a:prstGeom>
        <a:noFill/>
        <a:ln>
          <a:solidFill>
            <a:schemeClr val="tx1"/>
          </a:solidFill>
        </a:ln>
        <a:effectLst>
          <a:softEdge rad="0"/>
        </a:effectLst>
      </xdr:spPr>
    </xdr:pic>
    <xdr:clientData/>
  </xdr:twoCellAnchor>
  <xdr:twoCellAnchor editAs="oneCell">
    <xdr:from>
      <xdr:col>1</xdr:col>
      <xdr:colOff>590550</xdr:colOff>
      <xdr:row>9</xdr:row>
      <xdr:rowOff>314324</xdr:rowOff>
    </xdr:from>
    <xdr:to>
      <xdr:col>7</xdr:col>
      <xdr:colOff>529769</xdr:colOff>
      <xdr:row>13</xdr:row>
      <xdr:rowOff>277056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923" y="2842942"/>
          <a:ext cx="4290167" cy="1220751"/>
        </a:xfrm>
        <a:prstGeom prst="rect">
          <a:avLst/>
        </a:prstGeom>
      </xdr:spPr>
    </xdr:pic>
    <xdr:clientData/>
  </xdr:twoCellAnchor>
  <xdr:twoCellAnchor>
    <xdr:from>
      <xdr:col>0</xdr:col>
      <xdr:colOff>233644</xdr:colOff>
      <xdr:row>0</xdr:row>
      <xdr:rowOff>62753</xdr:rowOff>
    </xdr:from>
    <xdr:to>
      <xdr:col>1</xdr:col>
      <xdr:colOff>690844</xdr:colOff>
      <xdr:row>3</xdr:row>
      <xdr:rowOff>196103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233644" y="62753"/>
          <a:ext cx="1107141" cy="856130"/>
        </a:xfrm>
        <a:prstGeom prst="rect">
          <a:avLst/>
        </a:prstGeom>
        <a:noFill/>
      </xdr:spPr>
    </xdr:pic>
    <xdr:clientData/>
  </xdr:twoCellAnchor>
  <xdr:twoCellAnchor>
    <xdr:from>
      <xdr:col>1</xdr:col>
      <xdr:colOff>641411</xdr:colOff>
      <xdr:row>10</xdr:row>
      <xdr:rowOff>185189</xdr:rowOff>
    </xdr:from>
    <xdr:to>
      <xdr:col>2</xdr:col>
      <xdr:colOff>66018</xdr:colOff>
      <xdr:row>13</xdr:row>
      <xdr:rowOff>16578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 rot="16200000">
          <a:off x="1075780" y="3254363"/>
          <a:ext cx="775607" cy="335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19mm</a:t>
          </a:r>
        </a:p>
      </xdr:txBody>
    </xdr:sp>
    <xdr:clientData/>
  </xdr:twoCellAnchor>
  <xdr:twoCellAnchor>
    <xdr:from>
      <xdr:col>3</xdr:col>
      <xdr:colOff>335933</xdr:colOff>
      <xdr:row>11</xdr:row>
      <xdr:rowOff>214257</xdr:rowOff>
    </xdr:from>
    <xdr:to>
      <xdr:col>4</xdr:col>
      <xdr:colOff>173426</xdr:colOff>
      <xdr:row>12</xdr:row>
      <xdr:rowOff>154127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2345708" y="3452757"/>
          <a:ext cx="561393" cy="254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en-US" sz="1100"/>
            <a:t>15:19</a:t>
          </a:r>
        </a:p>
      </xdr:txBody>
    </xdr:sp>
    <xdr:clientData/>
  </xdr:twoCellAnchor>
  <xdr:twoCellAnchor>
    <xdr:from>
      <xdr:col>4</xdr:col>
      <xdr:colOff>57388</xdr:colOff>
      <xdr:row>12</xdr:row>
      <xdr:rowOff>129875</xdr:rowOff>
    </xdr:from>
    <xdr:to>
      <xdr:col>4</xdr:col>
      <xdr:colOff>477471</xdr:colOff>
      <xdr:row>13</xdr:row>
      <xdr:rowOff>141079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2794791" y="3608571"/>
          <a:ext cx="420083" cy="325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(3)</a:t>
          </a:r>
        </a:p>
      </xdr:txBody>
    </xdr:sp>
    <xdr:clientData/>
  </xdr:twoCellAnchor>
  <xdr:twoCellAnchor>
    <xdr:from>
      <xdr:col>3</xdr:col>
      <xdr:colOff>419100</xdr:colOff>
      <xdr:row>12</xdr:row>
      <xdr:rowOff>142875</xdr:rowOff>
    </xdr:from>
    <xdr:to>
      <xdr:col>4</xdr:col>
      <xdr:colOff>285750</xdr:colOff>
      <xdr:row>12</xdr:row>
      <xdr:rowOff>142875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CxnSpPr/>
      </xdr:nvCxnSpPr>
      <xdr:spPr>
        <a:xfrm>
          <a:off x="2428875" y="3695700"/>
          <a:ext cx="590550" cy="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373204</xdr:colOff>
      <xdr:row>11</xdr:row>
      <xdr:rowOff>48596</xdr:rowOff>
    </xdr:from>
    <xdr:to>
      <xdr:col>3</xdr:col>
      <xdr:colOff>373204</xdr:colOff>
      <xdr:row>12</xdr:row>
      <xdr:rowOff>147263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CxnSpPr/>
      </xdr:nvCxnSpPr>
      <xdr:spPr>
        <a:xfrm>
          <a:off x="2382979" y="3201371"/>
          <a:ext cx="0" cy="41299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159464</xdr:colOff>
      <xdr:row>11</xdr:row>
      <xdr:rowOff>98253</xdr:rowOff>
    </xdr:from>
    <xdr:to>
      <xdr:col>7</xdr:col>
      <xdr:colOff>495158</xdr:colOff>
      <xdr:row>13</xdr:row>
      <xdr:rowOff>279413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 rot="5400000">
          <a:off x="4932970" y="3499682"/>
          <a:ext cx="810638" cy="335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19mm</a:t>
          </a:r>
        </a:p>
      </xdr:txBody>
    </xdr:sp>
    <xdr:clientData/>
  </xdr:twoCellAnchor>
  <xdr:twoCellAnchor>
    <xdr:from>
      <xdr:col>7</xdr:col>
      <xdr:colOff>277468</xdr:colOff>
      <xdr:row>11</xdr:row>
      <xdr:rowOff>46129</xdr:rowOff>
    </xdr:from>
    <xdr:to>
      <xdr:col>7</xdr:col>
      <xdr:colOff>277468</xdr:colOff>
      <xdr:row>13</xdr:row>
      <xdr:rowOff>65017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CxnSpPr/>
      </xdr:nvCxnSpPr>
      <xdr:spPr>
        <a:xfrm flipH="1">
          <a:off x="5282856" y="3198904"/>
          <a:ext cx="0" cy="64753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449695</xdr:colOff>
      <xdr:row>12</xdr:row>
      <xdr:rowOff>190986</xdr:rowOff>
    </xdr:from>
    <xdr:to>
      <xdr:col>4</xdr:col>
      <xdr:colOff>595932</xdr:colOff>
      <xdr:row>13</xdr:row>
      <xdr:rowOff>47624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CxnSpPr/>
      </xdr:nvCxnSpPr>
      <xdr:spPr>
        <a:xfrm>
          <a:off x="3187098" y="3669682"/>
          <a:ext cx="146237" cy="171377"/>
        </a:xfrm>
        <a:prstGeom prst="line">
          <a:avLst/>
        </a:prstGeom>
        <a:ln w="34925" cmpd="sng">
          <a:solidFill>
            <a:schemeClr val="dk1"/>
          </a:solidFill>
        </a:ln>
        <a:effectLst>
          <a:outerShdw dist="23000" dir="5400000" sx="1000" sy="1000" rotWithShape="0">
            <a:srgbClr val="000000"/>
          </a:outerShdw>
        </a:effectLst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549330</xdr:colOff>
      <xdr:row>12</xdr:row>
      <xdr:rowOff>225461</xdr:rowOff>
    </xdr:from>
    <xdr:to>
      <xdr:col>4</xdr:col>
      <xdr:colOff>742985</xdr:colOff>
      <xdr:row>13</xdr:row>
      <xdr:rowOff>152185</xdr:rowOff>
    </xdr:to>
    <xdr:sp macro="" textlink="">
      <xdr:nvSpPr>
        <xdr:cNvPr id="14" name="Arc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 rot="11049899">
          <a:off x="3281273" y="3689097"/>
          <a:ext cx="193655" cy="240617"/>
        </a:xfrm>
        <a:prstGeom prst="arc">
          <a:avLst>
            <a:gd name="adj1" fmla="val 12206874"/>
            <a:gd name="adj2" fmla="val 19632106"/>
          </a:avLst>
        </a:prstGeom>
        <a:noFill/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853110</xdr:colOff>
      <xdr:row>11</xdr:row>
      <xdr:rowOff>46129</xdr:rowOff>
    </xdr:from>
    <xdr:to>
      <xdr:col>1</xdr:col>
      <xdr:colOff>853110</xdr:colOff>
      <xdr:row>13</xdr:row>
      <xdr:rowOff>65017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 flipH="1">
          <a:off x="1505573" y="3198904"/>
          <a:ext cx="0" cy="64753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247651</xdr:colOff>
      <xdr:row>11</xdr:row>
      <xdr:rowOff>219075</xdr:rowOff>
    </xdr:from>
    <xdr:to>
      <xdr:col>4</xdr:col>
      <xdr:colOff>359076</xdr:colOff>
      <xdr:row>12</xdr:row>
      <xdr:rowOff>156429</xdr:rowOff>
    </xdr:to>
    <xdr:sp macro="" textlink="">
      <xdr:nvSpPr>
        <xdr:cNvPr id="16" name="Diagonal Strip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/>
      </xdr:nvSpPr>
      <xdr:spPr>
        <a:xfrm rot="4231543">
          <a:off x="2911199" y="3441977"/>
          <a:ext cx="251679" cy="111425"/>
        </a:xfrm>
        <a:prstGeom prst="diagStripe">
          <a:avLst/>
        </a:prstGeom>
        <a:ln w="63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278130</xdr:colOff>
          <xdr:row>13</xdr:row>
          <xdr:rowOff>171450</xdr:rowOff>
        </xdr:from>
        <xdr:to>
          <xdr:col>11</xdr:col>
          <xdr:colOff>213360</xdr:colOff>
          <xdr:row>14</xdr:row>
          <xdr:rowOff>163830</xdr:rowOff>
        </xdr:to>
        <xdr:sp macro="" textlink="">
          <xdr:nvSpPr>
            <xdr:cNvPr id="14470145" name="Check Box 1" hidden="1">
              <a:extLst>
                <a:ext uri="{63B3BB69-23CF-44E3-9099-C40C66FF867C}">
                  <a14:compatExt spid="_x0000_s14470145"/>
                </a:ext>
                <a:ext uri="{FF2B5EF4-FFF2-40B4-BE49-F238E27FC236}">
                  <a16:creationId xmlns:a16="http://schemas.microsoft.com/office/drawing/2014/main" id="{00000000-0008-0000-1000-000001CC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209550</xdr:colOff>
          <xdr:row>13</xdr:row>
          <xdr:rowOff>167640</xdr:rowOff>
        </xdr:from>
        <xdr:to>
          <xdr:col>16</xdr:col>
          <xdr:colOff>80010</xdr:colOff>
          <xdr:row>14</xdr:row>
          <xdr:rowOff>148590</xdr:rowOff>
        </xdr:to>
        <xdr:sp macro="" textlink="">
          <xdr:nvSpPr>
            <xdr:cNvPr id="14470146" name="Check Box 2" hidden="1">
              <a:extLst>
                <a:ext uri="{63B3BB69-23CF-44E3-9099-C40C66FF867C}">
                  <a14:compatExt spid="_x0000_s14470146"/>
                </a:ext>
                <a:ext uri="{FF2B5EF4-FFF2-40B4-BE49-F238E27FC236}">
                  <a16:creationId xmlns:a16="http://schemas.microsoft.com/office/drawing/2014/main" id="{00000000-0008-0000-1000-000002CC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144780</xdr:colOff>
          <xdr:row>0</xdr:row>
          <xdr:rowOff>297180</xdr:rowOff>
        </xdr:from>
        <xdr:to>
          <xdr:col>2</xdr:col>
          <xdr:colOff>278130</xdr:colOff>
          <xdr:row>3</xdr:row>
          <xdr:rowOff>182880</xdr:rowOff>
        </xdr:to>
        <xdr:sp macro="" textlink="">
          <xdr:nvSpPr>
            <xdr:cNvPr id="14470147" name="Object 3" hidden="1">
              <a:extLst>
                <a:ext uri="{63B3BB69-23CF-44E3-9099-C40C66FF867C}">
                  <a14:compatExt spid="_x0000_s14470147"/>
                </a:ext>
                <a:ext uri="{FF2B5EF4-FFF2-40B4-BE49-F238E27FC236}">
                  <a16:creationId xmlns:a16="http://schemas.microsoft.com/office/drawing/2014/main" id="{00000000-0008-0000-1000-000003CCD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361950</xdr:rowOff>
    </xdr:from>
    <xdr:to>
      <xdr:col>1</xdr:col>
      <xdr:colOff>542925</xdr:colOff>
      <xdr:row>3</xdr:row>
      <xdr:rowOff>38100</xdr:rowOff>
    </xdr:to>
    <xdr:pic>
      <xdr:nvPicPr>
        <xdr:cNvPr id="2" name="Objec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7150" y="361950"/>
          <a:ext cx="8953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213360</xdr:colOff>
          <xdr:row>13</xdr:row>
          <xdr:rowOff>163830</xdr:rowOff>
        </xdr:from>
        <xdr:to>
          <xdr:col>13</xdr:col>
          <xdr:colOff>30480</xdr:colOff>
          <xdr:row>14</xdr:row>
          <xdr:rowOff>186690</xdr:rowOff>
        </xdr:to>
        <xdr:sp macro="" textlink="">
          <xdr:nvSpPr>
            <xdr:cNvPr id="14532609" name="Check Box 1" hidden="1">
              <a:extLst>
                <a:ext uri="{63B3BB69-23CF-44E3-9099-C40C66FF867C}">
                  <a14:compatExt spid="_x0000_s14532609"/>
                </a:ext>
                <a:ext uri="{FF2B5EF4-FFF2-40B4-BE49-F238E27FC236}">
                  <a16:creationId xmlns:a16="http://schemas.microsoft.com/office/drawing/2014/main" id="{00000000-0008-0000-1200-000001C0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228600</xdr:colOff>
          <xdr:row>13</xdr:row>
          <xdr:rowOff>167640</xdr:rowOff>
        </xdr:from>
        <xdr:to>
          <xdr:col>16</xdr:col>
          <xdr:colOff>106680</xdr:colOff>
          <xdr:row>14</xdr:row>
          <xdr:rowOff>186690</xdr:rowOff>
        </xdr:to>
        <xdr:sp macro="" textlink="">
          <xdr:nvSpPr>
            <xdr:cNvPr id="14532610" name="Check Box 2" hidden="1">
              <a:extLst>
                <a:ext uri="{63B3BB69-23CF-44E3-9099-C40C66FF867C}">
                  <a14:compatExt spid="_x0000_s14532610"/>
                </a:ext>
                <a:ext uri="{FF2B5EF4-FFF2-40B4-BE49-F238E27FC236}">
                  <a16:creationId xmlns:a16="http://schemas.microsoft.com/office/drawing/2014/main" id="{00000000-0008-0000-1200-000002C0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99060</xdr:colOff>
          <xdr:row>0</xdr:row>
          <xdr:rowOff>224790</xdr:rowOff>
        </xdr:from>
        <xdr:to>
          <xdr:col>2</xdr:col>
          <xdr:colOff>346710</xdr:colOff>
          <xdr:row>3</xdr:row>
          <xdr:rowOff>194310</xdr:rowOff>
        </xdr:to>
        <xdr:sp macro="" textlink="">
          <xdr:nvSpPr>
            <xdr:cNvPr id="14532611" name="Object 3" hidden="1">
              <a:extLst>
                <a:ext uri="{63B3BB69-23CF-44E3-9099-C40C66FF867C}">
                  <a14:compatExt spid="_x0000_s14532611"/>
                </a:ext>
                <a:ext uri="{FF2B5EF4-FFF2-40B4-BE49-F238E27FC236}">
                  <a16:creationId xmlns:a16="http://schemas.microsoft.com/office/drawing/2014/main" id="{00000000-0008-0000-1200-000003C0D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&#193;C%20C&#212;NG%20TR&#204;NH%20OFFSHORE\C&#193;C%20C&#212;NG%20TR&#204;NH%20OFFSHORE%20N&#258;M%202022\CTP2-BK2(541-21;280-22;204-22)\NVSX%20541-21\REPORT%20NDT%20541-21\N&#7889;i%20k&#7871;t_Ngo&#224;i_&#272;&#432;&#7907;c%20ph&#7909;c%20h&#7891;i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HO%20SO%20NDT/BIEN%20BAN%20CHUYEN%20GIAO%20TAI%20LIE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%20HO%20SO%20NDT\BIEN%20BAN%20CHUYEN%20GIAO%20TAI%20LIEU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%20HO%20SO%20NDT\BIEN%20BAN%20CHUYEN%20GIAO%20TAI%20LIEU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T2\MY%20DOCUMENTS\My%20Documents\Tan\B38VL\NHON\THUNHI\TRLOCNIN\DT-LNIN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Hoan\Downloads\1.%20HO%20SO%20NDT\BIEN%20BAN%20CHUYEN%20GIAO%20TAI%20LIE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%20HO%20SO%20NDT\BIEN%20BAN%20CHUYEN%20GIAO%20TAI%20LIE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KT2\MY%20DOCUMENTS\My%20Documents\Tan\B38VL\NHON\THUNHI\TRLOCNIN\DT-LNIN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PITAL\110TKKT\dongxu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TKT2/MY%20DOCUMENTS/My%20Documents/Tan/B38VL/NHON/THUNHI/TRLOCNIN/DT-LNIN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Hoan/Downloads/Users/Tuan/Desktop/NDT%20AutoReport%20tuan_Xuong%20cuu%20sinh%20(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Hoan\Downloads\Users\Tuan\Desktop\NDT%20AutoReport%20tuan_Xuong%20cuu%20sinh%20(2)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dows\Downloads\REGISTER%20FORM%20S&#7916;A%20CH&#194;N%20&#272;&#7870;%20HS%20BI&#7874;N.xlsx" TargetMode="External"/><Relationship Id="rId1" Type="http://schemas.openxmlformats.org/officeDocument/2006/relationships/externalLinkPath" Target="file:///C:\Users\Windows\Downloads\REGISTER%20FORM%20S&#7916;A%20CH&#194;N%20&#272;&#7870;%20HS%20BI&#7874;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145\e%20data%2023-05-2022$\1.%20HO%20SO%20NDT\BIEN%20BAN%20CHUYEN%20GIAO%20TAI%20LI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145\TKT2\MY%20DOCUMENTS\My%20Documents\Tan\B38VL\NHON\THUNHI\TRLOCNIN\DT-LNI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-17"/>
      <sheetName val="198-17"/>
      <sheetName val="XL4Poppy"/>
      <sheetName val="Sheet1"/>
      <sheetName val="SILICAT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-17"/>
      <sheetName val="198-17"/>
      <sheetName val="XL4Poppy"/>
      <sheetName val="Sheet1"/>
      <sheetName val="SILICAT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-17"/>
      <sheetName val="198-17"/>
      <sheetName val="XL4Poppy"/>
      <sheetName val="Sheet1"/>
      <sheetName val="SILICATE"/>
      <sheetName val="dtxl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ICATE"/>
      <sheetName val="200-17"/>
      <sheetName val="198-17"/>
      <sheetName val="XL4Poppy"/>
      <sheetName val="Sheet1"/>
      <sheetName val="phuluc1"/>
    </sheet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PDMoi  (3)"/>
      <sheetName val="t-h dau noi (2)"/>
      <sheetName val="tong d-noi(khong)  (2)"/>
      <sheetName val="tong ct (khong)"/>
      <sheetName val="tong d-noi(khong) "/>
      <sheetName val="dau noi(khong)"/>
      <sheetName val="tong tram-xdung-dnoi"/>
      <sheetName val="tong tram"/>
      <sheetName val="t-h xdung"/>
      <sheetName val="VC DD1P"/>
      <sheetName val="TONG HOP VL-NC"/>
      <sheetName val="THPDMoi "/>
      <sheetName val="TH-TTLIEN LAC"/>
      <sheetName val="TH-DAUNOI"/>
      <sheetName val="THPDMoi  (2)"/>
      <sheetName val="THTRAM"/>
      <sheetName val="tramLN"/>
      <sheetName val="tramLN (2)"/>
      <sheetName val="CHUANBISX (2)"/>
      <sheetName val="BIA"/>
      <sheetName val="BIA (2)"/>
      <sheetName val="TTLIENLAC"/>
      <sheetName val="phuluc1"/>
      <sheetName val="CHITIET VL-NC"/>
      <sheetName val="TONG HOP VL_NC"/>
      <sheetName val="SILICATE"/>
      <sheetName val="CaMay"/>
      <sheetName val="DGiaT"/>
      <sheetName val="DGiaTN"/>
      <sheetName val="TT"/>
      <sheetName val="TONG_HOP_VL-NC"/>
      <sheetName val="THPDMoi__(3)"/>
      <sheetName val="t-h_dau_noi_(2)"/>
      <sheetName val="tong_d-noi(khong)__(2)"/>
      <sheetName val="tong_ct_(khong)"/>
      <sheetName val="tong_d-noi(khong)_"/>
      <sheetName val="dau_noi(khong)"/>
      <sheetName val="tong_tram-xdung-dnoi"/>
      <sheetName val="tong_tram"/>
      <sheetName val="t-h_xdung"/>
      <sheetName val="VC_DD1P"/>
      <sheetName val="THPDMoi_"/>
      <sheetName val="TH-TTLIEN_LAC"/>
      <sheetName val="THPDMoi__(2)"/>
      <sheetName val="tramLN_(2)"/>
      <sheetName val="CHUANBISX_(2)"/>
      <sheetName val="BIA_(2)"/>
      <sheetName val="TONG_HOP_VL_NC"/>
      <sheetName val="KPVC-BD "/>
      <sheetName val="dtx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-17"/>
      <sheetName val="198-17"/>
      <sheetName val="XL4Poppy"/>
      <sheetName val="Sheet1"/>
      <sheetName val="SILICAT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-17"/>
      <sheetName val="198-17"/>
      <sheetName val="XL4Poppy"/>
      <sheetName val="Sheet1"/>
      <sheetName val="SILICATE"/>
      <sheetName val="phuluc1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luc1"/>
      <sheetName val="THPDMoi  (3)"/>
      <sheetName val="t-h dau noi (2)"/>
      <sheetName val="tong d-noi(khong)  (2)"/>
      <sheetName val="tong ct (khong)"/>
      <sheetName val="tong d-noi(khong) "/>
      <sheetName val="dau noi(khong)"/>
      <sheetName val="tong tram-xdung-dnoi"/>
      <sheetName val="tong tram"/>
      <sheetName val="t-h xdung"/>
      <sheetName val="VC DD1P"/>
      <sheetName val="TONG HOP VL-NC"/>
      <sheetName val="THPDMoi "/>
      <sheetName val="TH-TTLIEN LAC"/>
      <sheetName val="TH-DAUNOI"/>
      <sheetName val="THPDMoi  (2)"/>
      <sheetName val="THTRAM"/>
      <sheetName val="tramLN"/>
      <sheetName val="tramLN (2)"/>
      <sheetName val="CHUANBISX (2)"/>
      <sheetName val="BIA"/>
      <sheetName val="BIA (2)"/>
      <sheetName val="TTLIENLAC"/>
      <sheetName val="CHITIET VL-NC"/>
      <sheetName val="TONG HOP VL_NC"/>
      <sheetName val="SILICATE"/>
      <sheetName val="CaMay"/>
      <sheetName val="DGiaT"/>
      <sheetName val="DGiaTN"/>
      <sheetName val="TT"/>
      <sheetName val="TONG_HOP_VL-NC"/>
      <sheetName val="THPDMoi__(3)"/>
      <sheetName val="t-h_dau_noi_(2)"/>
      <sheetName val="tong_d-noi(khong)__(2)"/>
      <sheetName val="tong_ct_(khong)"/>
      <sheetName val="tong_d-noi(khong)_"/>
      <sheetName val="dau_noi(khong)"/>
      <sheetName val="tong_tram-xdung-dnoi"/>
      <sheetName val="tong_tram"/>
      <sheetName val="t-h_xdung"/>
      <sheetName val="VC_DD1P"/>
      <sheetName val="THPDMoi_"/>
      <sheetName val="TH-TTLIEN_LAC"/>
      <sheetName val="THPDMoi__(2)"/>
      <sheetName val="tramLN_(2)"/>
      <sheetName val="CHUANBISX_(2)"/>
      <sheetName val="BIA_(2)"/>
      <sheetName val="TONG_HOP_VL_NC"/>
      <sheetName val="KPVC-BD "/>
      <sheetName val="dtx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xl"/>
      <sheetName val="thtdt"/>
      <sheetName val="thcpk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  <sheetName val="@QDinh"/>
      <sheetName val="SoLieuDT"/>
      <sheetName val="TongHop"/>
      <sheetName val="ToString"/>
      <sheetName val="CPThietBi"/>
      <sheetName val="DinhMucCPK"/>
      <sheetName val="CPXL"/>
      <sheetName val="DinhMucThKe"/>
      <sheetName val="CP Khac"/>
      <sheetName val="CPKS&amp;TK"/>
      <sheetName val="TgHop-XDCB"/>
      <sheetName val="ThanhPhan"/>
      <sheetName val="@ZTrungThe"/>
      <sheetName val="@TramTreo"/>
      <sheetName val="@TramNen"/>
      <sheetName val="@MayPhat"/>
      <sheetName val="@ZHaThe"/>
      <sheetName val="VatLieu"/>
      <sheetName val="NC"/>
      <sheetName val="Test"/>
      <sheetName val="SuDungLai"/>
      <sheetName val="ThuHoi"/>
      <sheetName val="VanTai"/>
      <sheetName val="Bang ke KLVT"/>
      <sheetName val="Bang THKLVT"/>
      <sheetName val="THAO GO THU HOI"/>
      <sheetName val="BocLen"/>
      <sheetName val="XXuong"/>
      <sheetName val="ChuDan"/>
      <sheetName val="Cuoc VTcu"/>
      <sheetName val="Error"/>
      <sheetName val="XL4Test5"/>
      <sheetName val="chitimc"/>
      <sheetName val="Chi PK"/>
      <sheetName val="B1"/>
      <sheetName val="B2"/>
      <sheetName val="B3"/>
      <sheetName val="B4"/>
      <sheetName val="Chung"/>
      <sheetName val="Sheet1"/>
      <sheetName val="thdt"/>
      <sheetName val="xlc"/>
      <sheetName val="thchung"/>
      <sheetName val="thmong"/>
      <sheetName val="thcot"/>
      <sheetName val="TH35"/>
      <sheetName val="thdien"/>
      <sheetName val="thinghiem"/>
      <sheetName val="vtuA"/>
      <sheetName val="CTmong"/>
      <sheetName val="CTcoc"/>
      <sheetName val="CTcot"/>
      <sheetName val="vcdd "/>
      <sheetName val="chuqua"/>
      <sheetName val="bugia"/>
      <sheetName val="xlkhac"/>
      <sheetName val="KLcoc"/>
      <sheetName val="vlmong"/>
      <sheetName val="daodat"/>
      <sheetName val="THoi"/>
      <sheetName val="Thu hoi"/>
      <sheetName val="clvc"/>
      <sheetName val="Denbu"/>
      <sheetName val="Sheet2"/>
      <sheetName val="CBSX110"/>
      <sheetName val="dg285"/>
      <sheetName val="00000000"/>
      <sheetName val="10000000"/>
      <sheetName val="20000000"/>
      <sheetName val="30000000"/>
      <sheetName val="40000000"/>
      <sheetName val="50000000"/>
      <sheetName val="60000000"/>
      <sheetName val="Sheet3"/>
      <sheetName val="thang6"/>
      <sheetName val="thang7"/>
      <sheetName val="thang8"/>
      <sheetName val="Tinh BT"/>
      <sheetName val="PST01"/>
      <sheetName val="PST02"/>
      <sheetName val="PST03"/>
      <sheetName val="PST04"/>
      <sheetName val="PST05"/>
      <sheetName val="PST06"/>
      <sheetName val="PST07"/>
      <sheetName val="PST08"/>
      <sheetName val="PST09"/>
      <sheetName val="PST10"/>
      <sheetName val="PST11"/>
      <sheetName val="PST12"/>
      <sheetName val="BCDKT"/>
      <sheetName val="KQHDKD"/>
      <sheetName val="BCDPSQUYI"/>
      <sheetName val="BCDPSQUYII"/>
      <sheetName val="BCDPS6THANG"/>
      <sheetName val="00000001"/>
      <sheetName val="XL4Poppy"/>
      <sheetName val="DANHPHAP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BETON"/>
      <sheetName val="tuong"/>
      <sheetName val="Keothep"/>
      <sheetName val="Re-bar"/>
      <sheetName val="beam"/>
      <sheetName val="PSS"/>
      <sheetName val="THVT"/>
      <sheetName val="PTDM"/>
      <sheetName val="dg-VTu"/>
      <sheetName val="eqp"/>
      <sheetName val="Du Toan"/>
      <sheetName val="KH-Q1,Q2,01"/>
      <sheetName val="phuluc1"/>
      <sheetName val="SILICATE"/>
      <sheetName val="Vt-hmc"/>
      <sheetName val="culi_2"/>
      <sheetName val="CP_Khac"/>
      <sheetName val="Bang_ke_KLVT"/>
      <sheetName val="Bang_THKLVT"/>
      <sheetName val="THAO_GO_THU_HOI"/>
      <sheetName val="Cuoc_VTcu"/>
      <sheetName val="CHITIET VL-NC-TT -1p"/>
      <sheetName val="CHITIET VL-NC-TT-3p"/>
      <sheetName val="TONG HOP VL-NC TT"/>
      <sheetName val="TDTKP1"/>
      <sheetName val="KPVC-B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PDMoi  (3)"/>
      <sheetName val="t-h dau noi (2)"/>
      <sheetName val="tong d-noi(khong)  (2)"/>
      <sheetName val="tong ct (khong)"/>
      <sheetName val="tong d-noi(khong) "/>
      <sheetName val="dau noi(khong)"/>
      <sheetName val="tong tram-xdung-dnoi"/>
      <sheetName val="tong tram"/>
      <sheetName val="t-h xdung"/>
      <sheetName val="VC DD1P"/>
      <sheetName val="TONG HOP VL-NC"/>
      <sheetName val="THPDMoi "/>
      <sheetName val="TH-TTLIEN LAC"/>
      <sheetName val="TH-DAUNOI"/>
      <sheetName val="THPDMoi  (2)"/>
      <sheetName val="THTRAM"/>
      <sheetName val="tramLN"/>
      <sheetName val="tramLN (2)"/>
      <sheetName val="CHUANBISX (2)"/>
      <sheetName val="BIA"/>
      <sheetName val="BIA (2)"/>
      <sheetName val="TTLIENLAC"/>
      <sheetName val="phuluc1"/>
      <sheetName val="CHITIET VL-NC"/>
      <sheetName val="TONG HOP VL_NC"/>
      <sheetName val="SILIC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420-21_PAUT(1)"/>
      <sheetName val="470-21_UT-Pl(10)"/>
      <sheetName val="470-21_UT(1)"/>
      <sheetName val="420-21_PT (1)"/>
      <sheetName val="470-21_MT(1)"/>
      <sheetName val="420-21 RT(1)"/>
      <sheetName val="dtx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420-21_PAUT(1)"/>
      <sheetName val="470-21_UT-Pl(10)"/>
      <sheetName val="470-21_UT(1)"/>
      <sheetName val="420-21_PT (1)"/>
      <sheetName val="470-21_MT(1)"/>
      <sheetName val="420-21 RT(1)"/>
      <sheetName val="dtxl"/>
    </sheetNames>
    <sheetDataSet>
      <sheetData sheetId="0">
        <row r="4">
          <cell r="F4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ER (CHÂN ĐẾ)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-17"/>
      <sheetName val="198-17"/>
      <sheetName val="XL4Poppy"/>
      <sheetName val="Sheet1"/>
      <sheetName val="SILICATE"/>
      <sheetName val="phuluc1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PDMoi  (3)"/>
      <sheetName val="t-h dau noi (2)"/>
      <sheetName val="tong d-noi(khong)  (2)"/>
      <sheetName val="tong ct (khong)"/>
      <sheetName val="tong d-noi(khong) "/>
      <sheetName val="dau noi(khong)"/>
      <sheetName val="tong tram-xdung-dnoi"/>
      <sheetName val="tong tram"/>
      <sheetName val="t-h xdung"/>
      <sheetName val="VC DD1P"/>
      <sheetName val="TONG HOP VL-NC"/>
      <sheetName val="THPDMoi "/>
      <sheetName val="TH-TTLIEN LAC"/>
      <sheetName val="TH-DAUNOI"/>
      <sheetName val="THPDMoi  (2)"/>
      <sheetName val="THTRAM"/>
      <sheetName val="tramLN"/>
      <sheetName val="tramLN (2)"/>
      <sheetName val="CHUANBISX (2)"/>
      <sheetName val="BIA"/>
      <sheetName val="BIA (2)"/>
      <sheetName val="TTLIENLAC"/>
      <sheetName val="phuluc1"/>
      <sheetName val="CHITIET VL-NC"/>
      <sheetName val="TONG HOP VL_NC"/>
      <sheetName val="SILICATE"/>
      <sheetName val="CaMay"/>
      <sheetName val="DGiaT"/>
      <sheetName val="DGiaTN"/>
      <sheetName val="TT"/>
      <sheetName val="TONG_HOP_VL-NC"/>
      <sheetName val="THPDMoi__(3)"/>
      <sheetName val="t-h_dau_noi_(2)"/>
      <sheetName val="tong_d-noi(khong)__(2)"/>
      <sheetName val="tong_ct_(khong)"/>
      <sheetName val="tong_d-noi(khong)_"/>
      <sheetName val="dau_noi(khong)"/>
      <sheetName val="tong_tram-xdung-dnoi"/>
      <sheetName val="tong_tram"/>
      <sheetName val="t-h_xdung"/>
      <sheetName val="VC_DD1P"/>
      <sheetName val="THPDMoi_"/>
      <sheetName val="TH-TTLIEN_LAC"/>
      <sheetName val="THPDMoi__(2)"/>
      <sheetName val="tramLN_(2)"/>
      <sheetName val="CHUANBISX_(2)"/>
      <sheetName val="BIA_(2)"/>
      <sheetName val="TONG_HOP_VL_NC"/>
      <sheetName val="KPVC-BD "/>
      <sheetName val="dtx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7.xml"/><Relationship Id="rId5" Type="http://schemas.openxmlformats.org/officeDocument/2006/relationships/image" Target="../media/image3.emf"/><Relationship Id="rId4" Type="http://schemas.openxmlformats.org/officeDocument/2006/relationships/oleObject" Target="../embeddings/oleObject2.bin"/><Relationship Id="rId9" Type="http://schemas.openxmlformats.org/officeDocument/2006/relationships/ctrlProp" Target="../ctrlProps/ctrlProp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11.xml"/><Relationship Id="rId5" Type="http://schemas.openxmlformats.org/officeDocument/2006/relationships/image" Target="../media/image5.emf"/><Relationship Id="rId10" Type="http://schemas.openxmlformats.org/officeDocument/2006/relationships/ctrlProp" Target="../ctrlProps/ctrlProp15.xml"/><Relationship Id="rId4" Type="http://schemas.openxmlformats.org/officeDocument/2006/relationships/oleObject" Target="../embeddings/oleObject6.bin"/><Relationship Id="rId9" Type="http://schemas.openxmlformats.org/officeDocument/2006/relationships/ctrlProp" Target="../ctrlProps/ctrlProp1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16.xml"/><Relationship Id="rId5" Type="http://schemas.openxmlformats.org/officeDocument/2006/relationships/image" Target="../media/image5.emf"/><Relationship Id="rId10" Type="http://schemas.openxmlformats.org/officeDocument/2006/relationships/ctrlProp" Target="../ctrlProps/ctrlProp20.xml"/><Relationship Id="rId4" Type="http://schemas.openxmlformats.org/officeDocument/2006/relationships/oleObject" Target="../embeddings/oleObject7.bin"/><Relationship Id="rId9" Type="http://schemas.openxmlformats.org/officeDocument/2006/relationships/ctrlProp" Target="../ctrlProps/ctrlProp1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21.xml"/><Relationship Id="rId5" Type="http://schemas.openxmlformats.org/officeDocument/2006/relationships/image" Target="../media/image5.emf"/><Relationship Id="rId4" Type="http://schemas.openxmlformats.org/officeDocument/2006/relationships/oleObject" Target="../embeddings/oleObject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23.xml"/><Relationship Id="rId5" Type="http://schemas.openxmlformats.org/officeDocument/2006/relationships/image" Target="../media/image5.emf"/><Relationship Id="rId4" Type="http://schemas.openxmlformats.org/officeDocument/2006/relationships/oleObject" Target="../embeddings/oleObject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2"/>
  <sheetViews>
    <sheetView showGridLines="0" zoomScale="70" zoomScaleNormal="70" workbookViewId="0">
      <selection activeCell="F16" sqref="F16"/>
    </sheetView>
  </sheetViews>
  <sheetFormatPr defaultColWidth="0" defaultRowHeight="17.399999999999999" zeroHeight="1"/>
  <cols>
    <col min="1" max="1" width="21.5546875" style="224" customWidth="1"/>
    <col min="2" max="2" width="25.88671875" style="224" customWidth="1"/>
    <col min="3" max="3" width="11.6640625" style="224" customWidth="1"/>
    <col min="4" max="4" width="21.88671875" style="224" customWidth="1"/>
    <col min="5" max="5" width="30.6640625" style="224" customWidth="1"/>
    <col min="6" max="6" width="21.33203125" style="224" customWidth="1"/>
    <col min="7" max="7" width="27.88671875" style="224" hidden="1" customWidth="1"/>
    <col min="8" max="8" width="8" style="224" hidden="1" customWidth="1"/>
    <col min="9" max="9" width="20.33203125" style="224" hidden="1" customWidth="1"/>
    <col min="10" max="10" width="22.6640625" style="224" hidden="1" customWidth="1"/>
    <col min="11" max="16384" width="9.109375" style="224" hidden="1"/>
  </cols>
  <sheetData>
    <row r="1" spans="1:6" ht="18" customHeight="1">
      <c r="A1" s="543" t="s">
        <v>681</v>
      </c>
      <c r="B1" s="543"/>
      <c r="C1" s="543"/>
      <c r="D1" s="543"/>
      <c r="E1" s="543"/>
      <c r="F1" s="543"/>
    </row>
    <row r="2" spans="1:6" ht="18" customHeight="1">
      <c r="A2" s="543"/>
      <c r="B2" s="543"/>
      <c r="C2" s="543"/>
      <c r="D2" s="543"/>
      <c r="E2" s="543"/>
      <c r="F2" s="543"/>
    </row>
    <row r="3" spans="1:6" ht="27.75" customHeight="1" thickBot="1">
      <c r="A3" s="536" t="s">
        <v>682</v>
      </c>
      <c r="B3" s="536"/>
      <c r="C3" s="536"/>
      <c r="D3" s="536"/>
      <c r="E3" s="536"/>
      <c r="F3" s="536"/>
    </row>
    <row r="4" spans="1:6" ht="27.75" customHeight="1" thickTop="1">
      <c r="A4" s="537" t="s">
        <v>683</v>
      </c>
      <c r="B4" s="538"/>
      <c r="C4" s="538"/>
      <c r="D4" s="539"/>
      <c r="E4" s="540" t="s">
        <v>684</v>
      </c>
      <c r="F4" s="541"/>
    </row>
    <row r="5" spans="1:6" ht="27.75" customHeight="1" thickBot="1">
      <c r="A5" s="225" t="s">
        <v>685</v>
      </c>
      <c r="B5" s="226" t="s">
        <v>686</v>
      </c>
      <c r="C5" s="227" t="s">
        <v>687</v>
      </c>
      <c r="D5" s="226" t="s">
        <v>688</v>
      </c>
      <c r="E5" s="226" t="s">
        <v>689</v>
      </c>
      <c r="F5" s="228" t="s">
        <v>688</v>
      </c>
    </row>
    <row r="6" spans="1:6" ht="25.05" customHeight="1" thickTop="1">
      <c r="A6" s="229" t="s">
        <v>690</v>
      </c>
      <c r="B6" s="230" t="s">
        <v>691</v>
      </c>
      <c r="C6" s="231">
        <v>2</v>
      </c>
      <c r="D6" s="232">
        <v>42430</v>
      </c>
      <c r="E6" s="233" t="s">
        <v>692</v>
      </c>
      <c r="F6" s="234">
        <v>44589</v>
      </c>
    </row>
    <row r="7" spans="1:6" ht="25.05" customHeight="1">
      <c r="A7" s="229" t="s">
        <v>693</v>
      </c>
      <c r="B7" s="230" t="s">
        <v>694</v>
      </c>
      <c r="C7" s="231">
        <v>1</v>
      </c>
      <c r="D7" s="232">
        <v>41694</v>
      </c>
      <c r="E7" s="235" t="s">
        <v>695</v>
      </c>
      <c r="F7" s="234">
        <v>44589</v>
      </c>
    </row>
    <row r="8" spans="1:6" ht="25.05" customHeight="1">
      <c r="A8" s="229" t="s">
        <v>696</v>
      </c>
      <c r="B8" s="236" t="s">
        <v>697</v>
      </c>
      <c r="C8" s="231">
        <v>0</v>
      </c>
      <c r="D8" s="232">
        <v>43893</v>
      </c>
      <c r="E8" s="235" t="s">
        <v>698</v>
      </c>
      <c r="F8" s="234">
        <v>43893</v>
      </c>
    </row>
    <row r="9" spans="1:6" ht="25.05" customHeight="1">
      <c r="A9" s="237" t="s">
        <v>699</v>
      </c>
      <c r="B9" s="236" t="s">
        <v>700</v>
      </c>
      <c r="C9" s="235">
        <v>2</v>
      </c>
      <c r="D9" s="238">
        <v>42588</v>
      </c>
      <c r="E9" s="235" t="s">
        <v>701</v>
      </c>
      <c r="F9" s="234">
        <v>44589</v>
      </c>
    </row>
    <row r="10" spans="1:6" ht="25.05" customHeight="1">
      <c r="A10" s="237" t="s">
        <v>702</v>
      </c>
      <c r="B10" s="236" t="s">
        <v>703</v>
      </c>
      <c r="C10" s="235">
        <v>2</v>
      </c>
      <c r="D10" s="238">
        <v>41649</v>
      </c>
      <c r="E10" s="235" t="s">
        <v>704</v>
      </c>
      <c r="F10" s="234">
        <v>44589</v>
      </c>
    </row>
    <row r="11" spans="1:6" ht="25.05" customHeight="1">
      <c r="A11" s="237" t="s">
        <v>705</v>
      </c>
      <c r="B11" s="236" t="s">
        <v>706</v>
      </c>
      <c r="C11" s="235">
        <v>0</v>
      </c>
      <c r="D11" s="238">
        <v>41678</v>
      </c>
      <c r="E11" s="235" t="s">
        <v>704</v>
      </c>
      <c r="F11" s="234">
        <v>44589</v>
      </c>
    </row>
    <row r="12" spans="1:6" ht="25.05" customHeight="1">
      <c r="A12" s="237" t="s">
        <v>707</v>
      </c>
      <c r="B12" s="236" t="s">
        <v>708</v>
      </c>
      <c r="C12" s="235">
        <v>2</v>
      </c>
      <c r="D12" s="238">
        <v>42588</v>
      </c>
      <c r="E12" s="239" t="s">
        <v>704</v>
      </c>
      <c r="F12" s="234">
        <v>44589</v>
      </c>
    </row>
    <row r="13" spans="1:6" ht="25.05" customHeight="1">
      <c r="A13" s="237" t="s">
        <v>64</v>
      </c>
      <c r="B13" s="236" t="s">
        <v>709</v>
      </c>
      <c r="C13" s="235">
        <v>2</v>
      </c>
      <c r="D13" s="238">
        <v>41640</v>
      </c>
      <c r="E13" s="235" t="s">
        <v>710</v>
      </c>
      <c r="F13" s="234">
        <v>44589</v>
      </c>
    </row>
    <row r="14" spans="1:6" ht="25.05" customHeight="1">
      <c r="A14" s="237" t="s">
        <v>96</v>
      </c>
      <c r="B14" s="236" t="s">
        <v>711</v>
      </c>
      <c r="C14" s="235">
        <v>2</v>
      </c>
      <c r="D14" s="238">
        <v>41649</v>
      </c>
      <c r="E14" s="235" t="s">
        <v>712</v>
      </c>
      <c r="F14" s="234">
        <v>44589</v>
      </c>
    </row>
    <row r="15" spans="1:6" ht="25.05" customHeight="1">
      <c r="A15" s="237" t="s">
        <v>110</v>
      </c>
      <c r="B15" s="236" t="s">
        <v>713</v>
      </c>
      <c r="C15" s="235">
        <v>2</v>
      </c>
      <c r="D15" s="238">
        <v>41649</v>
      </c>
      <c r="E15" s="235" t="s">
        <v>714</v>
      </c>
      <c r="F15" s="234">
        <v>44589</v>
      </c>
    </row>
    <row r="16" spans="1:6" ht="25.05" customHeight="1">
      <c r="A16" s="240" t="s">
        <v>715</v>
      </c>
      <c r="B16" s="241" t="s">
        <v>716</v>
      </c>
      <c r="C16" s="239">
        <v>1</v>
      </c>
      <c r="D16" s="242">
        <v>41861</v>
      </c>
      <c r="E16" s="235" t="s">
        <v>692</v>
      </c>
      <c r="F16" s="234">
        <v>44589</v>
      </c>
    </row>
    <row r="17" spans="1:6" ht="25.05" customHeight="1" thickBot="1">
      <c r="A17" s="243" t="s">
        <v>717</v>
      </c>
      <c r="B17" s="244" t="s">
        <v>718</v>
      </c>
      <c r="C17" s="245">
        <v>1</v>
      </c>
      <c r="D17" s="246">
        <v>39522</v>
      </c>
      <c r="E17" s="245" t="s">
        <v>195</v>
      </c>
      <c r="F17" s="247"/>
    </row>
    <row r="18" spans="1:6" ht="13.9" customHeight="1" thickTop="1">
      <c r="A18" s="248"/>
      <c r="B18" s="249"/>
      <c r="C18" s="248"/>
      <c r="D18" s="250"/>
      <c r="E18" s="248"/>
      <c r="F18" s="248"/>
    </row>
    <row r="19" spans="1:6" ht="27.75" customHeight="1" thickBot="1">
      <c r="A19" s="536" t="s">
        <v>719</v>
      </c>
      <c r="B19" s="536"/>
      <c r="C19" s="536"/>
      <c r="D19" s="536"/>
      <c r="E19" s="536"/>
      <c r="F19" s="536"/>
    </row>
    <row r="20" spans="1:6" ht="27.75" customHeight="1" thickTop="1">
      <c r="A20" s="544" t="s">
        <v>683</v>
      </c>
      <c r="B20" s="545"/>
      <c r="C20" s="545"/>
      <c r="D20" s="546"/>
      <c r="E20" s="547" t="s">
        <v>684</v>
      </c>
      <c r="F20" s="548"/>
    </row>
    <row r="21" spans="1:6" ht="27.75" customHeight="1" thickBot="1">
      <c r="A21" s="251" t="s">
        <v>685</v>
      </c>
      <c r="B21" s="252" t="s">
        <v>686</v>
      </c>
      <c r="C21" s="253" t="s">
        <v>687</v>
      </c>
      <c r="D21" s="252" t="s">
        <v>688</v>
      </c>
      <c r="E21" s="252" t="s">
        <v>689</v>
      </c>
      <c r="F21" s="254" t="s">
        <v>688</v>
      </c>
    </row>
    <row r="22" spans="1:6" ht="25.05" customHeight="1" thickTop="1">
      <c r="A22" s="255" t="s">
        <v>690</v>
      </c>
      <c r="B22" s="256" t="s">
        <v>691</v>
      </c>
      <c r="C22" s="257">
        <v>2</v>
      </c>
      <c r="D22" s="242">
        <v>42430</v>
      </c>
      <c r="E22" s="258" t="s">
        <v>720</v>
      </c>
      <c r="F22" s="259">
        <v>45474</v>
      </c>
    </row>
    <row r="23" spans="1:6" ht="25.05" customHeight="1">
      <c r="A23" s="240" t="s">
        <v>715</v>
      </c>
      <c r="B23" s="241" t="s">
        <v>716</v>
      </c>
      <c r="C23" s="239">
        <v>1</v>
      </c>
      <c r="D23" s="242">
        <v>41861</v>
      </c>
      <c r="E23" s="260" t="s">
        <v>720</v>
      </c>
      <c r="F23" s="259">
        <v>45474</v>
      </c>
    </row>
    <row r="24" spans="1:6" ht="25.05" customHeight="1">
      <c r="A24" s="240" t="s">
        <v>699</v>
      </c>
      <c r="B24" s="241" t="s">
        <v>700</v>
      </c>
      <c r="C24" s="239">
        <v>1</v>
      </c>
      <c r="D24" s="242">
        <v>38671</v>
      </c>
      <c r="E24" s="260" t="s">
        <v>721</v>
      </c>
      <c r="F24" s="259">
        <v>45474</v>
      </c>
    </row>
    <row r="25" spans="1:6" ht="25.05" customHeight="1">
      <c r="A25" s="240" t="s">
        <v>702</v>
      </c>
      <c r="B25" s="241" t="s">
        <v>703</v>
      </c>
      <c r="C25" s="239">
        <v>2</v>
      </c>
      <c r="D25" s="242">
        <v>41649</v>
      </c>
      <c r="E25" s="260" t="s">
        <v>721</v>
      </c>
      <c r="F25" s="259">
        <v>45474</v>
      </c>
    </row>
    <row r="26" spans="1:6" ht="25.05" customHeight="1">
      <c r="A26" s="240" t="s">
        <v>707</v>
      </c>
      <c r="B26" s="241" t="s">
        <v>708</v>
      </c>
      <c r="C26" s="239">
        <v>1</v>
      </c>
      <c r="D26" s="242">
        <v>38672</v>
      </c>
      <c r="E26" s="260" t="s">
        <v>721</v>
      </c>
      <c r="F26" s="259">
        <v>45474</v>
      </c>
    </row>
    <row r="27" spans="1:6" ht="25.05" customHeight="1">
      <c r="A27" s="240" t="s">
        <v>64</v>
      </c>
      <c r="B27" s="241" t="s">
        <v>709</v>
      </c>
      <c r="C27" s="239">
        <v>2</v>
      </c>
      <c r="D27" s="242">
        <v>41640</v>
      </c>
      <c r="E27" s="260" t="s">
        <v>722</v>
      </c>
      <c r="F27" s="259">
        <v>45474</v>
      </c>
    </row>
    <row r="28" spans="1:6" ht="25.05" customHeight="1">
      <c r="A28" s="240" t="s">
        <v>96</v>
      </c>
      <c r="B28" s="241" t="s">
        <v>711</v>
      </c>
      <c r="C28" s="239">
        <v>2</v>
      </c>
      <c r="D28" s="242">
        <v>41649</v>
      </c>
      <c r="E28" s="260" t="s">
        <v>723</v>
      </c>
      <c r="F28" s="259">
        <v>45474</v>
      </c>
    </row>
    <row r="29" spans="1:6" ht="25.05" customHeight="1" thickBot="1">
      <c r="A29" s="261" t="s">
        <v>717</v>
      </c>
      <c r="B29" s="262" t="s">
        <v>718</v>
      </c>
      <c r="C29" s="263">
        <v>1</v>
      </c>
      <c r="D29" s="264">
        <v>39522</v>
      </c>
      <c r="E29" s="263" t="s">
        <v>195</v>
      </c>
      <c r="F29" s="263"/>
    </row>
    <row r="30" spans="1:6" ht="17.7" thickTop="1"/>
    <row r="31" spans="1:6" ht="22.8" thickBot="1">
      <c r="A31" s="536" t="s">
        <v>724</v>
      </c>
      <c r="B31" s="536"/>
      <c r="C31" s="536"/>
      <c r="D31" s="536"/>
      <c r="E31" s="536"/>
      <c r="F31" s="536"/>
    </row>
    <row r="32" spans="1:6" ht="25.05" customHeight="1" thickTop="1">
      <c r="A32" s="537" t="s">
        <v>683</v>
      </c>
      <c r="B32" s="538"/>
      <c r="C32" s="538"/>
      <c r="D32" s="539"/>
      <c r="E32" s="540" t="s">
        <v>684</v>
      </c>
      <c r="F32" s="541"/>
    </row>
    <row r="33" spans="1:7" ht="25.05" customHeight="1" thickBot="1">
      <c r="A33" s="225" t="s">
        <v>685</v>
      </c>
      <c r="B33" s="226" t="s">
        <v>686</v>
      </c>
      <c r="C33" s="227" t="s">
        <v>687</v>
      </c>
      <c r="D33" s="226" t="s">
        <v>688</v>
      </c>
      <c r="E33" s="226" t="s">
        <v>689</v>
      </c>
      <c r="F33" s="228" t="s">
        <v>688</v>
      </c>
    </row>
    <row r="34" spans="1:7" ht="25.05" customHeight="1" thickTop="1">
      <c r="A34" s="265" t="s">
        <v>690</v>
      </c>
      <c r="B34" s="241" t="s">
        <v>725</v>
      </c>
      <c r="C34" s="266">
        <v>0</v>
      </c>
      <c r="D34" s="242">
        <v>45142</v>
      </c>
      <c r="E34" s="267" t="s">
        <v>726</v>
      </c>
      <c r="F34" s="268">
        <v>45285</v>
      </c>
      <c r="G34" s="542" t="s">
        <v>727</v>
      </c>
    </row>
    <row r="35" spans="1:7" ht="25.05" customHeight="1">
      <c r="A35" s="240" t="s">
        <v>146</v>
      </c>
      <c r="B35" s="241" t="s">
        <v>728</v>
      </c>
      <c r="C35" s="239">
        <v>0</v>
      </c>
      <c r="D35" s="242">
        <v>45142</v>
      </c>
      <c r="E35" s="267" t="s">
        <v>729</v>
      </c>
      <c r="F35" s="268">
        <v>45285</v>
      </c>
      <c r="G35" s="542"/>
    </row>
    <row r="36" spans="1:7" ht="25.05" customHeight="1">
      <c r="A36" s="240" t="s">
        <v>707</v>
      </c>
      <c r="B36" s="241" t="s">
        <v>730</v>
      </c>
      <c r="C36" s="239">
        <v>0</v>
      </c>
      <c r="D36" s="242">
        <v>45142</v>
      </c>
      <c r="E36" s="267" t="s">
        <v>731</v>
      </c>
      <c r="F36" s="268">
        <v>45285</v>
      </c>
      <c r="G36" s="542"/>
    </row>
    <row r="37" spans="1:7" ht="25.05" customHeight="1">
      <c r="A37" s="240" t="s">
        <v>64</v>
      </c>
      <c r="B37" s="241" t="s">
        <v>732</v>
      </c>
      <c r="C37" s="239">
        <v>0</v>
      </c>
      <c r="D37" s="242">
        <v>45142</v>
      </c>
      <c r="E37" s="267" t="s">
        <v>733</v>
      </c>
      <c r="F37" s="268">
        <v>45285</v>
      </c>
      <c r="G37" s="542"/>
    </row>
    <row r="38" spans="1:7" ht="25.05" customHeight="1">
      <c r="A38" s="240" t="s">
        <v>96</v>
      </c>
      <c r="B38" s="241" t="s">
        <v>734</v>
      </c>
      <c r="C38" s="239">
        <v>0</v>
      </c>
      <c r="D38" s="242">
        <v>45142</v>
      </c>
      <c r="E38" s="267" t="s">
        <v>735</v>
      </c>
      <c r="F38" s="268">
        <v>45285</v>
      </c>
      <c r="G38" s="542"/>
    </row>
    <row r="39" spans="1:7" ht="25.05" customHeight="1">
      <c r="A39" s="240" t="s">
        <v>110</v>
      </c>
      <c r="B39" s="241" t="s">
        <v>736</v>
      </c>
      <c r="C39" s="239">
        <v>0</v>
      </c>
      <c r="D39" s="242">
        <v>45142</v>
      </c>
      <c r="E39" s="267" t="s">
        <v>737</v>
      </c>
      <c r="F39" s="268">
        <v>45285</v>
      </c>
      <c r="G39" s="542"/>
    </row>
    <row r="40" spans="1:7" ht="25.05" customHeight="1">
      <c r="A40" s="240" t="s">
        <v>715</v>
      </c>
      <c r="B40" s="242" t="s">
        <v>195</v>
      </c>
      <c r="C40" s="242" t="s">
        <v>195</v>
      </c>
      <c r="D40" s="242" t="s">
        <v>195</v>
      </c>
      <c r="E40" s="267" t="s">
        <v>726</v>
      </c>
      <c r="F40" s="268">
        <v>45285</v>
      </c>
      <c r="G40" s="542"/>
    </row>
    <row r="41" spans="1:7" ht="25.05" customHeight="1" thickBot="1">
      <c r="A41" s="269" t="s">
        <v>717</v>
      </c>
      <c r="B41" s="270" t="s">
        <v>718</v>
      </c>
      <c r="C41" s="271">
        <v>1</v>
      </c>
      <c r="D41" s="264">
        <v>39522</v>
      </c>
      <c r="E41" s="271" t="s">
        <v>195</v>
      </c>
      <c r="F41" s="272" t="s">
        <v>195</v>
      </c>
      <c r="G41" s="542"/>
    </row>
    <row r="42" spans="1:7" ht="17.7" thickTop="1"/>
  </sheetData>
  <mergeCells count="11">
    <mergeCell ref="A31:F31"/>
    <mergeCell ref="A32:D32"/>
    <mergeCell ref="E32:F32"/>
    <mergeCell ref="G34:G41"/>
    <mergeCell ref="A1:F2"/>
    <mergeCell ref="A3:F3"/>
    <mergeCell ref="A4:D4"/>
    <mergeCell ref="E4:F4"/>
    <mergeCell ref="A19:F19"/>
    <mergeCell ref="A20:D20"/>
    <mergeCell ref="E20:F20"/>
  </mergeCells>
  <pageMargins left="0.57999999999999996" right="0.5" top="0.37" bottom="0.45" header="0.3" footer="0.2"/>
  <pageSetup paperSize="9" orientation="landscape" r:id="rId1"/>
  <headerFooter>
    <oddFooter>&amp;R&amp;"Arial,Bold"&amp;10UPDATE 21/06/2022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8"/>
  <sheetViews>
    <sheetView showGridLines="0" zoomScale="70" zoomScaleNormal="70" workbookViewId="0">
      <selection activeCell="A18" sqref="A18:XFD1048576"/>
    </sheetView>
  </sheetViews>
  <sheetFormatPr defaultColWidth="0" defaultRowHeight="17.399999999999999" zeroHeight="1"/>
  <cols>
    <col min="1" max="1" width="8.33203125" style="273" customWidth="1"/>
    <col min="2" max="2" width="24" style="273" customWidth="1"/>
    <col min="3" max="5" width="12.33203125" style="273" customWidth="1"/>
    <col min="6" max="6" width="105.88671875" style="273" customWidth="1"/>
    <col min="7" max="7" width="41.27734375" style="273" customWidth="1"/>
    <col min="8" max="16384" width="9.109375" style="273" hidden="1"/>
  </cols>
  <sheetData>
    <row r="1" spans="1:7" ht="18" customHeight="1">
      <c r="A1" s="549" t="s">
        <v>738</v>
      </c>
      <c r="B1" s="549"/>
      <c r="C1" s="549"/>
      <c r="D1" s="549"/>
      <c r="E1" s="549"/>
      <c r="F1" s="549"/>
      <c r="G1" s="549"/>
    </row>
    <row r="2" spans="1:7" ht="17.7" thickBot="1">
      <c r="A2" s="550"/>
      <c r="B2" s="550"/>
      <c r="C2" s="550"/>
      <c r="D2" s="550"/>
      <c r="E2" s="550"/>
      <c r="F2" s="550"/>
      <c r="G2" s="550"/>
    </row>
    <row r="3" spans="1:7" ht="20.399999999999999" thickTop="1">
      <c r="A3" s="551" t="s">
        <v>21</v>
      </c>
      <c r="B3" s="553" t="s">
        <v>176</v>
      </c>
      <c r="C3" s="555" t="s">
        <v>739</v>
      </c>
      <c r="D3" s="555"/>
      <c r="E3" s="555"/>
      <c r="F3" s="553" t="s">
        <v>740</v>
      </c>
      <c r="G3" s="556" t="s">
        <v>741</v>
      </c>
    </row>
    <row r="4" spans="1:7" ht="18" thickBot="1">
      <c r="A4" s="552"/>
      <c r="B4" s="554" t="s">
        <v>176</v>
      </c>
      <c r="C4" s="274" t="s">
        <v>146</v>
      </c>
      <c r="D4" s="274" t="s">
        <v>64</v>
      </c>
      <c r="E4" s="274" t="s">
        <v>742</v>
      </c>
      <c r="F4" s="554" t="s">
        <v>740</v>
      </c>
      <c r="G4" s="557"/>
    </row>
    <row r="5" spans="1:7" ht="35.700000000000003" thickTop="1">
      <c r="A5" s="275">
        <v>1</v>
      </c>
      <c r="B5" s="276" t="s">
        <v>743</v>
      </c>
      <c r="C5" s="277">
        <v>2017</v>
      </c>
      <c r="D5" s="278" t="s">
        <v>195</v>
      </c>
      <c r="E5" s="278" t="s">
        <v>195</v>
      </c>
      <c r="F5" s="278" t="s">
        <v>744</v>
      </c>
      <c r="G5" s="279" t="s">
        <v>745</v>
      </c>
    </row>
    <row r="6" spans="1:7" ht="141">
      <c r="A6" s="280">
        <v>2</v>
      </c>
      <c r="B6" s="281" t="s">
        <v>746</v>
      </c>
      <c r="C6" s="282">
        <v>2020</v>
      </c>
      <c r="D6" s="282">
        <v>2020</v>
      </c>
      <c r="E6" s="282">
        <v>2020</v>
      </c>
      <c r="F6" s="283" t="s">
        <v>747</v>
      </c>
      <c r="G6" s="284" t="s">
        <v>748</v>
      </c>
    </row>
    <row r="7" spans="1:7" ht="17.7">
      <c r="A7" s="280">
        <v>3</v>
      </c>
      <c r="B7" s="281" t="s">
        <v>749</v>
      </c>
      <c r="C7" s="285">
        <v>2022</v>
      </c>
      <c r="D7" s="285">
        <v>2022</v>
      </c>
      <c r="E7" s="285">
        <v>2022</v>
      </c>
      <c r="F7" s="282" t="s">
        <v>750</v>
      </c>
      <c r="G7" s="284" t="s">
        <v>751</v>
      </c>
    </row>
    <row r="8" spans="1:7" ht="17.7">
      <c r="A8" s="280">
        <v>4</v>
      </c>
      <c r="B8" s="281" t="s">
        <v>752</v>
      </c>
      <c r="C8" s="285">
        <v>2022</v>
      </c>
      <c r="D8" s="285">
        <v>2022</v>
      </c>
      <c r="E8" s="285">
        <v>2022</v>
      </c>
      <c r="F8" s="282" t="s">
        <v>753</v>
      </c>
      <c r="G8" s="284" t="s">
        <v>751</v>
      </c>
    </row>
    <row r="9" spans="1:7" ht="17.7">
      <c r="A9" s="280">
        <v>5</v>
      </c>
      <c r="B9" s="281" t="s">
        <v>754</v>
      </c>
      <c r="C9" s="282">
        <v>2021</v>
      </c>
      <c r="D9" s="282">
        <v>2021</v>
      </c>
      <c r="E9" s="282">
        <v>2021</v>
      </c>
      <c r="F9" s="282" t="s">
        <v>755</v>
      </c>
      <c r="G9" s="284" t="s">
        <v>751</v>
      </c>
    </row>
    <row r="10" spans="1:7" ht="17.7">
      <c r="A10" s="280">
        <v>6</v>
      </c>
      <c r="B10" s="281" t="s">
        <v>756</v>
      </c>
      <c r="C10" s="285">
        <v>2023</v>
      </c>
      <c r="D10" s="285">
        <v>2023</v>
      </c>
      <c r="E10" s="285">
        <v>2023</v>
      </c>
      <c r="F10" s="282" t="s">
        <v>757</v>
      </c>
      <c r="G10" s="284" t="s">
        <v>751</v>
      </c>
    </row>
    <row r="11" spans="1:7" ht="34.799999999999997">
      <c r="A11" s="280">
        <v>7</v>
      </c>
      <c r="B11" s="281" t="s">
        <v>758</v>
      </c>
      <c r="C11" s="285">
        <v>2023</v>
      </c>
      <c r="D11" s="285">
        <v>2023</v>
      </c>
      <c r="E11" s="285">
        <v>2023</v>
      </c>
      <c r="F11" s="282" t="s">
        <v>759</v>
      </c>
      <c r="G11" s="284" t="s">
        <v>751</v>
      </c>
    </row>
    <row r="12" spans="1:7" s="224" customFormat="1" ht="34.799999999999997">
      <c r="A12" s="286">
        <v>8</v>
      </c>
      <c r="B12" s="287" t="s">
        <v>760</v>
      </c>
      <c r="C12" s="285">
        <v>2022</v>
      </c>
      <c r="D12" s="285">
        <v>2022</v>
      </c>
      <c r="E12" s="285">
        <v>2022</v>
      </c>
      <c r="F12" s="288" t="s">
        <v>761</v>
      </c>
      <c r="G12" s="289" t="s">
        <v>762</v>
      </c>
    </row>
    <row r="13" spans="1:7" s="224" customFormat="1" ht="17.7">
      <c r="A13" s="286">
        <v>9</v>
      </c>
      <c r="B13" s="287" t="s">
        <v>763</v>
      </c>
      <c r="C13" s="288">
        <v>2021</v>
      </c>
      <c r="D13" s="288">
        <v>2021</v>
      </c>
      <c r="E13" s="288">
        <v>2021</v>
      </c>
      <c r="F13" s="288" t="s">
        <v>764</v>
      </c>
      <c r="G13" s="289" t="s">
        <v>765</v>
      </c>
    </row>
    <row r="14" spans="1:7" ht="52.2">
      <c r="A14" s="280">
        <v>10</v>
      </c>
      <c r="B14" s="281" t="s">
        <v>766</v>
      </c>
      <c r="C14" s="282">
        <v>2004</v>
      </c>
      <c r="D14" s="282" t="s">
        <v>195</v>
      </c>
      <c r="E14" s="282">
        <v>2004</v>
      </c>
      <c r="F14" s="282" t="s">
        <v>767</v>
      </c>
      <c r="G14" s="284" t="s">
        <v>768</v>
      </c>
    </row>
    <row r="15" spans="1:7" ht="17.7">
      <c r="A15" s="280">
        <v>11</v>
      </c>
      <c r="B15" s="281" t="s">
        <v>769</v>
      </c>
      <c r="C15" s="282">
        <v>2020</v>
      </c>
      <c r="D15" s="282">
        <v>2020</v>
      </c>
      <c r="E15" s="282">
        <v>2020</v>
      </c>
      <c r="F15" s="282" t="s">
        <v>770</v>
      </c>
      <c r="G15" s="284" t="s">
        <v>771</v>
      </c>
    </row>
    <row r="16" spans="1:7" ht="17.7">
      <c r="A16" s="280">
        <v>12</v>
      </c>
      <c r="B16" s="281" t="s">
        <v>772</v>
      </c>
      <c r="C16" s="282">
        <v>2007</v>
      </c>
      <c r="D16" s="282">
        <v>2007</v>
      </c>
      <c r="E16" s="282">
        <v>2007</v>
      </c>
      <c r="F16" s="282" t="s">
        <v>773</v>
      </c>
      <c r="G16" s="284"/>
    </row>
    <row r="17" spans="1:7" ht="18" thickBot="1">
      <c r="A17" s="421">
        <v>13</v>
      </c>
      <c r="B17" s="422" t="s">
        <v>774</v>
      </c>
      <c r="C17" s="423">
        <v>1994</v>
      </c>
      <c r="D17" s="423">
        <v>1994</v>
      </c>
      <c r="E17" s="423">
        <v>1994</v>
      </c>
      <c r="F17" s="423" t="s">
        <v>775</v>
      </c>
      <c r="G17" s="424" t="s">
        <v>776</v>
      </c>
    </row>
    <row r="18" spans="1:7" ht="17.7" hidden="1" thickTop="1"/>
  </sheetData>
  <mergeCells count="6">
    <mergeCell ref="A1:G2"/>
    <mergeCell ref="A3:A4"/>
    <mergeCell ref="B3:B4"/>
    <mergeCell ref="C3:E3"/>
    <mergeCell ref="F3:F4"/>
    <mergeCell ref="G3:G4"/>
  </mergeCells>
  <pageMargins left="0.01" right="0.01" top="0.01" bottom="0.01" header="0.3" footer="0.2"/>
  <pageSetup paperSize="9" orientation="landscape" r:id="rId1"/>
  <headerFooter>
    <oddFooter>&amp;R&amp;"Arial,Bold"&amp;10UPDATE 21 -06 - 2022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</sheetPr>
  <dimension ref="A1:AA67"/>
  <sheetViews>
    <sheetView showGridLines="0" topLeftCell="A41" zoomScaleNormal="100" zoomScaleSheetLayoutView="85" workbookViewId="0">
      <selection activeCell="B62" sqref="A62:XFD62"/>
    </sheetView>
  </sheetViews>
  <sheetFormatPr defaultColWidth="0" defaultRowHeight="14.7" zeroHeight="1"/>
  <cols>
    <col min="1" max="1" width="3.6640625" style="374" customWidth="1"/>
    <col min="2" max="2" width="9.33203125" style="374" customWidth="1"/>
    <col min="3" max="3" width="6.21875" style="379" customWidth="1"/>
    <col min="4" max="4" width="8" style="379" customWidth="1"/>
    <col min="5" max="5" width="5.33203125" style="379" customWidth="1"/>
    <col min="6" max="13" width="3.33203125" style="374" customWidth="1"/>
    <col min="14" max="14" width="4.77734375" style="374" customWidth="1"/>
    <col min="15" max="15" width="3.33203125" style="374" customWidth="1"/>
    <col min="16" max="17" width="4.6640625" style="374" customWidth="1"/>
    <col min="18" max="18" width="6.6640625" style="374" customWidth="1"/>
    <col min="19" max="19" width="4.6640625" style="374" customWidth="1"/>
    <col min="20" max="20" width="10.6640625" style="374" customWidth="1"/>
    <col min="21" max="23" width="9" style="374" customWidth="1"/>
    <col min="24" max="24" width="10.33203125" style="374" customWidth="1"/>
    <col min="25" max="27" width="0" style="374" hidden="1" customWidth="1"/>
    <col min="28" max="16384" width="9" style="374" hidden="1"/>
  </cols>
  <sheetData>
    <row r="1" spans="1:27" ht="32.25" customHeight="1" thickBot="1">
      <c r="A1" s="558" t="s">
        <v>54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60"/>
    </row>
    <row r="2" spans="1:27" ht="15" customHeight="1">
      <c r="A2" s="561" t="s">
        <v>55</v>
      </c>
      <c r="B2" s="562"/>
      <c r="C2" s="563" t="s">
        <v>978</v>
      </c>
      <c r="D2" s="564"/>
      <c r="E2" s="375" t="s">
        <v>56</v>
      </c>
      <c r="F2" s="376"/>
      <c r="G2" s="376"/>
      <c r="H2" s="376"/>
      <c r="I2" s="376"/>
      <c r="J2" s="376"/>
      <c r="K2" s="376"/>
      <c r="L2" s="376"/>
      <c r="M2" s="376"/>
      <c r="N2" s="389"/>
      <c r="O2" s="390"/>
      <c r="P2" s="390"/>
      <c r="Q2" s="390"/>
      <c r="R2" s="376"/>
      <c r="S2" s="390"/>
      <c r="T2" s="391"/>
    </row>
    <row r="3" spans="1:27" ht="15" customHeight="1">
      <c r="A3" s="565" t="s">
        <v>57</v>
      </c>
      <c r="B3" s="566"/>
      <c r="C3" s="567" t="s">
        <v>531</v>
      </c>
      <c r="D3" s="568"/>
      <c r="E3" s="568"/>
      <c r="F3" s="568"/>
      <c r="G3" s="568"/>
      <c r="H3" s="568"/>
      <c r="I3" s="568"/>
      <c r="J3" s="568"/>
      <c r="K3" s="568"/>
      <c r="L3" s="568"/>
      <c r="M3" s="569"/>
      <c r="N3" s="570" t="s">
        <v>1003</v>
      </c>
      <c r="O3" s="571"/>
      <c r="P3" s="571"/>
      <c r="Q3" s="571"/>
      <c r="R3" s="571"/>
      <c r="S3" s="571"/>
      <c r="T3" s="572"/>
    </row>
    <row r="4" spans="1:27" ht="15" customHeight="1">
      <c r="A4" s="565" t="s">
        <v>58</v>
      </c>
      <c r="B4" s="566"/>
      <c r="C4" s="586" t="s">
        <v>979</v>
      </c>
      <c r="D4" s="587"/>
      <c r="E4" s="587"/>
      <c r="F4" s="587"/>
      <c r="G4" s="587"/>
      <c r="H4" s="587"/>
      <c r="I4" s="587"/>
      <c r="J4" s="587"/>
      <c r="K4" s="587"/>
      <c r="L4" s="587"/>
      <c r="M4" s="588"/>
      <c r="N4" s="377"/>
      <c r="O4" s="378"/>
      <c r="P4" s="378"/>
      <c r="Q4" s="378"/>
      <c r="R4" s="589"/>
      <c r="S4" s="589"/>
      <c r="T4" s="590"/>
    </row>
    <row r="5" spans="1:27" ht="15" customHeight="1">
      <c r="A5" s="565" t="s">
        <v>59</v>
      </c>
      <c r="B5" s="566"/>
      <c r="C5" s="586" t="s">
        <v>405</v>
      </c>
      <c r="D5" s="571"/>
      <c r="E5" s="571"/>
      <c r="F5" s="571"/>
      <c r="G5" s="571"/>
      <c r="H5" s="571"/>
      <c r="I5" s="571"/>
      <c r="J5" s="571"/>
      <c r="K5" s="571"/>
      <c r="L5" s="571"/>
      <c r="M5" s="566"/>
      <c r="N5" s="591" t="s">
        <v>60</v>
      </c>
      <c r="O5" s="589"/>
      <c r="P5" s="592" t="s">
        <v>980</v>
      </c>
      <c r="Q5" s="593"/>
      <c r="R5" s="593"/>
      <c r="S5" s="571" t="s">
        <v>981</v>
      </c>
      <c r="T5" s="572"/>
    </row>
    <row r="6" spans="1:27" ht="15" customHeight="1" thickBot="1">
      <c r="A6" s="573" t="s">
        <v>61</v>
      </c>
      <c r="B6" s="574"/>
      <c r="C6" s="575" t="s">
        <v>982</v>
      </c>
      <c r="D6" s="576"/>
      <c r="E6" s="577" t="s">
        <v>62</v>
      </c>
      <c r="F6" s="578"/>
      <c r="G6" s="579" t="s">
        <v>983</v>
      </c>
      <c r="H6" s="580"/>
      <c r="I6" s="580"/>
      <c r="J6" s="580"/>
      <c r="K6" s="580"/>
      <c r="L6" s="580"/>
      <c r="M6" s="580"/>
      <c r="N6" s="581" t="s">
        <v>63</v>
      </c>
      <c r="O6" s="582"/>
      <c r="P6" s="582"/>
      <c r="Q6" s="583" t="s">
        <v>984</v>
      </c>
      <c r="R6" s="584"/>
      <c r="S6" s="584"/>
      <c r="T6" s="585"/>
    </row>
    <row r="7" spans="1:27" s="379" customFormat="1" ht="12.75" customHeight="1">
      <c r="A7" s="596" t="s">
        <v>64</v>
      </c>
      <c r="B7" s="599" t="s">
        <v>65</v>
      </c>
      <c r="C7" s="600"/>
      <c r="D7" s="603" t="s">
        <v>66</v>
      </c>
      <c r="E7" s="603" t="s">
        <v>67</v>
      </c>
      <c r="F7" s="605" t="s">
        <v>68</v>
      </c>
      <c r="G7" s="606"/>
      <c r="H7" s="605" t="s">
        <v>985</v>
      </c>
      <c r="I7" s="606"/>
      <c r="J7" s="605" t="s">
        <v>69</v>
      </c>
      <c r="K7" s="606"/>
      <c r="L7" s="609" t="s">
        <v>986</v>
      </c>
      <c r="M7" s="610"/>
      <c r="N7" s="605" t="s">
        <v>70</v>
      </c>
      <c r="O7" s="613"/>
      <c r="P7" s="616" t="s">
        <v>71</v>
      </c>
      <c r="Q7" s="617"/>
      <c r="R7" s="617"/>
      <c r="S7" s="617"/>
      <c r="T7" s="618"/>
      <c r="W7" s="374"/>
      <c r="X7" s="374"/>
      <c r="Y7" s="374"/>
      <c r="Z7" s="374"/>
      <c r="AA7" s="374"/>
    </row>
    <row r="8" spans="1:27" s="379" customFormat="1" ht="18" customHeight="1">
      <c r="A8" s="597"/>
      <c r="B8" s="601"/>
      <c r="C8" s="602"/>
      <c r="D8" s="604"/>
      <c r="E8" s="604"/>
      <c r="F8" s="614" t="s">
        <v>987</v>
      </c>
      <c r="G8" s="619"/>
      <c r="H8" s="614" t="s">
        <v>988</v>
      </c>
      <c r="I8" s="619"/>
      <c r="J8" s="614" t="s">
        <v>72</v>
      </c>
      <c r="K8" s="619"/>
      <c r="L8" s="611"/>
      <c r="M8" s="612"/>
      <c r="N8" s="614"/>
      <c r="O8" s="615"/>
      <c r="P8" s="620" t="s">
        <v>73</v>
      </c>
      <c r="Q8" s="621"/>
      <c r="R8" s="621"/>
      <c r="S8" s="621"/>
      <c r="T8" s="622"/>
      <c r="W8" s="374"/>
      <c r="X8" s="374"/>
      <c r="Y8" s="374"/>
      <c r="Z8" s="374"/>
      <c r="AA8" s="374"/>
    </row>
    <row r="9" spans="1:27" ht="12" customHeight="1">
      <c r="A9" s="597"/>
      <c r="B9" s="380" t="s">
        <v>989</v>
      </c>
      <c r="C9" s="381" t="s">
        <v>74</v>
      </c>
      <c r="D9" s="382"/>
      <c r="E9" s="382"/>
      <c r="F9" s="594">
        <v>50</v>
      </c>
      <c r="G9" s="595"/>
      <c r="H9" s="594" t="s">
        <v>195</v>
      </c>
      <c r="I9" s="595"/>
      <c r="J9" s="594" t="s">
        <v>195</v>
      </c>
      <c r="K9" s="595"/>
      <c r="L9" s="594">
        <v>50</v>
      </c>
      <c r="M9" s="595"/>
      <c r="N9" s="625"/>
      <c r="O9" s="626"/>
      <c r="P9" s="679" t="s">
        <v>990</v>
      </c>
      <c r="Q9" s="680"/>
      <c r="R9" s="680"/>
      <c r="S9" s="680"/>
      <c r="T9" s="681"/>
    </row>
    <row r="10" spans="1:27" ht="12" customHeight="1">
      <c r="A10" s="597"/>
      <c r="B10" s="380" t="s">
        <v>991</v>
      </c>
      <c r="C10" s="381" t="s">
        <v>74</v>
      </c>
      <c r="D10" s="382"/>
      <c r="E10" s="382"/>
      <c r="F10" s="594"/>
      <c r="G10" s="595"/>
      <c r="H10" s="594">
        <v>155</v>
      </c>
      <c r="I10" s="595"/>
      <c r="J10" s="594">
        <v>10</v>
      </c>
      <c r="K10" s="595"/>
      <c r="L10" s="594">
        <v>145</v>
      </c>
      <c r="M10" s="595"/>
      <c r="N10" s="623"/>
      <c r="O10" s="624"/>
      <c r="P10" s="682"/>
      <c r="Q10" s="683"/>
      <c r="R10" s="683"/>
      <c r="S10" s="683"/>
      <c r="T10" s="684"/>
    </row>
    <row r="11" spans="1:27" ht="12" customHeight="1">
      <c r="A11" s="597"/>
      <c r="B11" s="380" t="s">
        <v>77</v>
      </c>
      <c r="C11" s="381" t="s">
        <v>74</v>
      </c>
      <c r="D11" s="382"/>
      <c r="E11" s="382"/>
      <c r="F11" s="594"/>
      <c r="G11" s="595"/>
      <c r="H11" s="594">
        <v>67</v>
      </c>
      <c r="I11" s="595"/>
      <c r="J11" s="594">
        <v>67</v>
      </c>
      <c r="K11" s="595"/>
      <c r="L11" s="594">
        <v>0</v>
      </c>
      <c r="M11" s="595"/>
      <c r="N11" s="623"/>
      <c r="O11" s="624"/>
      <c r="P11" s="682"/>
      <c r="Q11" s="683"/>
      <c r="R11" s="683"/>
      <c r="S11" s="683"/>
      <c r="T11" s="684"/>
    </row>
    <row r="12" spans="1:27" ht="12" customHeight="1">
      <c r="A12" s="597"/>
      <c r="B12" s="380" t="s">
        <v>77</v>
      </c>
      <c r="C12" s="381"/>
      <c r="D12" s="382"/>
      <c r="E12" s="382"/>
      <c r="F12" s="594"/>
      <c r="G12" s="595"/>
      <c r="H12" s="594"/>
      <c r="I12" s="595"/>
      <c r="J12" s="594"/>
      <c r="K12" s="595"/>
      <c r="L12" s="594"/>
      <c r="M12" s="595"/>
      <c r="N12" s="685"/>
      <c r="O12" s="686"/>
      <c r="P12" s="682"/>
      <c r="Q12" s="683"/>
      <c r="R12" s="683"/>
      <c r="S12" s="683"/>
      <c r="T12" s="684"/>
    </row>
    <row r="13" spans="1:27" ht="12" customHeight="1">
      <c r="A13" s="597"/>
      <c r="B13" s="380" t="s">
        <v>78</v>
      </c>
      <c r="C13" s="381" t="s">
        <v>74</v>
      </c>
      <c r="D13" s="382" t="s">
        <v>992</v>
      </c>
      <c r="E13" s="382" t="s">
        <v>79</v>
      </c>
      <c r="F13" s="594"/>
      <c r="G13" s="595"/>
      <c r="H13" s="594">
        <v>2.5</v>
      </c>
      <c r="I13" s="595"/>
      <c r="J13" s="594" t="s">
        <v>195</v>
      </c>
      <c r="K13" s="595"/>
      <c r="L13" s="594">
        <v>2.5</v>
      </c>
      <c r="M13" s="595"/>
      <c r="N13" s="623"/>
      <c r="O13" s="624"/>
      <c r="P13" s="682"/>
      <c r="Q13" s="683"/>
      <c r="R13" s="683"/>
      <c r="S13" s="683"/>
      <c r="T13" s="684"/>
    </row>
    <row r="14" spans="1:27" ht="12" customHeight="1">
      <c r="A14" s="597"/>
      <c r="B14" s="380" t="s">
        <v>80</v>
      </c>
      <c r="C14" s="381" t="s">
        <v>74</v>
      </c>
      <c r="D14" s="382" t="s">
        <v>992</v>
      </c>
      <c r="E14" s="382" t="s">
        <v>79</v>
      </c>
      <c r="F14" s="594"/>
      <c r="G14" s="595"/>
      <c r="H14" s="594">
        <v>2.5</v>
      </c>
      <c r="I14" s="595"/>
      <c r="J14" s="594" t="s">
        <v>195</v>
      </c>
      <c r="K14" s="595"/>
      <c r="L14" s="594">
        <v>2.5</v>
      </c>
      <c r="M14" s="595"/>
      <c r="N14" s="623"/>
      <c r="O14" s="624"/>
      <c r="P14" s="682"/>
      <c r="Q14" s="683"/>
      <c r="R14" s="683"/>
      <c r="S14" s="683"/>
      <c r="T14" s="684"/>
    </row>
    <row r="15" spans="1:27" ht="12" customHeight="1">
      <c r="A15" s="597"/>
      <c r="B15" s="607" t="s">
        <v>81</v>
      </c>
      <c r="C15" s="608"/>
      <c r="D15" s="382"/>
      <c r="E15" s="382" t="s">
        <v>82</v>
      </c>
      <c r="F15" s="594">
        <v>3</v>
      </c>
      <c r="G15" s="595"/>
      <c r="H15" s="594">
        <v>1</v>
      </c>
      <c r="I15" s="595"/>
      <c r="J15" s="594">
        <v>1</v>
      </c>
      <c r="K15" s="595"/>
      <c r="L15" s="594">
        <f>F15+H15-J15</f>
        <v>3</v>
      </c>
      <c r="M15" s="595"/>
      <c r="N15" s="623"/>
      <c r="O15" s="624"/>
      <c r="P15" s="682"/>
      <c r="Q15" s="683"/>
      <c r="R15" s="683"/>
      <c r="S15" s="683"/>
      <c r="T15" s="684"/>
    </row>
    <row r="16" spans="1:27" ht="12" customHeight="1">
      <c r="A16" s="597"/>
      <c r="B16" s="607" t="s">
        <v>83</v>
      </c>
      <c r="C16" s="608"/>
      <c r="D16" s="382"/>
      <c r="E16" s="382" t="s">
        <v>82</v>
      </c>
      <c r="F16" s="594">
        <v>3</v>
      </c>
      <c r="G16" s="595"/>
      <c r="H16" s="594">
        <v>1</v>
      </c>
      <c r="I16" s="595"/>
      <c r="J16" s="594">
        <v>1</v>
      </c>
      <c r="K16" s="595"/>
      <c r="L16" s="594">
        <f>F16+H16-J16</f>
        <v>3</v>
      </c>
      <c r="M16" s="595"/>
      <c r="N16" s="623"/>
      <c r="O16" s="624"/>
      <c r="P16" s="682"/>
      <c r="Q16" s="683"/>
      <c r="R16" s="683"/>
      <c r="S16" s="683"/>
      <c r="T16" s="684"/>
    </row>
    <row r="17" spans="1:20" ht="12" customHeight="1">
      <c r="A17" s="597"/>
      <c r="B17" s="607" t="s">
        <v>84</v>
      </c>
      <c r="C17" s="608"/>
      <c r="D17" s="382"/>
      <c r="E17" s="382" t="s">
        <v>82</v>
      </c>
      <c r="F17" s="594"/>
      <c r="G17" s="595"/>
      <c r="H17" s="594"/>
      <c r="I17" s="595"/>
      <c r="J17" s="594"/>
      <c r="K17" s="595"/>
      <c r="L17" s="594"/>
      <c r="M17" s="595"/>
      <c r="N17" s="623"/>
      <c r="O17" s="624"/>
      <c r="P17" s="682"/>
      <c r="Q17" s="683"/>
      <c r="R17" s="683"/>
      <c r="S17" s="683"/>
      <c r="T17" s="684"/>
    </row>
    <row r="18" spans="1:20" ht="12" customHeight="1">
      <c r="A18" s="597"/>
      <c r="B18" s="607" t="s">
        <v>85</v>
      </c>
      <c r="C18" s="608"/>
      <c r="D18" s="382"/>
      <c r="E18" s="382" t="s">
        <v>86</v>
      </c>
      <c r="F18" s="594"/>
      <c r="G18" s="595"/>
      <c r="H18" s="594">
        <v>0.4</v>
      </c>
      <c r="I18" s="595"/>
      <c r="J18" s="627">
        <v>0.1</v>
      </c>
      <c r="K18" s="628"/>
      <c r="L18" s="627">
        <v>0.3</v>
      </c>
      <c r="M18" s="628"/>
      <c r="N18" s="623"/>
      <c r="O18" s="624"/>
      <c r="P18" s="682"/>
      <c r="Q18" s="683"/>
      <c r="R18" s="683"/>
      <c r="S18" s="683"/>
      <c r="T18" s="684"/>
    </row>
    <row r="19" spans="1:20" ht="12" customHeight="1">
      <c r="A19" s="597"/>
      <c r="B19" s="607" t="s">
        <v>87</v>
      </c>
      <c r="C19" s="608"/>
      <c r="D19" s="382" t="s">
        <v>75</v>
      </c>
      <c r="E19" s="382" t="s">
        <v>88</v>
      </c>
      <c r="F19" s="594"/>
      <c r="G19" s="595"/>
      <c r="H19" s="594"/>
      <c r="I19" s="595"/>
      <c r="J19" s="594"/>
      <c r="K19" s="595"/>
      <c r="L19" s="594"/>
      <c r="M19" s="595"/>
      <c r="N19" s="623"/>
      <c r="O19" s="624"/>
      <c r="P19" s="682"/>
      <c r="Q19" s="683"/>
      <c r="R19" s="683"/>
      <c r="S19" s="683"/>
      <c r="T19" s="684"/>
    </row>
    <row r="20" spans="1:20" ht="12" customHeight="1">
      <c r="A20" s="597"/>
      <c r="B20" s="607" t="s">
        <v>87</v>
      </c>
      <c r="C20" s="608"/>
      <c r="D20" s="382" t="s">
        <v>76</v>
      </c>
      <c r="E20" s="382" t="s">
        <v>88</v>
      </c>
      <c r="F20" s="594"/>
      <c r="G20" s="595"/>
      <c r="H20" s="594">
        <v>100</v>
      </c>
      <c r="I20" s="595"/>
      <c r="J20" s="594">
        <v>15</v>
      </c>
      <c r="K20" s="595"/>
      <c r="L20" s="594">
        <f>H20-J20</f>
        <v>85</v>
      </c>
      <c r="M20" s="595"/>
      <c r="N20" s="623"/>
      <c r="O20" s="624"/>
      <c r="P20" s="682"/>
      <c r="Q20" s="683"/>
      <c r="R20" s="683"/>
      <c r="S20" s="683"/>
      <c r="T20" s="684"/>
    </row>
    <row r="21" spans="1:20" ht="12" customHeight="1">
      <c r="A21" s="597"/>
      <c r="B21" s="607" t="s">
        <v>89</v>
      </c>
      <c r="C21" s="608"/>
      <c r="D21" s="382"/>
      <c r="E21" s="382" t="s">
        <v>88</v>
      </c>
      <c r="F21" s="594"/>
      <c r="G21" s="595"/>
      <c r="H21" s="594">
        <v>4</v>
      </c>
      <c r="I21" s="595"/>
      <c r="J21" s="594">
        <v>4</v>
      </c>
      <c r="K21" s="595"/>
      <c r="L21" s="594">
        <v>4</v>
      </c>
      <c r="M21" s="595"/>
      <c r="N21" s="623"/>
      <c r="O21" s="629"/>
      <c r="P21" s="682"/>
      <c r="Q21" s="683"/>
      <c r="R21" s="683"/>
      <c r="S21" s="683"/>
      <c r="T21" s="684"/>
    </row>
    <row r="22" spans="1:20" ht="12" customHeight="1">
      <c r="A22" s="597"/>
      <c r="B22" s="607" t="s">
        <v>90</v>
      </c>
      <c r="C22" s="608"/>
      <c r="D22" s="382"/>
      <c r="E22" s="382" t="s">
        <v>88</v>
      </c>
      <c r="F22" s="594"/>
      <c r="G22" s="595"/>
      <c r="H22" s="594">
        <v>4</v>
      </c>
      <c r="I22" s="595"/>
      <c r="J22" s="594">
        <v>4</v>
      </c>
      <c r="K22" s="595"/>
      <c r="L22" s="594">
        <v>4</v>
      </c>
      <c r="M22" s="595"/>
      <c r="N22" s="623"/>
      <c r="O22" s="629"/>
      <c r="P22" s="682"/>
      <c r="Q22" s="683"/>
      <c r="R22" s="683"/>
      <c r="S22" s="683"/>
      <c r="T22" s="684"/>
    </row>
    <row r="23" spans="1:20" ht="12" customHeight="1">
      <c r="A23" s="597"/>
      <c r="B23" s="607" t="s">
        <v>993</v>
      </c>
      <c r="C23" s="608"/>
      <c r="D23" s="382"/>
      <c r="E23" s="382" t="s">
        <v>88</v>
      </c>
      <c r="F23" s="594"/>
      <c r="G23" s="595"/>
      <c r="H23" s="594"/>
      <c r="I23" s="595"/>
      <c r="J23" s="630"/>
      <c r="K23" s="631"/>
      <c r="L23" s="594"/>
      <c r="M23" s="595"/>
      <c r="N23" s="623"/>
      <c r="O23" s="629"/>
      <c r="P23" s="682"/>
      <c r="Q23" s="683"/>
      <c r="R23" s="683"/>
      <c r="S23" s="683"/>
      <c r="T23" s="684"/>
    </row>
    <row r="24" spans="1:20" ht="12" customHeight="1">
      <c r="A24" s="597"/>
      <c r="B24" s="607" t="s">
        <v>994</v>
      </c>
      <c r="C24" s="608"/>
      <c r="D24" s="382"/>
      <c r="E24" s="382" t="s">
        <v>88</v>
      </c>
      <c r="F24" s="594"/>
      <c r="G24" s="595"/>
      <c r="H24" s="594"/>
      <c r="I24" s="595"/>
      <c r="J24" s="630"/>
      <c r="K24" s="631"/>
      <c r="L24" s="594"/>
      <c r="M24" s="595"/>
      <c r="N24" s="623"/>
      <c r="O24" s="629"/>
      <c r="P24" s="682"/>
      <c r="Q24" s="683"/>
      <c r="R24" s="683"/>
      <c r="S24" s="683"/>
      <c r="T24" s="684"/>
    </row>
    <row r="25" spans="1:20" ht="12" customHeight="1">
      <c r="A25" s="597"/>
      <c r="B25" s="607" t="s">
        <v>995</v>
      </c>
      <c r="C25" s="608"/>
      <c r="D25" s="382"/>
      <c r="E25" s="382" t="s">
        <v>88</v>
      </c>
      <c r="F25" s="594"/>
      <c r="G25" s="595"/>
      <c r="H25" s="594"/>
      <c r="I25" s="595"/>
      <c r="J25" s="630"/>
      <c r="K25" s="631"/>
      <c r="L25" s="594"/>
      <c r="M25" s="595"/>
      <c r="N25" s="623"/>
      <c r="O25" s="629"/>
      <c r="P25" s="682"/>
      <c r="Q25" s="683"/>
      <c r="R25" s="683"/>
      <c r="S25" s="683"/>
      <c r="T25" s="684"/>
    </row>
    <row r="26" spans="1:20" ht="12" customHeight="1">
      <c r="A26" s="597"/>
      <c r="B26" s="607" t="s">
        <v>91</v>
      </c>
      <c r="C26" s="608"/>
      <c r="D26" s="382"/>
      <c r="E26" s="382" t="s">
        <v>88</v>
      </c>
      <c r="F26" s="594"/>
      <c r="G26" s="595"/>
      <c r="H26" s="594">
        <v>1</v>
      </c>
      <c r="I26" s="595"/>
      <c r="J26" s="594">
        <v>1</v>
      </c>
      <c r="K26" s="595"/>
      <c r="L26" s="594">
        <v>1</v>
      </c>
      <c r="M26" s="595"/>
      <c r="N26" s="623"/>
      <c r="O26" s="629"/>
      <c r="P26" s="682"/>
      <c r="Q26" s="683"/>
      <c r="R26" s="683"/>
      <c r="S26" s="683"/>
      <c r="T26" s="684"/>
    </row>
    <row r="27" spans="1:20" ht="12" customHeight="1">
      <c r="A27" s="597"/>
      <c r="B27" s="607" t="s">
        <v>996</v>
      </c>
      <c r="C27" s="608"/>
      <c r="D27" s="382"/>
      <c r="E27" s="382" t="s">
        <v>88</v>
      </c>
      <c r="F27" s="640"/>
      <c r="G27" s="641"/>
      <c r="H27" s="640"/>
      <c r="I27" s="641"/>
      <c r="J27" s="594"/>
      <c r="K27" s="595"/>
      <c r="L27" s="640"/>
      <c r="M27" s="641"/>
      <c r="N27" s="623"/>
      <c r="O27" s="629"/>
      <c r="P27" s="682"/>
      <c r="Q27" s="683"/>
      <c r="R27" s="683"/>
      <c r="S27" s="683"/>
      <c r="T27" s="684"/>
    </row>
    <row r="28" spans="1:20" ht="12" customHeight="1">
      <c r="A28" s="597"/>
      <c r="B28" s="642" t="s">
        <v>92</v>
      </c>
      <c r="C28" s="643"/>
      <c r="D28" s="21" t="s">
        <v>298</v>
      </c>
      <c r="E28" s="632" t="s">
        <v>331</v>
      </c>
      <c r="F28" s="633"/>
      <c r="G28" s="633"/>
      <c r="H28" s="633"/>
      <c r="I28" s="633"/>
      <c r="J28" s="633"/>
      <c r="K28" s="633"/>
      <c r="L28" s="633"/>
      <c r="M28" s="633"/>
      <c r="N28" s="633"/>
      <c r="O28" s="634"/>
      <c r="P28" s="682"/>
      <c r="Q28" s="683"/>
      <c r="R28" s="683"/>
      <c r="S28" s="683"/>
      <c r="T28" s="684"/>
    </row>
    <row r="29" spans="1:20" ht="12" customHeight="1">
      <c r="A29" s="597"/>
      <c r="B29" s="601"/>
      <c r="C29" s="602"/>
      <c r="D29" s="635" t="s">
        <v>299</v>
      </c>
      <c r="E29" s="636"/>
      <c r="F29" s="637" t="s">
        <v>350</v>
      </c>
      <c r="G29" s="638"/>
      <c r="H29" s="638"/>
      <c r="I29" s="638"/>
      <c r="J29" s="638"/>
      <c r="K29" s="638"/>
      <c r="L29" s="638"/>
      <c r="M29" s="638"/>
      <c r="N29" s="638"/>
      <c r="O29" s="639"/>
      <c r="P29" s="682"/>
      <c r="Q29" s="683"/>
      <c r="R29" s="683"/>
      <c r="S29" s="683"/>
      <c r="T29" s="684"/>
    </row>
    <row r="30" spans="1:20" ht="12" customHeight="1">
      <c r="A30" s="597"/>
      <c r="B30" s="644" t="s">
        <v>93</v>
      </c>
      <c r="C30" s="645"/>
      <c r="D30" s="20" t="s">
        <v>94</v>
      </c>
      <c r="E30" s="22">
        <v>60</v>
      </c>
      <c r="F30" s="22">
        <v>114</v>
      </c>
      <c r="G30" s="22"/>
      <c r="H30" s="22"/>
      <c r="I30" s="22"/>
      <c r="J30" s="23"/>
      <c r="K30" s="23"/>
      <c r="L30" s="23"/>
      <c r="M30" s="23"/>
      <c r="N30" s="23"/>
      <c r="O30" s="24"/>
      <c r="P30" s="682"/>
      <c r="Q30" s="683"/>
      <c r="R30" s="683"/>
      <c r="S30" s="683"/>
      <c r="T30" s="684"/>
    </row>
    <row r="31" spans="1:20" ht="12" customHeight="1" thickBot="1">
      <c r="A31" s="598"/>
      <c r="B31" s="646"/>
      <c r="C31" s="647"/>
      <c r="D31" s="25" t="s">
        <v>95</v>
      </c>
      <c r="E31" s="57">
        <v>2</v>
      </c>
      <c r="F31" s="57">
        <v>16</v>
      </c>
      <c r="G31" s="27"/>
      <c r="H31" s="26"/>
      <c r="I31" s="26"/>
      <c r="J31" s="27"/>
      <c r="K31" s="27"/>
      <c r="L31" s="27"/>
      <c r="M31" s="27"/>
      <c r="N31" s="27"/>
      <c r="O31" s="28"/>
      <c r="P31" s="682"/>
      <c r="Q31" s="683"/>
      <c r="R31" s="683"/>
      <c r="S31" s="683"/>
      <c r="T31" s="684"/>
    </row>
    <row r="32" spans="1:20" ht="12" customHeight="1">
      <c r="A32" s="596" t="s">
        <v>96</v>
      </c>
      <c r="B32" s="706" t="s">
        <v>97</v>
      </c>
      <c r="C32" s="707"/>
      <c r="D32" s="29" t="s">
        <v>300</v>
      </c>
      <c r="E32" s="29" t="s">
        <v>98</v>
      </c>
      <c r="F32" s="708"/>
      <c r="G32" s="709"/>
      <c r="H32" s="708">
        <v>8</v>
      </c>
      <c r="I32" s="709"/>
      <c r="J32" s="710">
        <v>0.5</v>
      </c>
      <c r="K32" s="711"/>
      <c r="L32" s="708">
        <v>7.5</v>
      </c>
      <c r="M32" s="709"/>
      <c r="N32" s="694"/>
      <c r="O32" s="695"/>
      <c r="P32" s="682"/>
      <c r="Q32" s="683"/>
      <c r="R32" s="683"/>
      <c r="S32" s="683"/>
      <c r="T32" s="684"/>
    </row>
    <row r="33" spans="1:20" ht="12" customHeight="1">
      <c r="A33" s="597"/>
      <c r="B33" s="635" t="s">
        <v>99</v>
      </c>
      <c r="C33" s="636"/>
      <c r="D33" s="20" t="s">
        <v>301</v>
      </c>
      <c r="E33" s="20" t="s">
        <v>98</v>
      </c>
      <c r="F33" s="640"/>
      <c r="G33" s="641"/>
      <c r="H33" s="640">
        <v>3</v>
      </c>
      <c r="I33" s="641"/>
      <c r="J33" s="648" t="s">
        <v>195</v>
      </c>
      <c r="K33" s="649"/>
      <c r="L33" s="640">
        <v>3</v>
      </c>
      <c r="M33" s="641"/>
      <c r="N33" s="660"/>
      <c r="O33" s="661"/>
      <c r="P33" s="682"/>
      <c r="Q33" s="683"/>
      <c r="R33" s="683"/>
      <c r="S33" s="683"/>
      <c r="T33" s="684"/>
    </row>
    <row r="34" spans="1:20" ht="12" customHeight="1">
      <c r="A34" s="597"/>
      <c r="B34" s="635" t="s">
        <v>100</v>
      </c>
      <c r="C34" s="636"/>
      <c r="D34" s="20"/>
      <c r="E34" s="20" t="s">
        <v>88</v>
      </c>
      <c r="F34" s="640"/>
      <c r="G34" s="641"/>
      <c r="H34" s="640">
        <v>1</v>
      </c>
      <c r="I34" s="641"/>
      <c r="J34" s="648">
        <v>1</v>
      </c>
      <c r="K34" s="649"/>
      <c r="L34" s="640">
        <v>1</v>
      </c>
      <c r="M34" s="641"/>
      <c r="N34" s="660"/>
      <c r="O34" s="661"/>
      <c r="P34" s="682"/>
      <c r="Q34" s="683"/>
      <c r="R34" s="683"/>
      <c r="S34" s="683"/>
      <c r="T34" s="684"/>
    </row>
    <row r="35" spans="1:20" ht="12" customHeight="1">
      <c r="A35" s="597"/>
      <c r="B35" s="635" t="s">
        <v>101</v>
      </c>
      <c r="C35" s="636"/>
      <c r="D35" s="20" t="s">
        <v>102</v>
      </c>
      <c r="E35" s="20" t="s">
        <v>103</v>
      </c>
      <c r="F35" s="640"/>
      <c r="G35" s="641"/>
      <c r="H35" s="640">
        <v>80</v>
      </c>
      <c r="I35" s="641"/>
      <c r="J35" s="648">
        <v>15</v>
      </c>
      <c r="K35" s="649"/>
      <c r="L35" s="640">
        <f>H35-J35</f>
        <v>65</v>
      </c>
      <c r="M35" s="641"/>
      <c r="N35" s="660"/>
      <c r="O35" s="661"/>
      <c r="P35" s="676" t="s">
        <v>997</v>
      </c>
      <c r="Q35" s="677"/>
      <c r="R35" s="677"/>
      <c r="S35" s="677"/>
      <c r="T35" s="678"/>
    </row>
    <row r="36" spans="1:20" ht="12" customHeight="1">
      <c r="A36" s="597"/>
      <c r="B36" s="635" t="s">
        <v>104</v>
      </c>
      <c r="C36" s="636"/>
      <c r="D36" s="20"/>
      <c r="E36" s="20" t="s">
        <v>88</v>
      </c>
      <c r="F36" s="687"/>
      <c r="G36" s="688"/>
      <c r="H36" s="687"/>
      <c r="I36" s="688"/>
      <c r="J36" s="689"/>
      <c r="K36" s="690"/>
      <c r="L36" s="687"/>
      <c r="M36" s="688"/>
      <c r="N36" s="689"/>
      <c r="O36" s="691"/>
      <c r="P36" s="676"/>
      <c r="Q36" s="677"/>
      <c r="R36" s="677"/>
      <c r="S36" s="677"/>
      <c r="T36" s="678"/>
    </row>
    <row r="37" spans="1:20" ht="12" customHeight="1">
      <c r="A37" s="597"/>
      <c r="B37" s="662" t="s">
        <v>92</v>
      </c>
      <c r="C37" s="663"/>
      <c r="D37" s="30" t="s">
        <v>105</v>
      </c>
      <c r="E37" s="692" t="s">
        <v>332</v>
      </c>
      <c r="F37" s="692"/>
      <c r="G37" s="692"/>
      <c r="H37" s="692"/>
      <c r="I37" s="692"/>
      <c r="J37" s="692"/>
      <c r="K37" s="692"/>
      <c r="L37" s="692"/>
      <c r="M37" s="692"/>
      <c r="N37" s="692"/>
      <c r="O37" s="693"/>
      <c r="P37" s="676"/>
      <c r="Q37" s="677"/>
      <c r="R37" s="677"/>
      <c r="S37" s="677"/>
      <c r="T37" s="678"/>
    </row>
    <row r="38" spans="1:20" ht="12" customHeight="1">
      <c r="A38" s="597"/>
      <c r="B38" s="650" t="s">
        <v>93</v>
      </c>
      <c r="C38" s="651"/>
      <c r="D38" s="31"/>
      <c r="E38" s="654" t="s">
        <v>422</v>
      </c>
      <c r="F38" s="655"/>
      <c r="G38" s="656"/>
      <c r="H38" s="657" t="s">
        <v>421</v>
      </c>
      <c r="I38" s="658"/>
      <c r="J38" s="658"/>
      <c r="K38" s="658"/>
      <c r="L38" s="658"/>
      <c r="M38" s="658"/>
      <c r="N38" s="658"/>
      <c r="O38" s="659"/>
      <c r="P38" s="664"/>
      <c r="Q38" s="665"/>
      <c r="R38" s="665"/>
      <c r="S38" s="665"/>
      <c r="T38" s="666"/>
    </row>
    <row r="39" spans="1:20" ht="12" customHeight="1" thickBot="1">
      <c r="A39" s="598"/>
      <c r="B39" s="652"/>
      <c r="C39" s="653"/>
      <c r="D39" s="32"/>
      <c r="E39" s="667" t="s">
        <v>453</v>
      </c>
      <c r="F39" s="668"/>
      <c r="G39" s="669"/>
      <c r="H39" s="670" t="s">
        <v>454</v>
      </c>
      <c r="I39" s="671"/>
      <c r="J39" s="671"/>
      <c r="K39" s="671"/>
      <c r="L39" s="671"/>
      <c r="M39" s="671"/>
      <c r="N39" s="671"/>
      <c r="O39" s="672"/>
      <c r="P39" s="673"/>
      <c r="Q39" s="674"/>
      <c r="R39" s="674"/>
      <c r="S39" s="674"/>
      <c r="T39" s="675"/>
    </row>
    <row r="40" spans="1:20" ht="12" customHeight="1">
      <c r="A40" s="596" t="s">
        <v>707</v>
      </c>
      <c r="B40" s="696" t="s">
        <v>107</v>
      </c>
      <c r="C40" s="697"/>
      <c r="D40" s="384"/>
      <c r="E40" s="384" t="s">
        <v>103</v>
      </c>
      <c r="F40" s="698">
        <v>100</v>
      </c>
      <c r="G40" s="699"/>
      <c r="H40" s="698"/>
      <c r="I40" s="699"/>
      <c r="J40" s="698">
        <v>10</v>
      </c>
      <c r="K40" s="699"/>
      <c r="L40" s="698">
        <v>20</v>
      </c>
      <c r="M40" s="699"/>
      <c r="N40" s="727">
        <f>F40-J40-L40</f>
        <v>70</v>
      </c>
      <c r="O40" s="728"/>
      <c r="P40" s="616" t="s">
        <v>71</v>
      </c>
      <c r="Q40" s="617"/>
      <c r="R40" s="617"/>
      <c r="S40" s="617"/>
      <c r="T40" s="618"/>
    </row>
    <row r="41" spans="1:20" ht="12" customHeight="1">
      <c r="A41" s="597"/>
      <c r="B41" s="607" t="s">
        <v>108</v>
      </c>
      <c r="C41" s="608"/>
      <c r="D41" s="382"/>
      <c r="E41" s="382" t="s">
        <v>88</v>
      </c>
      <c r="F41" s="729">
        <v>1</v>
      </c>
      <c r="G41" s="730"/>
      <c r="H41" s="729"/>
      <c r="I41" s="730"/>
      <c r="J41" s="729">
        <v>1</v>
      </c>
      <c r="K41" s="730"/>
      <c r="L41" s="729">
        <v>1</v>
      </c>
      <c r="M41" s="730"/>
      <c r="N41" s="623">
        <v>1</v>
      </c>
      <c r="O41" s="624"/>
      <c r="P41" s="620" t="s">
        <v>109</v>
      </c>
      <c r="Q41" s="621"/>
      <c r="R41" s="621"/>
      <c r="S41" s="621"/>
      <c r="T41" s="622"/>
    </row>
    <row r="42" spans="1:20" ht="12" customHeight="1">
      <c r="A42" s="597"/>
      <c r="B42" s="700" t="s">
        <v>92</v>
      </c>
      <c r="C42" s="701"/>
      <c r="D42" s="702" t="s">
        <v>998</v>
      </c>
      <c r="E42" s="703"/>
      <c r="F42" s="703"/>
      <c r="G42" s="704"/>
      <c r="H42" s="623" t="s">
        <v>999</v>
      </c>
      <c r="I42" s="705"/>
      <c r="J42" s="705"/>
      <c r="K42" s="705"/>
      <c r="L42" s="705"/>
      <c r="M42" s="705"/>
      <c r="N42" s="705"/>
      <c r="O42" s="624"/>
      <c r="P42" s="712"/>
      <c r="Q42" s="713"/>
      <c r="R42" s="713"/>
      <c r="S42" s="713"/>
      <c r="T42" s="714"/>
    </row>
    <row r="43" spans="1:20" ht="12" customHeight="1">
      <c r="A43" s="597"/>
      <c r="B43" s="644" t="s">
        <v>93</v>
      </c>
      <c r="C43" s="715"/>
      <c r="D43" s="385"/>
      <c r="E43" s="717" t="s">
        <v>1000</v>
      </c>
      <c r="F43" s="718"/>
      <c r="G43" s="719"/>
      <c r="H43" s="717" t="s">
        <v>106</v>
      </c>
      <c r="I43" s="718"/>
      <c r="J43" s="718"/>
      <c r="K43" s="718"/>
      <c r="L43" s="718"/>
      <c r="M43" s="718"/>
      <c r="N43" s="718"/>
      <c r="O43" s="720"/>
      <c r="P43" s="664"/>
      <c r="Q43" s="665"/>
      <c r="R43" s="665"/>
      <c r="S43" s="665"/>
      <c r="T43" s="666"/>
    </row>
    <row r="44" spans="1:20" ht="12" customHeight="1" thickBot="1">
      <c r="A44" s="598"/>
      <c r="B44" s="646"/>
      <c r="C44" s="716"/>
      <c r="D44" s="386"/>
      <c r="E44" s="721">
        <v>240</v>
      </c>
      <c r="F44" s="722"/>
      <c r="G44" s="723"/>
      <c r="H44" s="724">
        <v>2.4</v>
      </c>
      <c r="I44" s="725"/>
      <c r="J44" s="725"/>
      <c r="K44" s="725"/>
      <c r="L44" s="725"/>
      <c r="M44" s="725"/>
      <c r="N44" s="725"/>
      <c r="O44" s="726"/>
      <c r="P44" s="664"/>
      <c r="Q44" s="665"/>
      <c r="R44" s="665"/>
      <c r="S44" s="665"/>
      <c r="T44" s="666"/>
    </row>
    <row r="45" spans="1:20" ht="12" customHeight="1">
      <c r="A45" s="596" t="s">
        <v>110</v>
      </c>
      <c r="B45" s="696" t="s">
        <v>111</v>
      </c>
      <c r="C45" s="697"/>
      <c r="D45" s="384"/>
      <c r="E45" s="384" t="s">
        <v>98</v>
      </c>
      <c r="F45" s="731">
        <v>1</v>
      </c>
      <c r="G45" s="731"/>
      <c r="H45" s="710">
        <v>1</v>
      </c>
      <c r="I45" s="711"/>
      <c r="J45" s="710">
        <v>0.5</v>
      </c>
      <c r="K45" s="711"/>
      <c r="L45" s="710">
        <v>0.5</v>
      </c>
      <c r="M45" s="711"/>
      <c r="N45" s="738"/>
      <c r="O45" s="739"/>
      <c r="P45" s="664"/>
      <c r="Q45" s="665"/>
      <c r="R45" s="665"/>
      <c r="S45" s="665"/>
      <c r="T45" s="666"/>
    </row>
    <row r="46" spans="1:20" ht="12" customHeight="1">
      <c r="A46" s="597"/>
      <c r="B46" s="607" t="s">
        <v>112</v>
      </c>
      <c r="C46" s="608"/>
      <c r="D46" s="382"/>
      <c r="E46" s="382" t="s">
        <v>98</v>
      </c>
      <c r="F46" s="732">
        <v>1</v>
      </c>
      <c r="G46" s="732"/>
      <c r="H46" s="648">
        <v>1</v>
      </c>
      <c r="I46" s="649"/>
      <c r="J46" s="648">
        <v>0.5</v>
      </c>
      <c r="K46" s="649"/>
      <c r="L46" s="648">
        <v>0.5</v>
      </c>
      <c r="M46" s="649"/>
      <c r="N46" s="743"/>
      <c r="O46" s="744"/>
      <c r="P46" s="664"/>
      <c r="Q46" s="665"/>
      <c r="R46" s="665"/>
      <c r="S46" s="665"/>
      <c r="T46" s="666"/>
    </row>
    <row r="47" spans="1:20" ht="12" customHeight="1">
      <c r="A47" s="597"/>
      <c r="B47" s="607" t="s">
        <v>113</v>
      </c>
      <c r="C47" s="608"/>
      <c r="D47" s="382"/>
      <c r="E47" s="382" t="s">
        <v>98</v>
      </c>
      <c r="F47" s="732">
        <v>1</v>
      </c>
      <c r="G47" s="732"/>
      <c r="H47" s="648">
        <v>1</v>
      </c>
      <c r="I47" s="649"/>
      <c r="J47" s="648">
        <v>0.5</v>
      </c>
      <c r="K47" s="649"/>
      <c r="L47" s="648">
        <v>0.5</v>
      </c>
      <c r="M47" s="649"/>
      <c r="N47" s="743"/>
      <c r="O47" s="744"/>
      <c r="P47" s="664"/>
      <c r="Q47" s="665"/>
      <c r="R47" s="665"/>
      <c r="S47" s="665"/>
      <c r="T47" s="666"/>
    </row>
    <row r="48" spans="1:20" ht="12" customHeight="1">
      <c r="A48" s="597"/>
      <c r="B48" s="607" t="s">
        <v>104</v>
      </c>
      <c r="C48" s="608"/>
      <c r="D48" s="382"/>
      <c r="E48" s="382" t="s">
        <v>88</v>
      </c>
      <c r="F48" s="745"/>
      <c r="G48" s="745"/>
      <c r="H48" s="745"/>
      <c r="I48" s="745"/>
      <c r="J48" s="745"/>
      <c r="K48" s="745"/>
      <c r="L48" s="745"/>
      <c r="M48" s="745"/>
      <c r="N48" s="746"/>
      <c r="O48" s="747"/>
      <c r="P48" s="664"/>
      <c r="Q48" s="665"/>
      <c r="R48" s="665"/>
      <c r="S48" s="665"/>
      <c r="T48" s="666"/>
    </row>
    <row r="49" spans="1:20" ht="12" customHeight="1">
      <c r="A49" s="597"/>
      <c r="B49" s="644" t="s">
        <v>93</v>
      </c>
      <c r="C49" s="715"/>
      <c r="D49" s="385"/>
      <c r="E49" s="625" t="s">
        <v>95</v>
      </c>
      <c r="F49" s="733"/>
      <c r="G49" s="734"/>
      <c r="H49" s="735" t="s">
        <v>106</v>
      </c>
      <c r="I49" s="736"/>
      <c r="J49" s="736"/>
      <c r="K49" s="736"/>
      <c r="L49" s="736"/>
      <c r="M49" s="736"/>
      <c r="N49" s="736"/>
      <c r="O49" s="737"/>
      <c r="P49" s="664"/>
      <c r="Q49" s="665"/>
      <c r="R49" s="665"/>
      <c r="S49" s="665"/>
      <c r="T49" s="666"/>
    </row>
    <row r="50" spans="1:20" ht="12" customHeight="1" thickBot="1">
      <c r="A50" s="598"/>
      <c r="B50" s="646"/>
      <c r="C50" s="716"/>
      <c r="D50" s="386"/>
      <c r="E50" s="740"/>
      <c r="F50" s="741"/>
      <c r="G50" s="741"/>
      <c r="H50" s="740"/>
      <c r="I50" s="741"/>
      <c r="J50" s="741"/>
      <c r="K50" s="741"/>
      <c r="L50" s="741"/>
      <c r="M50" s="741"/>
      <c r="N50" s="741"/>
      <c r="O50" s="742"/>
      <c r="P50" s="673"/>
      <c r="Q50" s="674"/>
      <c r="R50" s="674"/>
      <c r="S50" s="674"/>
      <c r="T50" s="675"/>
    </row>
    <row r="51" spans="1:20" ht="12" customHeight="1">
      <c r="A51" s="748" t="s">
        <v>1020</v>
      </c>
      <c r="B51" s="696" t="s">
        <v>114</v>
      </c>
      <c r="C51" s="697"/>
      <c r="D51" s="384"/>
      <c r="E51" s="384" t="s">
        <v>115</v>
      </c>
      <c r="F51" s="698"/>
      <c r="G51" s="699"/>
      <c r="H51" s="698"/>
      <c r="I51" s="699"/>
      <c r="J51" s="751"/>
      <c r="K51" s="752"/>
      <c r="L51" s="698"/>
      <c r="M51" s="699"/>
      <c r="N51" s="751"/>
      <c r="O51" s="754"/>
      <c r="P51" s="755" t="s">
        <v>116</v>
      </c>
      <c r="Q51" s="756"/>
      <c r="R51" s="756"/>
      <c r="S51" s="756"/>
      <c r="T51" s="757"/>
    </row>
    <row r="52" spans="1:20" ht="12" customHeight="1">
      <c r="A52" s="749"/>
      <c r="B52" s="607" t="s">
        <v>117</v>
      </c>
      <c r="C52" s="608"/>
      <c r="D52" s="382"/>
      <c r="E52" s="382" t="s">
        <v>88</v>
      </c>
      <c r="F52" s="729"/>
      <c r="G52" s="730"/>
      <c r="H52" s="729"/>
      <c r="I52" s="730"/>
      <c r="J52" s="746"/>
      <c r="K52" s="753"/>
      <c r="L52" s="729"/>
      <c r="M52" s="730"/>
      <c r="N52" s="746"/>
      <c r="O52" s="747"/>
      <c r="P52" s="664"/>
      <c r="Q52" s="665"/>
      <c r="R52" s="665"/>
      <c r="S52" s="665"/>
      <c r="T52" s="666"/>
    </row>
    <row r="53" spans="1:20" ht="12" customHeight="1">
      <c r="A53" s="749"/>
      <c r="B53" s="607" t="s">
        <v>118</v>
      </c>
      <c r="C53" s="608"/>
      <c r="D53" s="382"/>
      <c r="E53" s="382" t="s">
        <v>88</v>
      </c>
      <c r="F53" s="729"/>
      <c r="G53" s="730"/>
      <c r="H53" s="729"/>
      <c r="I53" s="730"/>
      <c r="J53" s="746"/>
      <c r="K53" s="753"/>
      <c r="L53" s="729"/>
      <c r="M53" s="730"/>
      <c r="N53" s="746"/>
      <c r="O53" s="747"/>
      <c r="P53" s="664"/>
      <c r="Q53" s="665"/>
      <c r="R53" s="665"/>
      <c r="S53" s="665"/>
      <c r="T53" s="666"/>
    </row>
    <row r="54" spans="1:20" ht="12" customHeight="1">
      <c r="A54" s="749"/>
      <c r="B54" s="607" t="s">
        <v>404</v>
      </c>
      <c r="C54" s="608"/>
      <c r="D54" s="382"/>
      <c r="E54" s="382" t="s">
        <v>86</v>
      </c>
      <c r="F54" s="729"/>
      <c r="G54" s="730"/>
      <c r="H54" s="729"/>
      <c r="I54" s="730"/>
      <c r="J54" s="746"/>
      <c r="K54" s="753"/>
      <c r="L54" s="729"/>
      <c r="M54" s="730"/>
      <c r="N54" s="746"/>
      <c r="O54" s="747"/>
      <c r="P54" s="664"/>
      <c r="Q54" s="665"/>
      <c r="R54" s="665"/>
      <c r="S54" s="665"/>
      <c r="T54" s="666"/>
    </row>
    <row r="55" spans="1:20" ht="12" customHeight="1">
      <c r="A55" s="749"/>
      <c r="B55" s="607" t="s">
        <v>119</v>
      </c>
      <c r="C55" s="608"/>
      <c r="D55" s="382"/>
      <c r="E55" s="382" t="s">
        <v>120</v>
      </c>
      <c r="F55" s="729"/>
      <c r="G55" s="730"/>
      <c r="H55" s="729"/>
      <c r="I55" s="730"/>
      <c r="J55" s="746"/>
      <c r="K55" s="753"/>
      <c r="L55" s="729"/>
      <c r="M55" s="730"/>
      <c r="N55" s="746"/>
      <c r="O55" s="747"/>
      <c r="P55" s="664"/>
      <c r="Q55" s="665"/>
      <c r="R55" s="665"/>
      <c r="S55" s="665"/>
      <c r="T55" s="666"/>
    </row>
    <row r="56" spans="1:20" ht="12" customHeight="1">
      <c r="A56" s="749"/>
      <c r="B56" s="607" t="s">
        <v>121</v>
      </c>
      <c r="C56" s="608"/>
      <c r="D56" s="382"/>
      <c r="E56" s="382" t="s">
        <v>120</v>
      </c>
      <c r="F56" s="729"/>
      <c r="G56" s="730"/>
      <c r="H56" s="729"/>
      <c r="I56" s="730"/>
      <c r="J56" s="746"/>
      <c r="K56" s="753"/>
      <c r="L56" s="729"/>
      <c r="M56" s="730"/>
      <c r="N56" s="746"/>
      <c r="O56" s="747"/>
      <c r="P56" s="664"/>
      <c r="Q56" s="665"/>
      <c r="R56" s="665"/>
      <c r="S56" s="665"/>
      <c r="T56" s="666"/>
    </row>
    <row r="57" spans="1:20" ht="12" customHeight="1" thickBot="1">
      <c r="A57" s="750"/>
      <c r="B57" s="764" t="s">
        <v>122</v>
      </c>
      <c r="C57" s="765"/>
      <c r="D57" s="387"/>
      <c r="E57" s="387" t="s">
        <v>120</v>
      </c>
      <c r="F57" s="766"/>
      <c r="G57" s="767"/>
      <c r="H57" s="766"/>
      <c r="I57" s="767"/>
      <c r="J57" s="768"/>
      <c r="K57" s="769"/>
      <c r="L57" s="766"/>
      <c r="M57" s="767"/>
      <c r="N57" s="768"/>
      <c r="O57" s="770"/>
      <c r="P57" s="673"/>
      <c r="Q57" s="674"/>
      <c r="R57" s="674"/>
      <c r="S57" s="674"/>
      <c r="T57" s="675"/>
    </row>
    <row r="58" spans="1:20" ht="12" customHeight="1">
      <c r="A58" s="771" t="s">
        <v>123</v>
      </c>
      <c r="B58" s="696" t="s">
        <v>124</v>
      </c>
      <c r="C58" s="697"/>
      <c r="D58" s="388" t="s">
        <v>1001</v>
      </c>
      <c r="E58" s="774" t="s">
        <v>125</v>
      </c>
      <c r="F58" s="775"/>
      <c r="G58" s="776"/>
      <c r="H58" s="727" t="s">
        <v>126</v>
      </c>
      <c r="I58" s="777"/>
      <c r="J58" s="777"/>
      <c r="K58" s="778"/>
      <c r="L58" s="779" t="s">
        <v>127</v>
      </c>
      <c r="M58" s="780"/>
      <c r="N58" s="780"/>
      <c r="O58" s="781"/>
      <c r="P58" s="755" t="s">
        <v>128</v>
      </c>
      <c r="Q58" s="756"/>
      <c r="R58" s="756"/>
      <c r="S58" s="756"/>
      <c r="T58" s="757"/>
    </row>
    <row r="59" spans="1:20" ht="12" customHeight="1">
      <c r="A59" s="772"/>
      <c r="B59" s="607" t="s">
        <v>1002</v>
      </c>
      <c r="C59" s="608"/>
      <c r="D59" s="382">
        <v>3</v>
      </c>
      <c r="E59" s="758">
        <v>8</v>
      </c>
      <c r="F59" s="759"/>
      <c r="G59" s="760"/>
      <c r="H59" s="623">
        <v>69</v>
      </c>
      <c r="I59" s="705"/>
      <c r="J59" s="705"/>
      <c r="K59" s="629"/>
      <c r="L59" s="761"/>
      <c r="M59" s="762"/>
      <c r="N59" s="762"/>
      <c r="O59" s="763"/>
      <c r="P59" s="795"/>
      <c r="Q59" s="796"/>
      <c r="R59" s="796"/>
      <c r="S59" s="796"/>
      <c r="T59" s="797"/>
    </row>
    <row r="60" spans="1:20" ht="12" customHeight="1">
      <c r="A60" s="772"/>
      <c r="B60" s="607"/>
      <c r="C60" s="608"/>
      <c r="D60" s="382"/>
      <c r="E60" s="758"/>
      <c r="F60" s="759"/>
      <c r="G60" s="760"/>
      <c r="H60" s="623"/>
      <c r="I60" s="705"/>
      <c r="J60" s="705"/>
      <c r="K60" s="629"/>
      <c r="L60" s="623"/>
      <c r="M60" s="705"/>
      <c r="N60" s="705"/>
      <c r="O60" s="624"/>
      <c r="P60" s="795"/>
      <c r="Q60" s="796"/>
      <c r="R60" s="796"/>
      <c r="S60" s="796"/>
      <c r="T60" s="797"/>
    </row>
    <row r="61" spans="1:20" ht="12" customHeight="1">
      <c r="A61" s="772"/>
      <c r="B61" s="607"/>
      <c r="C61" s="608"/>
      <c r="D61" s="382"/>
      <c r="E61" s="758"/>
      <c r="F61" s="759"/>
      <c r="G61" s="760"/>
      <c r="H61" s="623"/>
      <c r="I61" s="705"/>
      <c r="J61" s="705"/>
      <c r="K61" s="629"/>
      <c r="L61" s="623"/>
      <c r="M61" s="705"/>
      <c r="N61" s="705"/>
      <c r="O61" s="624"/>
      <c r="P61" s="795"/>
      <c r="Q61" s="796"/>
      <c r="R61" s="796"/>
      <c r="S61" s="796"/>
      <c r="T61" s="797"/>
    </row>
    <row r="62" spans="1:20" ht="12" customHeight="1">
      <c r="A62" s="772"/>
      <c r="B62" s="607"/>
      <c r="C62" s="608"/>
      <c r="D62" s="382"/>
      <c r="E62" s="758"/>
      <c r="F62" s="759"/>
      <c r="G62" s="760"/>
      <c r="H62" s="623"/>
      <c r="I62" s="705"/>
      <c r="J62" s="705"/>
      <c r="K62" s="629"/>
      <c r="L62" s="761"/>
      <c r="M62" s="762"/>
      <c r="N62" s="762"/>
      <c r="O62" s="763"/>
      <c r="P62" s="782" t="s">
        <v>405</v>
      </c>
      <c r="Q62" s="783"/>
      <c r="R62" s="783"/>
      <c r="S62" s="783"/>
      <c r="T62" s="784"/>
    </row>
    <row r="63" spans="1:20" ht="12" customHeight="1" thickBot="1">
      <c r="A63" s="773"/>
      <c r="B63" s="764"/>
      <c r="C63" s="765"/>
      <c r="D63" s="383"/>
      <c r="E63" s="788"/>
      <c r="F63" s="789"/>
      <c r="G63" s="790"/>
      <c r="H63" s="791"/>
      <c r="I63" s="792"/>
      <c r="J63" s="792"/>
      <c r="K63" s="793"/>
      <c r="L63" s="791"/>
      <c r="M63" s="792"/>
      <c r="N63" s="792"/>
      <c r="O63" s="794"/>
      <c r="P63" s="785"/>
      <c r="Q63" s="786"/>
      <c r="R63" s="786"/>
      <c r="S63" s="786"/>
      <c r="T63" s="787"/>
    </row>
    <row r="64" spans="1:20"/>
    <row r="65"/>
    <row r="66"/>
    <row r="67"/>
  </sheetData>
  <mergeCells count="324">
    <mergeCell ref="P62:T63"/>
    <mergeCell ref="B63:C63"/>
    <mergeCell ref="E63:G63"/>
    <mergeCell ref="H63:K63"/>
    <mergeCell ref="L63:O63"/>
    <mergeCell ref="P59:T61"/>
    <mergeCell ref="B60:C60"/>
    <mergeCell ref="E60:G60"/>
    <mergeCell ref="H60:K60"/>
    <mergeCell ref="L60:O60"/>
    <mergeCell ref="B61:C61"/>
    <mergeCell ref="E61:G61"/>
    <mergeCell ref="H61:K61"/>
    <mergeCell ref="L61:O61"/>
    <mergeCell ref="A58:A63"/>
    <mergeCell ref="B58:C58"/>
    <mergeCell ref="E58:G58"/>
    <mergeCell ref="H58:K58"/>
    <mergeCell ref="L58:O58"/>
    <mergeCell ref="B62:C62"/>
    <mergeCell ref="E62:G62"/>
    <mergeCell ref="H62:K62"/>
    <mergeCell ref="L62:O62"/>
    <mergeCell ref="N55:O55"/>
    <mergeCell ref="P58:T58"/>
    <mergeCell ref="B59:C59"/>
    <mergeCell ref="E59:G59"/>
    <mergeCell ref="H59:K59"/>
    <mergeCell ref="L59:O59"/>
    <mergeCell ref="B57:C57"/>
    <mergeCell ref="F57:G57"/>
    <mergeCell ref="H57:I57"/>
    <mergeCell ref="J57:K57"/>
    <mergeCell ref="L57:M57"/>
    <mergeCell ref="N57:O57"/>
    <mergeCell ref="N53:O53"/>
    <mergeCell ref="B54:C54"/>
    <mergeCell ref="F54:G54"/>
    <mergeCell ref="H54:I54"/>
    <mergeCell ref="J54:K54"/>
    <mergeCell ref="L54:M54"/>
    <mergeCell ref="N54:O54"/>
    <mergeCell ref="N51:O51"/>
    <mergeCell ref="P51:T51"/>
    <mergeCell ref="B52:C52"/>
    <mergeCell ref="F52:G52"/>
    <mergeCell ref="H52:I52"/>
    <mergeCell ref="J52:K52"/>
    <mergeCell ref="L52:M52"/>
    <mergeCell ref="N52:O52"/>
    <mergeCell ref="P52:T57"/>
    <mergeCell ref="B53:C53"/>
    <mergeCell ref="B56:C56"/>
    <mergeCell ref="F56:G56"/>
    <mergeCell ref="H56:I56"/>
    <mergeCell ref="J56:K56"/>
    <mergeCell ref="L56:M56"/>
    <mergeCell ref="N56:O56"/>
    <mergeCell ref="B55:C55"/>
    <mergeCell ref="A51:A57"/>
    <mergeCell ref="B51:C51"/>
    <mergeCell ref="F51:G51"/>
    <mergeCell ref="H51:I51"/>
    <mergeCell ref="J51:K51"/>
    <mergeCell ref="L51:M51"/>
    <mergeCell ref="F53:G53"/>
    <mergeCell ref="H53:I53"/>
    <mergeCell ref="J53:K53"/>
    <mergeCell ref="L53:M53"/>
    <mergeCell ref="F55:G55"/>
    <mergeCell ref="H55:I55"/>
    <mergeCell ref="J55:K55"/>
    <mergeCell ref="L55:M55"/>
    <mergeCell ref="P50:T50"/>
    <mergeCell ref="L47:M47"/>
    <mergeCell ref="N47:O47"/>
    <mergeCell ref="P47:T47"/>
    <mergeCell ref="B48:C48"/>
    <mergeCell ref="F48:G48"/>
    <mergeCell ref="H48:I48"/>
    <mergeCell ref="J48:K48"/>
    <mergeCell ref="L48:M48"/>
    <mergeCell ref="N48:O48"/>
    <mergeCell ref="P48:T48"/>
    <mergeCell ref="P45:T45"/>
    <mergeCell ref="B46:C46"/>
    <mergeCell ref="F46:G46"/>
    <mergeCell ref="H46:I46"/>
    <mergeCell ref="J46:K46"/>
    <mergeCell ref="L46:M46"/>
    <mergeCell ref="N46:O46"/>
    <mergeCell ref="P46:T46"/>
    <mergeCell ref="P49:T49"/>
    <mergeCell ref="A45:A50"/>
    <mergeCell ref="B45:C45"/>
    <mergeCell ref="F45:G45"/>
    <mergeCell ref="H45:I45"/>
    <mergeCell ref="J45:K45"/>
    <mergeCell ref="L45:M45"/>
    <mergeCell ref="B47:C47"/>
    <mergeCell ref="F47:G47"/>
    <mergeCell ref="H47:I47"/>
    <mergeCell ref="J47:K47"/>
    <mergeCell ref="B49:C50"/>
    <mergeCell ref="E49:G49"/>
    <mergeCell ref="H49:O49"/>
    <mergeCell ref="N45:O45"/>
    <mergeCell ref="E50:G50"/>
    <mergeCell ref="H50:O50"/>
    <mergeCell ref="A32:A39"/>
    <mergeCell ref="B32:C32"/>
    <mergeCell ref="F32:G32"/>
    <mergeCell ref="H32:I32"/>
    <mergeCell ref="J32:K32"/>
    <mergeCell ref="L32:M32"/>
    <mergeCell ref="B34:C34"/>
    <mergeCell ref="P42:T42"/>
    <mergeCell ref="B43:C44"/>
    <mergeCell ref="E43:G43"/>
    <mergeCell ref="H43:O43"/>
    <mergeCell ref="P43:T43"/>
    <mergeCell ref="E44:G44"/>
    <mergeCell ref="H44:O44"/>
    <mergeCell ref="P44:T44"/>
    <mergeCell ref="N40:O40"/>
    <mergeCell ref="P40:T40"/>
    <mergeCell ref="B41:C41"/>
    <mergeCell ref="F41:G41"/>
    <mergeCell ref="H41:I41"/>
    <mergeCell ref="J41:K41"/>
    <mergeCell ref="L41:M41"/>
    <mergeCell ref="N41:O41"/>
    <mergeCell ref="P41:T41"/>
    <mergeCell ref="A40:A44"/>
    <mergeCell ref="B40:C40"/>
    <mergeCell ref="F40:G40"/>
    <mergeCell ref="H40:I40"/>
    <mergeCell ref="J40:K40"/>
    <mergeCell ref="L40:M40"/>
    <mergeCell ref="B42:C42"/>
    <mergeCell ref="D42:G42"/>
    <mergeCell ref="H42:O42"/>
    <mergeCell ref="P38:T38"/>
    <mergeCell ref="E39:G39"/>
    <mergeCell ref="H39:O39"/>
    <mergeCell ref="P39:T39"/>
    <mergeCell ref="P35:T37"/>
    <mergeCell ref="F34:G34"/>
    <mergeCell ref="H34:I34"/>
    <mergeCell ref="J34:K34"/>
    <mergeCell ref="L34:M34"/>
    <mergeCell ref="P9:T34"/>
    <mergeCell ref="H12:I12"/>
    <mergeCell ref="J12:K12"/>
    <mergeCell ref="L12:M12"/>
    <mergeCell ref="N12:O12"/>
    <mergeCell ref="F36:G36"/>
    <mergeCell ref="H36:I36"/>
    <mergeCell ref="J36:K36"/>
    <mergeCell ref="L36:M36"/>
    <mergeCell ref="N36:O36"/>
    <mergeCell ref="E37:O37"/>
    <mergeCell ref="N32:O32"/>
    <mergeCell ref="N27:O27"/>
    <mergeCell ref="N33:O33"/>
    <mergeCell ref="H25:I25"/>
    <mergeCell ref="B38:C39"/>
    <mergeCell ref="E38:G38"/>
    <mergeCell ref="H38:O38"/>
    <mergeCell ref="N34:O34"/>
    <mergeCell ref="B35:C35"/>
    <mergeCell ref="F35:G35"/>
    <mergeCell ref="H35:I35"/>
    <mergeCell ref="J35:K35"/>
    <mergeCell ref="L35:M35"/>
    <mergeCell ref="N35:O35"/>
    <mergeCell ref="B36:C36"/>
    <mergeCell ref="B37:C37"/>
    <mergeCell ref="B33:C33"/>
    <mergeCell ref="F33:G33"/>
    <mergeCell ref="B28:C29"/>
    <mergeCell ref="B30:C31"/>
    <mergeCell ref="B27:C27"/>
    <mergeCell ref="F27:G27"/>
    <mergeCell ref="H27:I27"/>
    <mergeCell ref="J27:K27"/>
    <mergeCell ref="L27:M27"/>
    <mergeCell ref="H33:I33"/>
    <mergeCell ref="J33:K33"/>
    <mergeCell ref="L33:M33"/>
    <mergeCell ref="B26:C26"/>
    <mergeCell ref="F26:G26"/>
    <mergeCell ref="H26:I26"/>
    <mergeCell ref="J26:K26"/>
    <mergeCell ref="L26:M26"/>
    <mergeCell ref="N26:O26"/>
    <mergeCell ref="E28:O28"/>
    <mergeCell ref="D29:E29"/>
    <mergeCell ref="F29:O29"/>
    <mergeCell ref="J25:K25"/>
    <mergeCell ref="L25:M25"/>
    <mergeCell ref="N25:O25"/>
    <mergeCell ref="B24:C24"/>
    <mergeCell ref="F24:G24"/>
    <mergeCell ref="H24:I24"/>
    <mergeCell ref="J24:K24"/>
    <mergeCell ref="L24:M24"/>
    <mergeCell ref="N24:O24"/>
    <mergeCell ref="F25:G25"/>
    <mergeCell ref="J23:K23"/>
    <mergeCell ref="L23:M23"/>
    <mergeCell ref="N23:O23"/>
    <mergeCell ref="B22:C22"/>
    <mergeCell ref="F22:G22"/>
    <mergeCell ref="H22:I22"/>
    <mergeCell ref="J22:K22"/>
    <mergeCell ref="L22:M22"/>
    <mergeCell ref="N22:O22"/>
    <mergeCell ref="J21:K21"/>
    <mergeCell ref="L21:M21"/>
    <mergeCell ref="N21:O21"/>
    <mergeCell ref="B20:C20"/>
    <mergeCell ref="F20:G20"/>
    <mergeCell ref="H20:I20"/>
    <mergeCell ref="J20:K20"/>
    <mergeCell ref="L20:M20"/>
    <mergeCell ref="N20:O20"/>
    <mergeCell ref="J19:K19"/>
    <mergeCell ref="L19:M19"/>
    <mergeCell ref="N19:O19"/>
    <mergeCell ref="B18:C18"/>
    <mergeCell ref="F18:G18"/>
    <mergeCell ref="H18:I18"/>
    <mergeCell ref="J18:K18"/>
    <mergeCell ref="L18:M18"/>
    <mergeCell ref="N18:O18"/>
    <mergeCell ref="B15:C15"/>
    <mergeCell ref="F15:G15"/>
    <mergeCell ref="H15:I15"/>
    <mergeCell ref="J15:K15"/>
    <mergeCell ref="L15:M15"/>
    <mergeCell ref="N15:O15"/>
    <mergeCell ref="H13:I13"/>
    <mergeCell ref="J13:K13"/>
    <mergeCell ref="L13:M13"/>
    <mergeCell ref="N13:O13"/>
    <mergeCell ref="F14:G14"/>
    <mergeCell ref="H14:I14"/>
    <mergeCell ref="J14:K14"/>
    <mergeCell ref="L14:M14"/>
    <mergeCell ref="N14:O14"/>
    <mergeCell ref="J17:K17"/>
    <mergeCell ref="L17:M17"/>
    <mergeCell ref="N17:O17"/>
    <mergeCell ref="B16:C16"/>
    <mergeCell ref="F16:G16"/>
    <mergeCell ref="H16:I16"/>
    <mergeCell ref="J16:K16"/>
    <mergeCell ref="L16:M16"/>
    <mergeCell ref="N16:O16"/>
    <mergeCell ref="J7:K7"/>
    <mergeCell ref="L7:M8"/>
    <mergeCell ref="N7:O8"/>
    <mergeCell ref="P7:T7"/>
    <mergeCell ref="F8:G8"/>
    <mergeCell ref="H8:I8"/>
    <mergeCell ref="J8:K8"/>
    <mergeCell ref="P8:T8"/>
    <mergeCell ref="J11:K11"/>
    <mergeCell ref="L11:M11"/>
    <mergeCell ref="N11:O11"/>
    <mergeCell ref="J9:K9"/>
    <mergeCell ref="L9:M9"/>
    <mergeCell ref="N9:O9"/>
    <mergeCell ref="F10:G10"/>
    <mergeCell ref="H10:I10"/>
    <mergeCell ref="J10:K10"/>
    <mergeCell ref="L10:M10"/>
    <mergeCell ref="N10:O10"/>
    <mergeCell ref="F11:G11"/>
    <mergeCell ref="F12:G12"/>
    <mergeCell ref="A7:A31"/>
    <mergeCell ref="B7:C8"/>
    <mergeCell ref="D7:D8"/>
    <mergeCell ref="E7:E8"/>
    <mergeCell ref="F7:G7"/>
    <mergeCell ref="H7:I7"/>
    <mergeCell ref="F9:G9"/>
    <mergeCell ref="H9:I9"/>
    <mergeCell ref="H11:I11"/>
    <mergeCell ref="F13:G13"/>
    <mergeCell ref="B17:C17"/>
    <mergeCell ref="F17:G17"/>
    <mergeCell ref="H17:I17"/>
    <mergeCell ref="B19:C19"/>
    <mergeCell ref="F19:G19"/>
    <mergeCell ref="H19:I19"/>
    <mergeCell ref="B21:C21"/>
    <mergeCell ref="F21:G21"/>
    <mergeCell ref="H21:I21"/>
    <mergeCell ref="B23:C23"/>
    <mergeCell ref="F23:G23"/>
    <mergeCell ref="H23:I23"/>
    <mergeCell ref="B25:C25"/>
    <mergeCell ref="A1:T1"/>
    <mergeCell ref="A2:B2"/>
    <mergeCell ref="C2:D2"/>
    <mergeCell ref="A3:B3"/>
    <mergeCell ref="C3:M3"/>
    <mergeCell ref="N3:T3"/>
    <mergeCell ref="A6:B6"/>
    <mergeCell ref="C6:D6"/>
    <mergeCell ref="E6:F6"/>
    <mergeCell ref="G6:M6"/>
    <mergeCell ref="N6:P6"/>
    <mergeCell ref="Q6:T6"/>
    <mergeCell ref="A4:B4"/>
    <mergeCell ref="C4:M4"/>
    <mergeCell ref="R4:T4"/>
    <mergeCell ref="A5:B5"/>
    <mergeCell ref="C5:M5"/>
    <mergeCell ref="N5:O5"/>
    <mergeCell ref="P5:R5"/>
    <mergeCell ref="S5:T5"/>
  </mergeCells>
  <dataValidations count="5">
    <dataValidation type="list" allowBlank="1" showInputMessage="1" showErrorMessage="1" sqref="D9:D12" xr:uid="{00000000-0002-0000-0200-000000000000}">
      <formula1>"10x24,10x40,10x48"</formula1>
    </dataValidation>
    <dataValidation type="list" allowBlank="1" showInputMessage="1" showErrorMessage="1" sqref="C9:C14" xr:uid="{00000000-0002-0000-0200-000001000000}">
      <formula1>"D7,D5,Fuji"</formula1>
    </dataValidation>
    <dataValidation type="list" allowBlank="1" showInputMessage="1" showErrorMessage="1" sqref="D52" xr:uid="{00000000-0002-0000-0200-000002000000}">
      <formula1>"Vàng,Đỏ,Trắng"</formula1>
    </dataValidation>
    <dataValidation type="list" allowBlank="1" showInputMessage="1" showErrorMessage="1" sqref="D33" xr:uid="{00000000-0002-0000-0200-000003000000}">
      <formula1>"7HF,SM-15"</formula1>
    </dataValidation>
    <dataValidation type="list" allowBlank="1" showInputMessage="1" showErrorMessage="1" sqref="D32" xr:uid="{00000000-0002-0000-0200-000004000000}">
      <formula1>"WCP-712,Win,WCP-2,MP-35"</formula1>
    </dataValidation>
  </dataValidations>
  <printOptions horizontalCentered="1"/>
  <pageMargins left="0.27559055118110237" right="0.19685039370078741" top="0.31496062992125984" bottom="0.27559055118110237" header="0.19685039370078741" footer="0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81409" r:id="rId4" name="Check Box 1">
              <controlPr defaultSize="0" autoPict="0">
                <anchor>
                  <from>
                    <xdr:col>13</xdr:col>
                    <xdr:colOff>34290</xdr:colOff>
                    <xdr:row>0</xdr:row>
                    <xdr:rowOff>396240</xdr:rowOff>
                  </from>
                  <to>
                    <xdr:col>17</xdr:col>
                    <xdr:colOff>38100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410" r:id="rId5" name="Check Box 2">
              <controlPr defaultSize="0" autoPict="0">
                <anchor>
                  <from>
                    <xdr:col>17</xdr:col>
                    <xdr:colOff>228600</xdr:colOff>
                    <xdr:row>0</xdr:row>
                    <xdr:rowOff>396240</xdr:rowOff>
                  </from>
                  <to>
                    <xdr:col>19</xdr:col>
                    <xdr:colOff>632460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411" r:id="rId6" name="Check Box 3">
              <controlPr defaultSize="0" autoPict="0">
                <anchor>
                  <from>
                    <xdr:col>5</xdr:col>
                    <xdr:colOff>0</xdr:colOff>
                    <xdr:row>0</xdr:row>
                    <xdr:rowOff>365760</xdr:rowOff>
                  </from>
                  <to>
                    <xdr:col>8</xdr:col>
                    <xdr:colOff>30480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412" r:id="rId7" name="Check Box 4">
              <controlPr defaultSize="0" autoPict="0">
                <anchor>
                  <from>
                    <xdr:col>8</xdr:col>
                    <xdr:colOff>182880</xdr:colOff>
                    <xdr:row>0</xdr:row>
                    <xdr:rowOff>384810</xdr:rowOff>
                  </from>
                  <to>
                    <xdr:col>10</xdr:col>
                    <xdr:colOff>232410</xdr:colOff>
                    <xdr:row>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413" r:id="rId8" name="Check Box 5">
              <controlPr defaultSize="0" autoPict="0">
                <anchor>
                  <from>
                    <xdr:col>17</xdr:col>
                    <xdr:colOff>232410</xdr:colOff>
                    <xdr:row>3</xdr:row>
                    <xdr:rowOff>0</xdr:rowOff>
                  </from>
                  <to>
                    <xdr:col>19</xdr:col>
                    <xdr:colOff>346710</xdr:colOff>
                    <xdr:row>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1414" r:id="rId9" name="Check Box 6">
              <controlPr defaultSize="0" autoPict="0">
                <anchor>
                  <from>
                    <xdr:col>13</xdr:col>
                    <xdr:colOff>49530</xdr:colOff>
                    <xdr:row>3</xdr:row>
                    <xdr:rowOff>0</xdr:rowOff>
                  </from>
                  <to>
                    <xdr:col>16</xdr:col>
                    <xdr:colOff>34290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39997558519241921"/>
  </sheetPr>
  <dimension ref="A1:BJ630"/>
  <sheetViews>
    <sheetView zoomScaleNormal="100" workbookViewId="0">
      <pane xSplit="2" ySplit="6" topLeftCell="C7" activePane="bottomRight" state="frozen"/>
      <selection activeCell="Y12" sqref="Y12"/>
      <selection pane="topRight" activeCell="Y12" sqref="Y12"/>
      <selection pane="bottomLeft" activeCell="Y12" sqref="Y12"/>
      <selection pane="bottomRight" activeCell="I17" sqref="I17"/>
    </sheetView>
  </sheetViews>
  <sheetFormatPr defaultColWidth="0" defaultRowHeight="12.3"/>
  <cols>
    <col min="1" max="1" width="25.38671875" style="403" customWidth="1"/>
    <col min="2" max="2" width="5.109375" style="149" customWidth="1"/>
    <col min="3" max="3" width="9.109375" style="149" bestFit="1" customWidth="1"/>
    <col min="4" max="4" width="6.38671875" style="404" customWidth="1"/>
    <col min="5" max="5" width="6.38671875" style="404" hidden="1" customWidth="1"/>
    <col min="6" max="6" width="5.609375" style="404" customWidth="1"/>
    <col min="7" max="7" width="9.609375" style="149" customWidth="1"/>
    <col min="8" max="8" width="5.609375" style="405" customWidth="1"/>
    <col min="9" max="9" width="13.609375" style="149" customWidth="1"/>
    <col min="10" max="11" width="4.609375" style="149" customWidth="1"/>
    <col min="12" max="12" width="5.609375" style="149" customWidth="1"/>
    <col min="13" max="13" width="13.609375" style="149" customWidth="1"/>
    <col min="14" max="15" width="4.609375" style="149" customWidth="1"/>
    <col min="16" max="16" width="5.609375" style="405" customWidth="1"/>
    <col min="17" max="17" width="13.609375" style="149" customWidth="1"/>
    <col min="18" max="19" width="4.609375" style="149" customWidth="1"/>
    <col min="20" max="20" width="5.609375" style="149" hidden="1" customWidth="1"/>
    <col min="21" max="21" width="7.6640625" style="149" hidden="1" customWidth="1"/>
    <col min="22" max="23" width="4.609375" style="149" hidden="1" customWidth="1"/>
    <col min="24" max="24" width="11.21875" style="149" bestFit="1" customWidth="1"/>
    <col min="25" max="25" width="5.71875" style="149" customWidth="1"/>
    <col min="26" max="26" width="7.71875" style="149" customWidth="1"/>
    <col min="27" max="38" width="9.109375" style="149" customWidth="1"/>
    <col min="39" max="62" width="0" style="149" hidden="1" customWidth="1"/>
    <col min="63" max="16384" width="9.109375" style="149" hidden="1"/>
  </cols>
  <sheetData>
    <row r="1" spans="1:38" ht="15" customHeight="1">
      <c r="A1" s="451"/>
      <c r="B1" s="452"/>
      <c r="C1" s="452"/>
      <c r="D1" s="452"/>
      <c r="E1" s="806" t="s">
        <v>140</v>
      </c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452"/>
      <c r="R1" s="452"/>
      <c r="S1" s="452"/>
      <c r="T1" s="452"/>
      <c r="U1" s="452"/>
      <c r="V1" s="452"/>
      <c r="W1" s="452"/>
    </row>
    <row r="2" spans="1:38" ht="15" customHeight="1">
      <c r="A2" s="451"/>
      <c r="B2" s="453"/>
      <c r="C2" s="453"/>
      <c r="D2" s="453"/>
      <c r="E2" s="800" t="s">
        <v>1044</v>
      </c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453"/>
      <c r="R2" s="453"/>
      <c r="S2" s="453"/>
      <c r="T2" s="453"/>
      <c r="U2" s="453"/>
      <c r="V2" s="453"/>
      <c r="W2" s="453"/>
      <c r="X2" s="798" t="s">
        <v>1043</v>
      </c>
      <c r="Y2" s="454"/>
      <c r="Z2" s="454"/>
    </row>
    <row r="3" spans="1:38" ht="15" customHeight="1">
      <c r="A3" s="436" t="s">
        <v>1046</v>
      </c>
      <c r="B3" s="453"/>
      <c r="C3" s="453"/>
      <c r="D3" s="453"/>
      <c r="E3" s="800" t="s">
        <v>1045</v>
      </c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453"/>
      <c r="R3" s="453"/>
      <c r="S3" s="453"/>
      <c r="T3" s="453"/>
      <c r="U3" s="453"/>
      <c r="V3" s="453"/>
      <c r="W3" s="453"/>
      <c r="X3" s="799"/>
      <c r="Y3" s="454"/>
      <c r="Z3" s="454"/>
    </row>
    <row r="4" spans="1:38" ht="13.15" customHeight="1">
      <c r="A4" s="437">
        <f ca="1">SUMPRODUCT(SUBTOTAL(103,OFFSET(A7,ROW(A7:A9980)-ROW(A7),0)),--(A7:A9980&lt;&gt;""))</f>
        <v>50</v>
      </c>
      <c r="B4" s="453"/>
      <c r="C4" s="455"/>
      <c r="D4" s="455"/>
      <c r="E4" s="455"/>
      <c r="F4" s="455"/>
      <c r="G4" s="455"/>
      <c r="H4" s="801" t="s">
        <v>1039</v>
      </c>
      <c r="I4" s="802"/>
      <c r="J4" s="803">
        <f ca="1">SUMPRODUCT(SUBTOTAL(103,OFFSET(I7,ROW(I7:I9980)-ROW(I7),0)),--(I7:I9980&lt;&gt;""))</f>
        <v>34</v>
      </c>
      <c r="K4" s="804"/>
      <c r="L4" s="801" t="s">
        <v>1040</v>
      </c>
      <c r="M4" s="802"/>
      <c r="N4" s="803">
        <f ca="1">SUMPRODUCT(SUBTOTAL(103,OFFSET(M7,ROW(M7:M9980)-ROW(M7),0)),--(M7:M9980&lt;&gt;""))</f>
        <v>14</v>
      </c>
      <c r="O4" s="804"/>
      <c r="P4" s="801" t="s">
        <v>1041</v>
      </c>
      <c r="Q4" s="802"/>
      <c r="R4" s="803">
        <f ca="1">SUMPRODUCT(SUBTOTAL(103,OFFSET(Q7,ROW(Q7:Q9980)-ROW(Q7),0)),--(Q7:Q9980&lt;&gt;""))</f>
        <v>2</v>
      </c>
      <c r="S4" s="804"/>
      <c r="T4" s="818" t="s">
        <v>1042</v>
      </c>
      <c r="U4" s="819"/>
      <c r="V4" s="819"/>
      <c r="W4" s="458">
        <f ca="1">SUMPRODUCT(SUBTOTAL(103,OFFSET(U7,ROW(U7:U9980)-ROW(U7),0)),--(U7:U9980&lt;&gt;""))</f>
        <v>0</v>
      </c>
      <c r="X4" s="435">
        <f ca="1">J4+N4+R4</f>
        <v>50</v>
      </c>
      <c r="Y4" s="456"/>
      <c r="Z4" s="456"/>
    </row>
    <row r="5" spans="1:38" s="398" customFormat="1" ht="20.25" customHeight="1">
      <c r="A5" s="807" t="s">
        <v>141</v>
      </c>
      <c r="B5" s="809" t="s">
        <v>1016</v>
      </c>
      <c r="C5" s="809" t="s">
        <v>142</v>
      </c>
      <c r="D5" s="457" t="s">
        <v>143</v>
      </c>
      <c r="E5" s="457" t="s">
        <v>144</v>
      </c>
      <c r="F5" s="809" t="s">
        <v>145</v>
      </c>
      <c r="G5" s="811" t="s">
        <v>1017</v>
      </c>
      <c r="H5" s="805" t="s">
        <v>64</v>
      </c>
      <c r="I5" s="805"/>
      <c r="J5" s="805"/>
      <c r="K5" s="805"/>
      <c r="L5" s="805" t="s">
        <v>110</v>
      </c>
      <c r="M5" s="805"/>
      <c r="N5" s="805"/>
      <c r="O5" s="805"/>
      <c r="P5" s="805" t="s">
        <v>96</v>
      </c>
      <c r="Q5" s="805"/>
      <c r="R5" s="805"/>
      <c r="S5" s="805"/>
      <c r="T5" s="805" t="s">
        <v>1081</v>
      </c>
      <c r="U5" s="805"/>
      <c r="V5" s="805"/>
      <c r="W5" s="805"/>
      <c r="X5" s="813" t="s">
        <v>147</v>
      </c>
      <c r="Y5" s="815" t="s">
        <v>148</v>
      </c>
      <c r="Z5" s="816" t="s">
        <v>149</v>
      </c>
      <c r="AA5" s="816" t="s">
        <v>150</v>
      </c>
    </row>
    <row r="6" spans="1:38" s="398" customFormat="1" ht="23.65" customHeight="1">
      <c r="A6" s="808"/>
      <c r="B6" s="810"/>
      <c r="C6" s="810"/>
      <c r="D6" s="425" t="s">
        <v>151</v>
      </c>
      <c r="E6" s="425" t="s">
        <v>1082</v>
      </c>
      <c r="F6" s="810"/>
      <c r="G6" s="812"/>
      <c r="H6" s="399" t="s">
        <v>1018</v>
      </c>
      <c r="I6" s="399" t="s">
        <v>152</v>
      </c>
      <c r="J6" s="399" t="s">
        <v>1019</v>
      </c>
      <c r="K6" s="399" t="s">
        <v>153</v>
      </c>
      <c r="L6" s="399" t="s">
        <v>1018</v>
      </c>
      <c r="M6" s="399" t="s">
        <v>152</v>
      </c>
      <c r="N6" s="399" t="s">
        <v>1019</v>
      </c>
      <c r="O6" s="399" t="s">
        <v>153</v>
      </c>
      <c r="P6" s="399" t="s">
        <v>1018</v>
      </c>
      <c r="Q6" s="399" t="s">
        <v>152</v>
      </c>
      <c r="R6" s="399" t="s">
        <v>1019</v>
      </c>
      <c r="S6" s="399" t="s">
        <v>153</v>
      </c>
      <c r="T6" s="399" t="s">
        <v>1018</v>
      </c>
      <c r="U6" s="399" t="s">
        <v>152</v>
      </c>
      <c r="V6" s="399" t="s">
        <v>1019</v>
      </c>
      <c r="W6" s="399" t="s">
        <v>153</v>
      </c>
      <c r="X6" s="814"/>
      <c r="Y6" s="604"/>
      <c r="Z6" s="817"/>
      <c r="AA6" s="817"/>
      <c r="AH6" s="400"/>
      <c r="AI6" s="400"/>
      <c r="AJ6" s="400"/>
      <c r="AK6" s="400"/>
      <c r="AL6" s="400"/>
    </row>
    <row r="7" spans="1:38" s="154" customFormat="1" ht="20.100000000000001" customHeight="1">
      <c r="A7" s="392" t="s">
        <v>1049</v>
      </c>
      <c r="B7" s="393">
        <v>1</v>
      </c>
      <c r="C7" s="394" t="s">
        <v>1050</v>
      </c>
      <c r="D7" s="393">
        <v>114</v>
      </c>
      <c r="E7" s="393"/>
      <c r="F7" s="393" t="s">
        <v>1051</v>
      </c>
      <c r="G7" s="395">
        <v>45900</v>
      </c>
      <c r="H7" s="396" t="s">
        <v>154</v>
      </c>
      <c r="I7" s="393" t="s">
        <v>1052</v>
      </c>
      <c r="J7" s="393"/>
      <c r="K7" s="393"/>
      <c r="L7" s="393"/>
      <c r="M7" s="393"/>
      <c r="N7" s="393"/>
      <c r="O7" s="393"/>
      <c r="P7" s="396"/>
      <c r="Q7" s="393"/>
      <c r="R7" s="393"/>
      <c r="S7" s="393"/>
      <c r="T7" s="393"/>
      <c r="U7" s="393"/>
      <c r="V7" s="393"/>
      <c r="W7" s="393"/>
      <c r="X7" s="393" t="s">
        <v>1053</v>
      </c>
      <c r="Y7" s="397">
        <v>1</v>
      </c>
      <c r="Z7" s="393" t="s">
        <v>1012</v>
      </c>
      <c r="AA7" s="393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</row>
    <row r="8" spans="1:38" s="154" customFormat="1" ht="20.100000000000001" customHeight="1">
      <c r="A8" s="402" t="s">
        <v>1049</v>
      </c>
      <c r="B8" s="393">
        <v>2</v>
      </c>
      <c r="C8" s="394" t="s">
        <v>1054</v>
      </c>
      <c r="D8" s="393">
        <v>89</v>
      </c>
      <c r="E8" s="393"/>
      <c r="F8" s="393" t="s">
        <v>1015</v>
      </c>
      <c r="G8" s="395">
        <v>45913</v>
      </c>
      <c r="H8" s="396" t="s">
        <v>154</v>
      </c>
      <c r="I8" s="393" t="s">
        <v>1055</v>
      </c>
      <c r="J8" s="450"/>
      <c r="K8" s="450"/>
      <c r="L8" s="393"/>
      <c r="M8" s="393"/>
      <c r="N8" s="393"/>
      <c r="O8" s="393"/>
      <c r="P8" s="396"/>
      <c r="Q8" s="393"/>
      <c r="R8" s="393"/>
      <c r="S8" s="393"/>
      <c r="T8" s="393"/>
      <c r="U8" s="393"/>
      <c r="V8" s="393"/>
      <c r="W8" s="393"/>
      <c r="X8" s="393" t="s">
        <v>1053</v>
      </c>
      <c r="Y8" s="397">
        <v>1</v>
      </c>
      <c r="Z8" s="393" t="s">
        <v>1012</v>
      </c>
      <c r="AA8" s="393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</row>
    <row r="9" spans="1:38" s="154" customFormat="1" ht="20.100000000000001" customHeight="1">
      <c r="A9" s="402" t="s">
        <v>1049</v>
      </c>
      <c r="B9" s="393">
        <v>3</v>
      </c>
      <c r="C9" s="394" t="s">
        <v>1050</v>
      </c>
      <c r="D9" s="393">
        <v>89</v>
      </c>
      <c r="E9" s="393"/>
      <c r="F9" s="393" t="s">
        <v>1015</v>
      </c>
      <c r="G9" s="395">
        <v>45900</v>
      </c>
      <c r="H9" s="396" t="s">
        <v>154</v>
      </c>
      <c r="I9" s="393" t="s">
        <v>1052</v>
      </c>
      <c r="J9" s="393"/>
      <c r="K9" s="393"/>
      <c r="L9" s="393"/>
      <c r="M9" s="393"/>
      <c r="N9" s="393"/>
      <c r="O9" s="393"/>
      <c r="P9" s="396"/>
      <c r="Q9" s="393"/>
      <c r="R9" s="393"/>
      <c r="S9" s="393"/>
      <c r="T9" s="393"/>
      <c r="U9" s="393"/>
      <c r="V9" s="393"/>
      <c r="W9" s="393"/>
      <c r="X9" s="393" t="s">
        <v>1053</v>
      </c>
      <c r="Y9" s="397">
        <v>1</v>
      </c>
      <c r="Z9" s="393" t="s">
        <v>1012</v>
      </c>
      <c r="AA9" s="393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</row>
    <row r="10" spans="1:38" s="154" customFormat="1" ht="20.100000000000001" customHeight="1">
      <c r="A10" s="402" t="s">
        <v>1049</v>
      </c>
      <c r="B10" s="393">
        <v>4</v>
      </c>
      <c r="C10" s="394" t="s">
        <v>1054</v>
      </c>
      <c r="D10" s="393">
        <v>89</v>
      </c>
      <c r="E10" s="393"/>
      <c r="F10" s="393" t="s">
        <v>1015</v>
      </c>
      <c r="G10" s="395">
        <v>45913</v>
      </c>
      <c r="H10" s="396" t="s">
        <v>154</v>
      </c>
      <c r="I10" s="393" t="s">
        <v>1055</v>
      </c>
      <c r="J10" s="450"/>
      <c r="K10" s="450"/>
      <c r="L10" s="393"/>
      <c r="M10" s="393"/>
      <c r="N10" s="393"/>
      <c r="O10" s="393"/>
      <c r="P10" s="396"/>
      <c r="Q10" s="393"/>
      <c r="R10" s="393"/>
      <c r="S10" s="393"/>
      <c r="T10" s="393"/>
      <c r="U10" s="393"/>
      <c r="V10" s="393"/>
      <c r="W10" s="393"/>
      <c r="X10" s="393" t="s">
        <v>1053</v>
      </c>
      <c r="Y10" s="397">
        <v>1</v>
      </c>
      <c r="Z10" s="393" t="s">
        <v>1012</v>
      </c>
      <c r="AA10" s="393"/>
      <c r="AB10" s="401"/>
      <c r="AC10" s="401"/>
      <c r="AD10" s="401"/>
      <c r="AE10" s="401"/>
      <c r="AF10" s="401"/>
      <c r="AG10" s="401"/>
      <c r="AH10" s="401"/>
      <c r="AI10" s="401"/>
      <c r="AJ10" s="401"/>
      <c r="AK10" s="401"/>
      <c r="AL10" s="401"/>
    </row>
    <row r="11" spans="1:38" s="154" customFormat="1" ht="20.100000000000001" customHeight="1">
      <c r="A11" s="402" t="s">
        <v>1049</v>
      </c>
      <c r="B11" s="393">
        <v>5</v>
      </c>
      <c r="C11" s="394" t="s">
        <v>1054</v>
      </c>
      <c r="D11" s="393">
        <v>89</v>
      </c>
      <c r="E11" s="393"/>
      <c r="F11" s="393" t="s">
        <v>1015</v>
      </c>
      <c r="G11" s="395">
        <v>45913</v>
      </c>
      <c r="H11" s="396" t="s">
        <v>154</v>
      </c>
      <c r="I11" s="393" t="s">
        <v>1055</v>
      </c>
      <c r="J11" s="450"/>
      <c r="K11" s="450"/>
      <c r="L11" s="393"/>
      <c r="M11" s="393"/>
      <c r="N11" s="393"/>
      <c r="O11" s="393"/>
      <c r="P11" s="396"/>
      <c r="Q11" s="393"/>
      <c r="R11" s="393"/>
      <c r="S11" s="393"/>
      <c r="T11" s="393"/>
      <c r="U11" s="393"/>
      <c r="V11" s="393"/>
      <c r="W11" s="393"/>
      <c r="X11" s="393" t="s">
        <v>1053</v>
      </c>
      <c r="Y11" s="397">
        <v>1</v>
      </c>
      <c r="Z11" s="393" t="s">
        <v>1012</v>
      </c>
      <c r="AA11" s="393"/>
      <c r="AB11" s="401"/>
      <c r="AC11" s="401"/>
      <c r="AD11" s="401"/>
      <c r="AE11" s="401"/>
      <c r="AF11" s="401"/>
      <c r="AG11" s="401"/>
      <c r="AH11" s="401"/>
      <c r="AI11" s="401"/>
      <c r="AJ11" s="401"/>
      <c r="AK11" s="401"/>
      <c r="AL11" s="401"/>
    </row>
    <row r="12" spans="1:38" s="154" customFormat="1" ht="20.100000000000001" customHeight="1">
      <c r="A12" s="402" t="s">
        <v>1049</v>
      </c>
      <c r="B12" s="393">
        <v>6</v>
      </c>
      <c r="C12" s="394" t="s">
        <v>1054</v>
      </c>
      <c r="D12" s="393">
        <v>89</v>
      </c>
      <c r="E12" s="393"/>
      <c r="F12" s="393" t="s">
        <v>1015</v>
      </c>
      <c r="G12" s="395">
        <v>45913</v>
      </c>
      <c r="H12" s="396" t="s">
        <v>154</v>
      </c>
      <c r="I12" s="393" t="s">
        <v>1055</v>
      </c>
      <c r="J12" s="450"/>
      <c r="K12" s="450"/>
      <c r="L12" s="393"/>
      <c r="M12" s="393"/>
      <c r="N12" s="393"/>
      <c r="O12" s="393"/>
      <c r="P12" s="396"/>
      <c r="Q12" s="393"/>
      <c r="R12" s="393"/>
      <c r="S12" s="393"/>
      <c r="T12" s="393"/>
      <c r="U12" s="393"/>
      <c r="V12" s="393"/>
      <c r="W12" s="393"/>
      <c r="X12" s="393" t="s">
        <v>1053</v>
      </c>
      <c r="Y12" s="397">
        <v>1</v>
      </c>
      <c r="Z12" s="393" t="s">
        <v>1012</v>
      </c>
      <c r="AA12" s="393"/>
      <c r="AB12" s="401"/>
      <c r="AC12" s="401"/>
      <c r="AD12" s="401"/>
      <c r="AE12" s="401"/>
      <c r="AF12" s="401"/>
      <c r="AG12" s="401"/>
      <c r="AH12" s="401"/>
      <c r="AI12" s="401"/>
      <c r="AJ12" s="401"/>
      <c r="AK12" s="401"/>
      <c r="AL12" s="401"/>
    </row>
    <row r="13" spans="1:38" s="154" customFormat="1" ht="20.100000000000001" customHeight="1">
      <c r="A13" s="402" t="s">
        <v>1049</v>
      </c>
      <c r="B13" s="393">
        <v>7</v>
      </c>
      <c r="C13" s="394" t="s">
        <v>1056</v>
      </c>
      <c r="D13" s="393">
        <v>33</v>
      </c>
      <c r="E13" s="393"/>
      <c r="F13" s="393"/>
      <c r="G13" s="395">
        <v>45913</v>
      </c>
      <c r="H13" s="396"/>
      <c r="I13" s="393"/>
      <c r="J13" s="393"/>
      <c r="K13" s="393"/>
      <c r="L13" s="393" t="s">
        <v>154</v>
      </c>
      <c r="M13" s="382" t="s">
        <v>1057</v>
      </c>
      <c r="N13" s="393"/>
      <c r="O13" s="393"/>
      <c r="P13" s="396"/>
      <c r="Q13" s="393"/>
      <c r="R13" s="393"/>
      <c r="S13" s="393"/>
      <c r="T13" s="393"/>
      <c r="U13" s="393"/>
      <c r="V13" s="393"/>
      <c r="W13" s="393"/>
      <c r="X13" s="393" t="s">
        <v>1053</v>
      </c>
      <c r="Y13" s="397"/>
      <c r="Z13" s="393" t="s">
        <v>1012</v>
      </c>
      <c r="AA13" s="393"/>
      <c r="AB13" s="401"/>
      <c r="AC13" s="401"/>
      <c r="AD13" s="401"/>
      <c r="AE13" s="401"/>
      <c r="AF13" s="401"/>
      <c r="AG13" s="401"/>
      <c r="AH13" s="401"/>
      <c r="AI13" s="401"/>
      <c r="AJ13" s="401"/>
      <c r="AK13" s="401"/>
      <c r="AL13" s="401"/>
    </row>
    <row r="14" spans="1:38" s="154" customFormat="1" ht="20.100000000000001" customHeight="1">
      <c r="A14" s="402" t="s">
        <v>1049</v>
      </c>
      <c r="B14" s="393">
        <v>8</v>
      </c>
      <c r="C14" s="394" t="s">
        <v>1056</v>
      </c>
      <c r="D14" s="393">
        <v>33</v>
      </c>
      <c r="E14" s="393"/>
      <c r="F14" s="393"/>
      <c r="G14" s="395">
        <v>45913</v>
      </c>
      <c r="H14" s="396"/>
      <c r="I14" s="393"/>
      <c r="J14" s="393"/>
      <c r="K14" s="393"/>
      <c r="L14" s="393" t="s">
        <v>154</v>
      </c>
      <c r="M14" s="382" t="s">
        <v>1057</v>
      </c>
      <c r="N14" s="393"/>
      <c r="O14" s="393"/>
      <c r="P14" s="396"/>
      <c r="Q14" s="393"/>
      <c r="R14" s="393"/>
      <c r="S14" s="393"/>
      <c r="T14" s="393"/>
      <c r="U14" s="397"/>
      <c r="V14" s="393"/>
      <c r="W14" s="393"/>
      <c r="X14" s="393" t="s">
        <v>1053</v>
      </c>
      <c r="Y14" s="397"/>
      <c r="Z14" s="393" t="s">
        <v>1012</v>
      </c>
      <c r="AA14" s="393"/>
      <c r="AB14" s="401"/>
      <c r="AC14" s="401"/>
      <c r="AD14" s="401"/>
      <c r="AE14" s="401"/>
      <c r="AF14" s="401"/>
      <c r="AG14" s="401"/>
      <c r="AH14" s="401"/>
      <c r="AI14" s="401"/>
      <c r="AJ14" s="401"/>
      <c r="AK14" s="401"/>
      <c r="AL14" s="401"/>
    </row>
    <row r="15" spans="1:38" s="154" customFormat="1" ht="20.100000000000001" customHeight="1">
      <c r="A15" s="402" t="s">
        <v>1049</v>
      </c>
      <c r="B15" s="393">
        <v>9</v>
      </c>
      <c r="C15" s="394" t="s">
        <v>1056</v>
      </c>
      <c r="D15" s="393">
        <v>33</v>
      </c>
      <c r="E15" s="393"/>
      <c r="F15" s="393"/>
      <c r="G15" s="395">
        <v>45913</v>
      </c>
      <c r="H15" s="396"/>
      <c r="I15" s="393"/>
      <c r="J15" s="393"/>
      <c r="K15" s="393"/>
      <c r="L15" s="393" t="s">
        <v>154</v>
      </c>
      <c r="M15" s="382" t="s">
        <v>1057</v>
      </c>
      <c r="N15" s="393"/>
      <c r="O15" s="393"/>
      <c r="P15" s="396"/>
      <c r="Q15" s="393"/>
      <c r="R15" s="393"/>
      <c r="S15" s="393"/>
      <c r="T15" s="393"/>
      <c r="U15" s="397"/>
      <c r="V15" s="393"/>
      <c r="W15" s="393"/>
      <c r="X15" s="393" t="s">
        <v>1053</v>
      </c>
      <c r="Y15" s="397"/>
      <c r="Z15" s="393" t="s">
        <v>1012</v>
      </c>
      <c r="AA15" s="393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</row>
    <row r="16" spans="1:38" s="154" customFormat="1" ht="20.100000000000001" customHeight="1">
      <c r="A16" s="402" t="s">
        <v>1049</v>
      </c>
      <c r="B16" s="393">
        <v>10</v>
      </c>
      <c r="C16" s="394" t="s">
        <v>1056</v>
      </c>
      <c r="D16" s="393">
        <v>33</v>
      </c>
      <c r="E16" s="393"/>
      <c r="F16" s="393"/>
      <c r="G16" s="395">
        <v>45913</v>
      </c>
      <c r="H16" s="396"/>
      <c r="I16" s="393"/>
      <c r="J16" s="393"/>
      <c r="K16" s="393"/>
      <c r="L16" s="393" t="s">
        <v>154</v>
      </c>
      <c r="M16" s="382" t="s">
        <v>1057</v>
      </c>
      <c r="N16" s="393"/>
      <c r="O16" s="393"/>
      <c r="P16" s="396"/>
      <c r="Q16" s="393"/>
      <c r="R16" s="393"/>
      <c r="S16" s="393"/>
      <c r="T16" s="393"/>
      <c r="U16" s="397"/>
      <c r="V16" s="393"/>
      <c r="W16" s="393"/>
      <c r="X16" s="393" t="s">
        <v>1053</v>
      </c>
      <c r="Y16" s="397"/>
      <c r="Z16" s="393" t="s">
        <v>1012</v>
      </c>
      <c r="AA16" s="393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</row>
    <row r="17" spans="1:38" s="154" customFormat="1" ht="20.100000000000001" customHeight="1">
      <c r="A17" s="402" t="s">
        <v>1049</v>
      </c>
      <c r="B17" s="393">
        <v>11</v>
      </c>
      <c r="C17" s="394" t="s">
        <v>1056</v>
      </c>
      <c r="D17" s="393">
        <v>33</v>
      </c>
      <c r="E17" s="393"/>
      <c r="F17" s="393"/>
      <c r="G17" s="395">
        <v>45913</v>
      </c>
      <c r="H17" s="396"/>
      <c r="I17" s="393"/>
      <c r="J17" s="393"/>
      <c r="K17" s="393"/>
      <c r="L17" s="393" t="s">
        <v>154</v>
      </c>
      <c r="M17" s="382" t="s">
        <v>1057</v>
      </c>
      <c r="N17" s="393"/>
      <c r="O17" s="393"/>
      <c r="P17" s="396"/>
      <c r="Q17" s="393"/>
      <c r="R17" s="393"/>
      <c r="S17" s="393"/>
      <c r="T17" s="393"/>
      <c r="U17" s="397"/>
      <c r="V17" s="393"/>
      <c r="W17" s="393"/>
      <c r="X17" s="393" t="s">
        <v>1053</v>
      </c>
      <c r="Y17" s="397"/>
      <c r="Z17" s="393" t="s">
        <v>1012</v>
      </c>
      <c r="AA17" s="393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</row>
    <row r="18" spans="1:38" s="154" customFormat="1" ht="20.100000000000001" customHeight="1">
      <c r="A18" s="402" t="s">
        <v>1049</v>
      </c>
      <c r="B18" s="393">
        <v>12</v>
      </c>
      <c r="C18" s="394" t="s">
        <v>1056</v>
      </c>
      <c r="D18" s="393">
        <v>33</v>
      </c>
      <c r="E18" s="393"/>
      <c r="F18" s="393"/>
      <c r="G18" s="395">
        <v>45913</v>
      </c>
      <c r="H18" s="396"/>
      <c r="I18" s="393"/>
      <c r="J18" s="393"/>
      <c r="K18" s="393"/>
      <c r="L18" s="393" t="s">
        <v>154</v>
      </c>
      <c r="M18" s="382" t="s">
        <v>1057</v>
      </c>
      <c r="N18" s="393"/>
      <c r="O18" s="393"/>
      <c r="P18" s="396"/>
      <c r="Q18" s="393"/>
      <c r="R18" s="393"/>
      <c r="S18" s="393"/>
      <c r="T18" s="393"/>
      <c r="U18" s="397"/>
      <c r="V18" s="393"/>
      <c r="W18" s="393"/>
      <c r="X18" s="393" t="s">
        <v>1053</v>
      </c>
      <c r="Y18" s="397"/>
      <c r="Z18" s="393" t="s">
        <v>1012</v>
      </c>
      <c r="AA18" s="393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</row>
    <row r="19" spans="1:38" s="154" customFormat="1" ht="20.100000000000001" customHeight="1">
      <c r="A19" s="402" t="s">
        <v>1049</v>
      </c>
      <c r="B19" s="393">
        <v>13</v>
      </c>
      <c r="C19" s="394" t="s">
        <v>1056</v>
      </c>
      <c r="D19" s="393">
        <v>33</v>
      </c>
      <c r="E19" s="393"/>
      <c r="F19" s="393"/>
      <c r="G19" s="395">
        <v>45913</v>
      </c>
      <c r="H19" s="396"/>
      <c r="I19" s="393"/>
      <c r="J19" s="393"/>
      <c r="K19" s="393"/>
      <c r="L19" s="393" t="s">
        <v>154</v>
      </c>
      <c r="M19" s="382" t="s">
        <v>1057</v>
      </c>
      <c r="N19" s="393"/>
      <c r="O19" s="393"/>
      <c r="P19" s="396"/>
      <c r="Q19" s="393"/>
      <c r="R19" s="393"/>
      <c r="S19" s="393"/>
      <c r="T19" s="393"/>
      <c r="U19" s="397"/>
      <c r="V19" s="393"/>
      <c r="W19" s="393"/>
      <c r="X19" s="393" t="s">
        <v>1053</v>
      </c>
      <c r="Y19" s="397"/>
      <c r="Z19" s="393" t="s">
        <v>1012</v>
      </c>
      <c r="AA19" s="393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</row>
    <row r="20" spans="1:38" s="154" customFormat="1" ht="20.100000000000001" customHeight="1">
      <c r="A20" s="402" t="s">
        <v>1049</v>
      </c>
      <c r="B20" s="393">
        <v>14</v>
      </c>
      <c r="C20" s="394" t="s">
        <v>1056</v>
      </c>
      <c r="D20" s="393">
        <v>33</v>
      </c>
      <c r="E20" s="393"/>
      <c r="F20" s="393"/>
      <c r="G20" s="395">
        <v>45913</v>
      </c>
      <c r="H20" s="396"/>
      <c r="I20" s="393"/>
      <c r="J20" s="393"/>
      <c r="K20" s="393"/>
      <c r="L20" s="393" t="s">
        <v>154</v>
      </c>
      <c r="M20" s="382" t="s">
        <v>1057</v>
      </c>
      <c r="N20" s="393"/>
      <c r="O20" s="393"/>
      <c r="P20" s="396"/>
      <c r="Q20" s="393"/>
      <c r="R20" s="393"/>
      <c r="S20" s="393"/>
      <c r="T20" s="393"/>
      <c r="U20" s="397"/>
      <c r="V20" s="393"/>
      <c r="W20" s="393"/>
      <c r="X20" s="393" t="s">
        <v>1053</v>
      </c>
      <c r="Y20" s="397"/>
      <c r="Z20" s="393" t="s">
        <v>1012</v>
      </c>
      <c r="AA20" s="393"/>
      <c r="AB20" s="401"/>
      <c r="AC20" s="401"/>
      <c r="AD20" s="401"/>
      <c r="AE20" s="401"/>
      <c r="AF20" s="401"/>
      <c r="AG20" s="401"/>
      <c r="AH20" s="401"/>
      <c r="AI20" s="401"/>
      <c r="AJ20" s="401"/>
      <c r="AK20" s="401"/>
      <c r="AL20" s="401"/>
    </row>
    <row r="21" spans="1:38" s="154" customFormat="1" ht="20.100000000000001" customHeight="1">
      <c r="A21" s="392" t="s">
        <v>1058</v>
      </c>
      <c r="B21" s="393">
        <v>1</v>
      </c>
      <c r="C21" s="394" t="s">
        <v>1050</v>
      </c>
      <c r="D21" s="393">
        <v>168</v>
      </c>
      <c r="E21" s="393"/>
      <c r="F21" s="393" t="s">
        <v>1059</v>
      </c>
      <c r="G21" s="395">
        <v>45902</v>
      </c>
      <c r="H21" s="396" t="s">
        <v>154</v>
      </c>
      <c r="I21" s="393" t="s">
        <v>1060</v>
      </c>
      <c r="J21" s="393"/>
      <c r="K21" s="393"/>
      <c r="L21" s="393"/>
      <c r="M21" s="393"/>
      <c r="N21" s="393"/>
      <c r="O21" s="393"/>
      <c r="P21" s="396"/>
      <c r="Q21" s="393"/>
      <c r="R21" s="393"/>
      <c r="S21" s="393"/>
      <c r="T21" s="393"/>
      <c r="U21" s="393"/>
      <c r="V21" s="393"/>
      <c r="W21" s="393"/>
      <c r="X21" s="393" t="s">
        <v>1053</v>
      </c>
      <c r="Y21" s="397">
        <v>1</v>
      </c>
      <c r="Z21" s="393" t="s">
        <v>1012</v>
      </c>
      <c r="AA21" s="393"/>
      <c r="AB21" s="401"/>
      <c r="AC21" s="401"/>
      <c r="AD21" s="401"/>
      <c r="AE21" s="401"/>
      <c r="AF21" s="401"/>
      <c r="AG21" s="401"/>
      <c r="AH21" s="401"/>
      <c r="AI21" s="401"/>
      <c r="AJ21" s="401"/>
      <c r="AK21" s="401"/>
      <c r="AL21" s="401"/>
    </row>
    <row r="22" spans="1:38" s="154" customFormat="1" ht="20.100000000000001" customHeight="1">
      <c r="A22" s="402" t="s">
        <v>1058</v>
      </c>
      <c r="B22" s="393">
        <v>2</v>
      </c>
      <c r="C22" s="394" t="s">
        <v>1050</v>
      </c>
      <c r="D22" s="393">
        <v>168</v>
      </c>
      <c r="E22" s="393"/>
      <c r="F22" s="393" t="s">
        <v>1059</v>
      </c>
      <c r="G22" s="395">
        <v>45902</v>
      </c>
      <c r="H22" s="396" t="s">
        <v>154</v>
      </c>
      <c r="I22" s="393" t="s">
        <v>1060</v>
      </c>
      <c r="J22" s="393"/>
      <c r="K22" s="393"/>
      <c r="L22" s="393"/>
      <c r="M22" s="393"/>
      <c r="N22" s="393"/>
      <c r="O22" s="393"/>
      <c r="P22" s="396"/>
      <c r="Q22" s="393"/>
      <c r="R22" s="393"/>
      <c r="S22" s="393"/>
      <c r="T22" s="393"/>
      <c r="U22" s="393"/>
      <c r="V22" s="393"/>
      <c r="W22" s="393"/>
      <c r="X22" s="393" t="s">
        <v>1053</v>
      </c>
      <c r="Y22" s="397">
        <v>1</v>
      </c>
      <c r="Z22" s="393" t="s">
        <v>1012</v>
      </c>
      <c r="AA22" s="393"/>
      <c r="AB22" s="401"/>
      <c r="AC22" s="401"/>
      <c r="AD22" s="401"/>
      <c r="AE22" s="401"/>
      <c r="AF22" s="401"/>
      <c r="AG22" s="401"/>
      <c r="AH22" s="401"/>
      <c r="AI22" s="401"/>
      <c r="AJ22" s="401"/>
      <c r="AK22" s="401"/>
      <c r="AL22" s="401"/>
    </row>
    <row r="23" spans="1:38" s="154" customFormat="1" ht="20.100000000000001" customHeight="1">
      <c r="A23" s="402" t="s">
        <v>1058</v>
      </c>
      <c r="B23" s="393">
        <v>3</v>
      </c>
      <c r="C23" s="394" t="s">
        <v>1054</v>
      </c>
      <c r="D23" s="393">
        <v>168</v>
      </c>
      <c r="E23" s="393"/>
      <c r="F23" s="393" t="s">
        <v>1059</v>
      </c>
      <c r="G23" s="395">
        <v>45912</v>
      </c>
      <c r="H23" s="396" t="s">
        <v>154</v>
      </c>
      <c r="I23" s="393" t="s">
        <v>1061</v>
      </c>
      <c r="J23" s="450"/>
      <c r="K23" s="450"/>
      <c r="L23" s="393"/>
      <c r="M23" s="393"/>
      <c r="N23" s="393"/>
      <c r="O23" s="393"/>
      <c r="P23" s="396"/>
      <c r="Q23" s="393"/>
      <c r="R23" s="393"/>
      <c r="S23" s="393"/>
      <c r="T23" s="393"/>
      <c r="U23" s="393"/>
      <c r="V23" s="393"/>
      <c r="W23" s="393"/>
      <c r="X23" s="393" t="s">
        <v>1053</v>
      </c>
      <c r="Y23" s="397">
        <v>1</v>
      </c>
      <c r="Z23" s="393" t="s">
        <v>1012</v>
      </c>
      <c r="AA23" s="393"/>
      <c r="AB23" s="401"/>
      <c r="AC23" s="401"/>
      <c r="AD23" s="401"/>
      <c r="AE23" s="401"/>
      <c r="AF23" s="401"/>
      <c r="AG23" s="401"/>
      <c r="AH23" s="401"/>
      <c r="AI23" s="401"/>
      <c r="AJ23" s="401"/>
      <c r="AK23" s="401"/>
      <c r="AL23" s="401"/>
    </row>
    <row r="24" spans="1:38" s="154" customFormat="1" ht="20.100000000000001" customHeight="1">
      <c r="A24" s="402" t="s">
        <v>1058</v>
      </c>
      <c r="B24" s="393">
        <v>4</v>
      </c>
      <c r="C24" s="394" t="s">
        <v>1050</v>
      </c>
      <c r="D24" s="393">
        <v>168</v>
      </c>
      <c r="E24" s="393"/>
      <c r="F24" s="393" t="s">
        <v>1059</v>
      </c>
      <c r="G24" s="395">
        <v>45902</v>
      </c>
      <c r="H24" s="396" t="s">
        <v>154</v>
      </c>
      <c r="I24" s="393" t="s">
        <v>1060</v>
      </c>
      <c r="J24" s="393"/>
      <c r="K24" s="393"/>
      <c r="L24" s="393"/>
      <c r="M24" s="393"/>
      <c r="N24" s="393"/>
      <c r="O24" s="393"/>
      <c r="P24" s="396"/>
      <c r="Q24" s="393"/>
      <c r="R24" s="393"/>
      <c r="S24" s="393"/>
      <c r="T24" s="393"/>
      <c r="U24" s="393"/>
      <c r="V24" s="393"/>
      <c r="W24" s="393"/>
      <c r="X24" s="393" t="s">
        <v>1053</v>
      </c>
      <c r="Y24" s="397">
        <v>1</v>
      </c>
      <c r="Z24" s="393" t="s">
        <v>1012</v>
      </c>
      <c r="AA24" s="393"/>
      <c r="AB24" s="401"/>
      <c r="AC24" s="401"/>
      <c r="AD24" s="401"/>
      <c r="AE24" s="401"/>
      <c r="AF24" s="401"/>
      <c r="AG24" s="401"/>
      <c r="AH24" s="401"/>
      <c r="AI24" s="401"/>
      <c r="AJ24" s="401"/>
      <c r="AK24" s="401"/>
      <c r="AL24" s="401"/>
    </row>
    <row r="25" spans="1:38" s="154" customFormat="1" ht="20.100000000000001" customHeight="1">
      <c r="A25" s="402" t="s">
        <v>1058</v>
      </c>
      <c r="B25" s="393">
        <v>5</v>
      </c>
      <c r="C25" s="394" t="s">
        <v>1054</v>
      </c>
      <c r="D25" s="393">
        <v>168</v>
      </c>
      <c r="E25" s="393"/>
      <c r="F25" s="393" t="s">
        <v>1059</v>
      </c>
      <c r="G25" s="395">
        <v>45912</v>
      </c>
      <c r="H25" s="396" t="s">
        <v>154</v>
      </c>
      <c r="I25" s="393" t="s">
        <v>1061</v>
      </c>
      <c r="J25" s="450"/>
      <c r="K25" s="450"/>
      <c r="L25" s="393"/>
      <c r="M25" s="393"/>
      <c r="N25" s="393"/>
      <c r="O25" s="393"/>
      <c r="P25" s="396"/>
      <c r="Q25" s="393"/>
      <c r="R25" s="393"/>
      <c r="S25" s="393"/>
      <c r="T25" s="393"/>
      <c r="U25" s="393"/>
      <c r="V25" s="393"/>
      <c r="W25" s="393"/>
      <c r="X25" s="393" t="s">
        <v>1053</v>
      </c>
      <c r="Y25" s="397">
        <v>1</v>
      </c>
      <c r="Z25" s="393" t="s">
        <v>1012</v>
      </c>
      <c r="AA25" s="393"/>
      <c r="AB25" s="401"/>
      <c r="AC25" s="401"/>
      <c r="AD25" s="401"/>
      <c r="AE25" s="401"/>
      <c r="AF25" s="401"/>
      <c r="AG25" s="401"/>
      <c r="AH25" s="401"/>
      <c r="AI25" s="401"/>
      <c r="AJ25" s="401"/>
      <c r="AK25" s="401"/>
      <c r="AL25" s="401"/>
    </row>
    <row r="26" spans="1:38" s="154" customFormat="1" ht="20.100000000000001" customHeight="1">
      <c r="A26" s="402" t="s">
        <v>1058</v>
      </c>
      <c r="B26" s="393">
        <v>6</v>
      </c>
      <c r="C26" s="394" t="s">
        <v>1054</v>
      </c>
      <c r="D26" s="393">
        <v>168</v>
      </c>
      <c r="E26" s="393"/>
      <c r="F26" s="393" t="s">
        <v>1059</v>
      </c>
      <c r="G26" s="395">
        <v>45912</v>
      </c>
      <c r="H26" s="396" t="s">
        <v>154</v>
      </c>
      <c r="I26" s="393" t="s">
        <v>1061</v>
      </c>
      <c r="J26" s="450"/>
      <c r="K26" s="450"/>
      <c r="L26" s="393"/>
      <c r="M26" s="393"/>
      <c r="N26" s="393"/>
      <c r="O26" s="393"/>
      <c r="P26" s="396"/>
      <c r="Q26" s="393"/>
      <c r="R26" s="393"/>
      <c r="S26" s="393"/>
      <c r="T26" s="393"/>
      <c r="U26" s="393"/>
      <c r="V26" s="393"/>
      <c r="W26" s="393"/>
      <c r="X26" s="393" t="s">
        <v>1053</v>
      </c>
      <c r="Y26" s="397">
        <v>1</v>
      </c>
      <c r="Z26" s="393" t="s">
        <v>1012</v>
      </c>
      <c r="AA26" s="393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</row>
    <row r="27" spans="1:38" s="154" customFormat="1" ht="20.100000000000001" customHeight="1">
      <c r="A27" s="392" t="s">
        <v>1062</v>
      </c>
      <c r="B27" s="393">
        <v>1</v>
      </c>
      <c r="C27" s="394" t="s">
        <v>1054</v>
      </c>
      <c r="D27" s="393">
        <v>219</v>
      </c>
      <c r="E27" s="393"/>
      <c r="F27" s="393" t="s">
        <v>1063</v>
      </c>
      <c r="G27" s="395">
        <v>45913</v>
      </c>
      <c r="H27" s="396" t="s">
        <v>154</v>
      </c>
      <c r="I27" s="393" t="s">
        <v>1064</v>
      </c>
      <c r="J27" s="450"/>
      <c r="K27" s="450"/>
      <c r="L27" s="393"/>
      <c r="M27" s="393"/>
      <c r="N27" s="393"/>
      <c r="O27" s="393"/>
      <c r="P27" s="396"/>
      <c r="Q27" s="393"/>
      <c r="R27" s="393"/>
      <c r="S27" s="393"/>
      <c r="T27" s="393"/>
      <c r="U27" s="393"/>
      <c r="V27" s="393"/>
      <c r="W27" s="393"/>
      <c r="X27" s="393" t="s">
        <v>1053</v>
      </c>
      <c r="Y27" s="397">
        <v>1</v>
      </c>
      <c r="Z27" s="393" t="s">
        <v>1012</v>
      </c>
      <c r="AA27" s="393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</row>
    <row r="28" spans="1:38" s="154" customFormat="1" ht="20.100000000000001" customHeight="1">
      <c r="A28" s="402" t="s">
        <v>1062</v>
      </c>
      <c r="B28" s="393">
        <v>2</v>
      </c>
      <c r="C28" s="394" t="s">
        <v>1050</v>
      </c>
      <c r="D28" s="393">
        <v>219</v>
      </c>
      <c r="E28" s="393"/>
      <c r="F28" s="393" t="s">
        <v>1063</v>
      </c>
      <c r="G28" s="395">
        <v>45900</v>
      </c>
      <c r="H28" s="396" t="s">
        <v>154</v>
      </c>
      <c r="I28" s="393" t="s">
        <v>1065</v>
      </c>
      <c r="J28" s="393"/>
      <c r="K28" s="393"/>
      <c r="L28" s="393"/>
      <c r="M28" s="393"/>
      <c r="N28" s="393"/>
      <c r="O28" s="393"/>
      <c r="P28" s="396"/>
      <c r="Q28" s="393"/>
      <c r="R28" s="393"/>
      <c r="S28" s="393"/>
      <c r="T28" s="393"/>
      <c r="U28" s="393"/>
      <c r="V28" s="393"/>
      <c r="W28" s="393"/>
      <c r="X28" s="393" t="s">
        <v>1053</v>
      </c>
      <c r="Y28" s="397">
        <v>1</v>
      </c>
      <c r="Z28" s="393" t="s">
        <v>1012</v>
      </c>
      <c r="AA28" s="393"/>
      <c r="AB28" s="401"/>
      <c r="AC28" s="401"/>
      <c r="AD28" s="401"/>
      <c r="AE28" s="401"/>
      <c r="AF28" s="401"/>
      <c r="AG28" s="401"/>
      <c r="AH28" s="401"/>
      <c r="AI28" s="401"/>
      <c r="AJ28" s="401"/>
      <c r="AK28" s="401"/>
      <c r="AL28" s="401"/>
    </row>
    <row r="29" spans="1:38" s="154" customFormat="1" ht="20.100000000000001" customHeight="1">
      <c r="A29" s="402" t="s">
        <v>1062</v>
      </c>
      <c r="B29" s="393">
        <v>3</v>
      </c>
      <c r="C29" s="394" t="s">
        <v>1050</v>
      </c>
      <c r="D29" s="393">
        <v>219</v>
      </c>
      <c r="E29" s="393"/>
      <c r="F29" s="393" t="s">
        <v>1063</v>
      </c>
      <c r="G29" s="395">
        <v>45901</v>
      </c>
      <c r="H29" s="396" t="s">
        <v>154</v>
      </c>
      <c r="I29" s="393" t="s">
        <v>1066</v>
      </c>
      <c r="J29" s="393"/>
      <c r="K29" s="393"/>
      <c r="L29" s="393"/>
      <c r="M29" s="393"/>
      <c r="N29" s="393"/>
      <c r="O29" s="393"/>
      <c r="P29" s="396"/>
      <c r="Q29" s="393"/>
      <c r="R29" s="393"/>
      <c r="S29" s="393"/>
      <c r="T29" s="393"/>
      <c r="U29" s="393"/>
      <c r="V29" s="393"/>
      <c r="W29" s="393"/>
      <c r="X29" s="393" t="s">
        <v>1053</v>
      </c>
      <c r="Y29" s="397">
        <v>1</v>
      </c>
      <c r="Z29" s="393" t="s">
        <v>1012</v>
      </c>
      <c r="AA29" s="393"/>
      <c r="AB29" s="401"/>
      <c r="AC29" s="401"/>
      <c r="AD29" s="401"/>
      <c r="AE29" s="401"/>
      <c r="AF29" s="401"/>
      <c r="AG29" s="401"/>
      <c r="AH29" s="401"/>
      <c r="AI29" s="401"/>
      <c r="AJ29" s="401"/>
      <c r="AK29" s="401"/>
      <c r="AL29" s="401"/>
    </row>
    <row r="30" spans="1:38" s="154" customFormat="1" ht="20.100000000000001" customHeight="1">
      <c r="A30" s="402" t="s">
        <v>1062</v>
      </c>
      <c r="B30" s="393">
        <v>4</v>
      </c>
      <c r="C30" s="394" t="s">
        <v>1050</v>
      </c>
      <c r="D30" s="393">
        <v>219</v>
      </c>
      <c r="E30" s="393"/>
      <c r="F30" s="393" t="s">
        <v>1063</v>
      </c>
      <c r="G30" s="395">
        <v>45902</v>
      </c>
      <c r="H30" s="396" t="s">
        <v>154</v>
      </c>
      <c r="I30" s="393" t="s">
        <v>1067</v>
      </c>
      <c r="J30" s="393"/>
      <c r="K30" s="393"/>
      <c r="L30" s="393"/>
      <c r="M30" s="393"/>
      <c r="N30" s="393"/>
      <c r="O30" s="393"/>
      <c r="P30" s="396"/>
      <c r="Q30" s="393"/>
      <c r="R30" s="393"/>
      <c r="S30" s="393"/>
      <c r="T30" s="393"/>
      <c r="U30" s="393"/>
      <c r="V30" s="393"/>
      <c r="W30" s="393"/>
      <c r="X30" s="393" t="s">
        <v>1053</v>
      </c>
      <c r="Y30" s="397">
        <v>1</v>
      </c>
      <c r="Z30" s="393" t="s">
        <v>1012</v>
      </c>
      <c r="AA30" s="393"/>
      <c r="AB30" s="401"/>
      <c r="AC30" s="401"/>
      <c r="AD30" s="401"/>
      <c r="AE30" s="401"/>
      <c r="AF30" s="401"/>
      <c r="AG30" s="401"/>
      <c r="AH30" s="401"/>
      <c r="AI30" s="401"/>
      <c r="AJ30" s="401"/>
      <c r="AK30" s="401"/>
      <c r="AL30" s="401"/>
    </row>
    <row r="31" spans="1:38" s="154" customFormat="1" ht="20.100000000000001" customHeight="1">
      <c r="A31" s="392" t="s">
        <v>1068</v>
      </c>
      <c r="B31" s="393">
        <v>1</v>
      </c>
      <c r="C31" s="394" t="s">
        <v>1054</v>
      </c>
      <c r="D31" s="393">
        <v>60</v>
      </c>
      <c r="E31" s="393"/>
      <c r="F31" s="393" t="s">
        <v>1069</v>
      </c>
      <c r="G31" s="395">
        <v>45911</v>
      </c>
      <c r="H31" s="396" t="s">
        <v>154</v>
      </c>
      <c r="I31" s="393" t="s">
        <v>1070</v>
      </c>
      <c r="J31" s="393"/>
      <c r="K31" s="393"/>
      <c r="L31" s="393"/>
      <c r="M31" s="393"/>
      <c r="N31" s="393"/>
      <c r="O31" s="393"/>
      <c r="P31" s="396"/>
      <c r="Q31" s="393"/>
      <c r="R31" s="393"/>
      <c r="S31" s="393"/>
      <c r="T31" s="393"/>
      <c r="U31" s="393"/>
      <c r="V31" s="393"/>
      <c r="W31" s="393"/>
      <c r="X31" s="393" t="s">
        <v>1053</v>
      </c>
      <c r="Y31" s="397">
        <v>1</v>
      </c>
      <c r="Z31" s="393" t="s">
        <v>1012</v>
      </c>
      <c r="AA31" s="393"/>
      <c r="AB31" s="401"/>
      <c r="AC31" s="401"/>
      <c r="AD31" s="401"/>
      <c r="AE31" s="401"/>
      <c r="AF31" s="401"/>
      <c r="AG31" s="401"/>
      <c r="AH31" s="401"/>
      <c r="AI31" s="401"/>
      <c r="AJ31" s="401"/>
      <c r="AK31" s="401"/>
      <c r="AL31" s="401"/>
    </row>
    <row r="32" spans="1:38" s="154" customFormat="1" ht="20.100000000000001" customHeight="1">
      <c r="A32" s="402" t="s">
        <v>1068</v>
      </c>
      <c r="B32" s="393">
        <v>2</v>
      </c>
      <c r="C32" s="394" t="s">
        <v>1050</v>
      </c>
      <c r="D32" s="393">
        <v>60</v>
      </c>
      <c r="E32" s="393"/>
      <c r="F32" s="393" t="s">
        <v>1069</v>
      </c>
      <c r="G32" s="395">
        <v>45901</v>
      </c>
      <c r="H32" s="396" t="s">
        <v>154</v>
      </c>
      <c r="I32" s="393" t="s">
        <v>1071</v>
      </c>
      <c r="J32" s="393"/>
      <c r="K32" s="393"/>
      <c r="L32" s="393"/>
      <c r="M32" s="393"/>
      <c r="N32" s="393"/>
      <c r="O32" s="393"/>
      <c r="P32" s="396"/>
      <c r="Q32" s="393"/>
      <c r="R32" s="393"/>
      <c r="S32" s="393"/>
      <c r="T32" s="393"/>
      <c r="U32" s="393"/>
      <c r="V32" s="393"/>
      <c r="W32" s="393"/>
      <c r="X32" s="393" t="s">
        <v>1053</v>
      </c>
      <c r="Y32" s="397">
        <v>1</v>
      </c>
      <c r="Z32" s="393" t="s">
        <v>1012</v>
      </c>
      <c r="AA32" s="393"/>
      <c r="AB32" s="401"/>
      <c r="AC32" s="401"/>
      <c r="AD32" s="401"/>
      <c r="AE32" s="401"/>
      <c r="AF32" s="401"/>
      <c r="AG32" s="401"/>
      <c r="AH32" s="401"/>
      <c r="AI32" s="401"/>
      <c r="AJ32" s="401"/>
      <c r="AK32" s="401"/>
      <c r="AL32" s="401"/>
    </row>
    <row r="33" spans="1:38" s="154" customFormat="1" ht="20.100000000000001" customHeight="1">
      <c r="A33" s="402" t="s">
        <v>1068</v>
      </c>
      <c r="B33" s="393">
        <v>3</v>
      </c>
      <c r="C33" s="394" t="s">
        <v>1054</v>
      </c>
      <c r="D33" s="393">
        <v>60</v>
      </c>
      <c r="E33" s="393"/>
      <c r="F33" s="393" t="s">
        <v>1069</v>
      </c>
      <c r="G33" s="395">
        <v>45911</v>
      </c>
      <c r="H33" s="396" t="s">
        <v>154</v>
      </c>
      <c r="I33" s="393" t="s">
        <v>1070</v>
      </c>
      <c r="J33" s="393"/>
      <c r="K33" s="393"/>
      <c r="L33" s="393"/>
      <c r="M33" s="393"/>
      <c r="N33" s="393"/>
      <c r="O33" s="393"/>
      <c r="P33" s="396"/>
      <c r="Q33" s="393"/>
      <c r="R33" s="393"/>
      <c r="S33" s="393"/>
      <c r="T33" s="393"/>
      <c r="U33" s="393"/>
      <c r="V33" s="393"/>
      <c r="W33" s="393"/>
      <c r="X33" s="393" t="s">
        <v>1053</v>
      </c>
      <c r="Y33" s="397">
        <v>1</v>
      </c>
      <c r="Z33" s="393" t="s">
        <v>1012</v>
      </c>
      <c r="AA33" s="393"/>
      <c r="AB33" s="401"/>
      <c r="AC33" s="401"/>
      <c r="AD33" s="401"/>
      <c r="AE33" s="401"/>
      <c r="AF33" s="401"/>
      <c r="AG33" s="401"/>
      <c r="AH33" s="401"/>
      <c r="AI33" s="401"/>
      <c r="AJ33" s="401"/>
      <c r="AK33" s="401"/>
      <c r="AL33" s="401"/>
    </row>
    <row r="34" spans="1:38" s="154" customFormat="1" ht="20.100000000000001" customHeight="1">
      <c r="A34" s="402" t="s">
        <v>1068</v>
      </c>
      <c r="B34" s="393">
        <v>4</v>
      </c>
      <c r="C34" s="394" t="s">
        <v>1050</v>
      </c>
      <c r="D34" s="393">
        <v>60</v>
      </c>
      <c r="E34" s="393"/>
      <c r="F34" s="393" t="s">
        <v>1069</v>
      </c>
      <c r="G34" s="395">
        <v>45901</v>
      </c>
      <c r="H34" s="396" t="s">
        <v>154</v>
      </c>
      <c r="I34" s="393" t="s">
        <v>1071</v>
      </c>
      <c r="J34" s="393"/>
      <c r="K34" s="393"/>
      <c r="L34" s="393"/>
      <c r="M34" s="393"/>
      <c r="N34" s="393"/>
      <c r="O34" s="393"/>
      <c r="P34" s="396"/>
      <c r="Q34" s="393"/>
      <c r="R34" s="393"/>
      <c r="S34" s="393"/>
      <c r="T34" s="393"/>
      <c r="U34" s="393"/>
      <c r="V34" s="393"/>
      <c r="W34" s="393"/>
      <c r="X34" s="393" t="s">
        <v>1053</v>
      </c>
      <c r="Y34" s="397">
        <v>1</v>
      </c>
      <c r="Z34" s="393" t="s">
        <v>1012</v>
      </c>
      <c r="AA34" s="393"/>
      <c r="AB34" s="401"/>
      <c r="AC34" s="401"/>
      <c r="AD34" s="401"/>
      <c r="AE34" s="401"/>
      <c r="AF34" s="401"/>
      <c r="AG34" s="401"/>
      <c r="AH34" s="401"/>
      <c r="AI34" s="401"/>
      <c r="AJ34" s="401"/>
      <c r="AK34" s="401"/>
      <c r="AL34" s="401"/>
    </row>
    <row r="35" spans="1:38" s="154" customFormat="1" ht="20.100000000000001" customHeight="1">
      <c r="A35" s="402" t="s">
        <v>1068</v>
      </c>
      <c r="B35" s="393">
        <v>5</v>
      </c>
      <c r="C35" s="394" t="s">
        <v>1050</v>
      </c>
      <c r="D35" s="393">
        <v>60</v>
      </c>
      <c r="E35" s="393"/>
      <c r="F35" s="393" t="s">
        <v>1069</v>
      </c>
      <c r="G35" s="395">
        <v>45901</v>
      </c>
      <c r="H35" s="396" t="s">
        <v>154</v>
      </c>
      <c r="I35" s="393" t="s">
        <v>1071</v>
      </c>
      <c r="J35" s="393"/>
      <c r="K35" s="393"/>
      <c r="L35" s="393"/>
      <c r="M35" s="393"/>
      <c r="N35" s="393"/>
      <c r="O35" s="393"/>
      <c r="P35" s="396"/>
      <c r="Q35" s="393"/>
      <c r="R35" s="393"/>
      <c r="S35" s="393"/>
      <c r="T35" s="393"/>
      <c r="U35" s="393"/>
      <c r="V35" s="393"/>
      <c r="W35" s="393"/>
      <c r="X35" s="393" t="s">
        <v>1053</v>
      </c>
      <c r="Y35" s="397">
        <v>1</v>
      </c>
      <c r="Z35" s="393" t="s">
        <v>1012</v>
      </c>
      <c r="AA35" s="393"/>
      <c r="AB35" s="401"/>
      <c r="AC35" s="401"/>
      <c r="AD35" s="401"/>
      <c r="AE35" s="401"/>
      <c r="AF35" s="401"/>
      <c r="AG35" s="401"/>
      <c r="AH35" s="401"/>
      <c r="AI35" s="401"/>
      <c r="AJ35" s="401"/>
      <c r="AK35" s="401"/>
      <c r="AL35" s="401"/>
    </row>
    <row r="36" spans="1:38" s="154" customFormat="1" ht="20.100000000000001" customHeight="1">
      <c r="A36" s="402" t="s">
        <v>1068</v>
      </c>
      <c r="B36" s="393">
        <v>6</v>
      </c>
      <c r="C36" s="394" t="s">
        <v>1050</v>
      </c>
      <c r="D36" s="393">
        <v>89</v>
      </c>
      <c r="E36" s="393"/>
      <c r="F36" s="393" t="s">
        <v>1015</v>
      </c>
      <c r="G36" s="395">
        <v>45901</v>
      </c>
      <c r="H36" s="396" t="s">
        <v>154</v>
      </c>
      <c r="I36" s="393" t="s">
        <v>1066</v>
      </c>
      <c r="J36" s="393"/>
      <c r="K36" s="393"/>
      <c r="L36" s="393"/>
      <c r="M36" s="393"/>
      <c r="N36" s="393"/>
      <c r="O36" s="393"/>
      <c r="P36" s="396"/>
      <c r="Q36" s="393"/>
      <c r="R36" s="393"/>
      <c r="S36" s="393"/>
      <c r="T36" s="393"/>
      <c r="U36" s="393"/>
      <c r="V36" s="393"/>
      <c r="W36" s="393"/>
      <c r="X36" s="393" t="s">
        <v>1053</v>
      </c>
      <c r="Y36" s="397">
        <v>1</v>
      </c>
      <c r="Z36" s="393" t="s">
        <v>1012</v>
      </c>
      <c r="AA36" s="393"/>
      <c r="AB36" s="401"/>
      <c r="AC36" s="401"/>
      <c r="AD36" s="401"/>
      <c r="AE36" s="401"/>
      <c r="AF36" s="401"/>
      <c r="AG36" s="401"/>
      <c r="AH36" s="401"/>
      <c r="AI36" s="401"/>
      <c r="AJ36" s="401"/>
      <c r="AK36" s="401"/>
      <c r="AL36" s="401"/>
    </row>
    <row r="37" spans="1:38" s="154" customFormat="1" ht="20.100000000000001" customHeight="1">
      <c r="A37" s="392" t="s">
        <v>1072</v>
      </c>
      <c r="B37" s="393">
        <v>1</v>
      </c>
      <c r="C37" s="394" t="s">
        <v>1054</v>
      </c>
      <c r="D37" s="393">
        <v>168</v>
      </c>
      <c r="E37" s="393"/>
      <c r="F37" s="393" t="s">
        <v>1059</v>
      </c>
      <c r="G37" s="395">
        <v>45912</v>
      </c>
      <c r="H37" s="396" t="s">
        <v>154</v>
      </c>
      <c r="I37" s="393" t="s">
        <v>1073</v>
      </c>
      <c r="J37" s="393"/>
      <c r="K37" s="393"/>
      <c r="L37" s="393"/>
      <c r="M37" s="393"/>
      <c r="N37" s="393"/>
      <c r="O37" s="393"/>
      <c r="P37" s="396"/>
      <c r="Q37" s="393"/>
      <c r="R37" s="393"/>
      <c r="S37" s="393"/>
      <c r="T37" s="393"/>
      <c r="U37" s="393"/>
      <c r="V37" s="393"/>
      <c r="W37" s="393"/>
      <c r="X37" s="393" t="s">
        <v>1053</v>
      </c>
      <c r="Y37" s="397">
        <v>1</v>
      </c>
      <c r="Z37" s="393" t="s">
        <v>1012</v>
      </c>
      <c r="AA37" s="393"/>
      <c r="AB37" s="401"/>
      <c r="AC37" s="401"/>
      <c r="AD37" s="401"/>
      <c r="AE37" s="401"/>
      <c r="AF37" s="401"/>
      <c r="AG37" s="401"/>
      <c r="AH37" s="401"/>
      <c r="AI37" s="401"/>
      <c r="AJ37" s="401"/>
      <c r="AK37" s="401"/>
      <c r="AL37" s="401"/>
    </row>
    <row r="38" spans="1:38" s="154" customFormat="1" ht="20.100000000000001" customHeight="1">
      <c r="A38" s="402" t="s">
        <v>1072</v>
      </c>
      <c r="B38" s="393">
        <v>2</v>
      </c>
      <c r="C38" s="394" t="s">
        <v>1054</v>
      </c>
      <c r="D38" s="393">
        <v>168</v>
      </c>
      <c r="E38" s="393"/>
      <c r="F38" s="393" t="s">
        <v>1059</v>
      </c>
      <c r="G38" s="395">
        <v>45912</v>
      </c>
      <c r="H38" s="396" t="s">
        <v>154</v>
      </c>
      <c r="I38" s="393" t="s">
        <v>1073</v>
      </c>
      <c r="J38" s="393"/>
      <c r="K38" s="393"/>
      <c r="L38" s="393"/>
      <c r="M38" s="393"/>
      <c r="N38" s="393"/>
      <c r="O38" s="393"/>
      <c r="P38" s="396"/>
      <c r="Q38" s="393"/>
      <c r="R38" s="393"/>
      <c r="S38" s="393"/>
      <c r="T38" s="393"/>
      <c r="U38" s="393"/>
      <c r="V38" s="393"/>
      <c r="W38" s="393"/>
      <c r="X38" s="393" t="s">
        <v>1053</v>
      </c>
      <c r="Y38" s="397">
        <v>1</v>
      </c>
      <c r="Z38" s="393" t="s">
        <v>1012</v>
      </c>
      <c r="AA38" s="393"/>
      <c r="AB38" s="401"/>
      <c r="AC38" s="401"/>
      <c r="AD38" s="401"/>
      <c r="AE38" s="401"/>
      <c r="AF38" s="401"/>
      <c r="AG38" s="401"/>
      <c r="AH38" s="401"/>
      <c r="AI38" s="401"/>
      <c r="AJ38" s="401"/>
      <c r="AK38" s="401"/>
      <c r="AL38" s="401"/>
    </row>
    <row r="39" spans="1:38" s="154" customFormat="1" ht="20.100000000000001" customHeight="1">
      <c r="A39" s="402" t="s">
        <v>1072</v>
      </c>
      <c r="B39" s="393">
        <v>3</v>
      </c>
      <c r="C39" s="394" t="s">
        <v>1050</v>
      </c>
      <c r="D39" s="393">
        <v>168</v>
      </c>
      <c r="E39" s="393"/>
      <c r="F39" s="393" t="s">
        <v>1059</v>
      </c>
      <c r="G39" s="395">
        <v>45901</v>
      </c>
      <c r="H39" s="396" t="s">
        <v>1013</v>
      </c>
      <c r="I39" s="393" t="s">
        <v>1066</v>
      </c>
      <c r="J39" s="393" t="s">
        <v>1074</v>
      </c>
      <c r="K39" s="393">
        <v>15</v>
      </c>
      <c r="L39" s="393"/>
      <c r="M39" s="393"/>
      <c r="N39" s="393"/>
      <c r="O39" s="393"/>
      <c r="P39" s="396"/>
      <c r="Q39" s="393"/>
      <c r="R39" s="393"/>
      <c r="S39" s="393"/>
      <c r="T39" s="393"/>
      <c r="U39" s="393"/>
      <c r="V39" s="393"/>
      <c r="W39" s="393"/>
      <c r="X39" s="393" t="s">
        <v>1053</v>
      </c>
      <c r="Y39" s="397">
        <v>1</v>
      </c>
      <c r="Z39" s="393" t="s">
        <v>1012</v>
      </c>
      <c r="AA39" s="393"/>
      <c r="AB39" s="401"/>
      <c r="AC39" s="401"/>
      <c r="AD39" s="401"/>
      <c r="AE39" s="401"/>
      <c r="AF39" s="401"/>
      <c r="AG39" s="401"/>
      <c r="AH39" s="401"/>
      <c r="AI39" s="401"/>
      <c r="AJ39" s="401"/>
      <c r="AK39" s="401"/>
      <c r="AL39" s="401"/>
    </row>
    <row r="40" spans="1:38" s="154" customFormat="1" ht="20.100000000000001" customHeight="1">
      <c r="A40" s="402" t="s">
        <v>1072</v>
      </c>
      <c r="B40" s="393" t="s">
        <v>327</v>
      </c>
      <c r="C40" s="394">
        <v>661</v>
      </c>
      <c r="D40" s="393">
        <v>168</v>
      </c>
      <c r="E40" s="393"/>
      <c r="F40" s="393" t="s">
        <v>1059</v>
      </c>
      <c r="G40" s="395">
        <v>45902</v>
      </c>
      <c r="H40" s="396" t="s">
        <v>154</v>
      </c>
      <c r="I40" s="393" t="s">
        <v>1075</v>
      </c>
      <c r="J40" s="393"/>
      <c r="K40" s="393"/>
      <c r="L40" s="393"/>
      <c r="M40" s="393"/>
      <c r="N40" s="393"/>
      <c r="O40" s="393"/>
      <c r="P40" s="396"/>
      <c r="Q40" s="393"/>
      <c r="R40" s="393"/>
      <c r="S40" s="393"/>
      <c r="T40" s="393"/>
      <c r="U40" s="393"/>
      <c r="V40" s="393"/>
      <c r="W40" s="393"/>
      <c r="X40" s="393" t="s">
        <v>1053</v>
      </c>
      <c r="Y40" s="397">
        <v>1</v>
      </c>
      <c r="Z40" s="393" t="s">
        <v>1012</v>
      </c>
      <c r="AA40" s="393"/>
      <c r="AB40" s="401"/>
      <c r="AC40" s="401"/>
      <c r="AD40" s="401"/>
      <c r="AE40" s="401"/>
      <c r="AF40" s="401"/>
      <c r="AG40" s="401"/>
      <c r="AH40" s="401"/>
      <c r="AI40" s="401"/>
      <c r="AJ40" s="401"/>
      <c r="AK40" s="401"/>
      <c r="AL40" s="401"/>
    </row>
    <row r="41" spans="1:38" s="154" customFormat="1" ht="20.100000000000001" customHeight="1">
      <c r="A41" s="402" t="s">
        <v>1072</v>
      </c>
      <c r="B41" s="393">
        <v>4</v>
      </c>
      <c r="C41" s="394" t="s">
        <v>1054</v>
      </c>
      <c r="D41" s="393">
        <v>168</v>
      </c>
      <c r="E41" s="393"/>
      <c r="F41" s="393" t="s">
        <v>1059</v>
      </c>
      <c r="G41" s="395">
        <v>45912</v>
      </c>
      <c r="H41" s="396" t="s">
        <v>154</v>
      </c>
      <c r="I41" s="393" t="s">
        <v>1073</v>
      </c>
      <c r="J41" s="393"/>
      <c r="K41" s="393"/>
      <c r="L41" s="393"/>
      <c r="M41" s="393"/>
      <c r="N41" s="393"/>
      <c r="O41" s="393"/>
      <c r="P41" s="396"/>
      <c r="Q41" s="393"/>
      <c r="R41" s="393"/>
      <c r="S41" s="393"/>
      <c r="T41" s="393"/>
      <c r="U41" s="393"/>
      <c r="V41" s="393"/>
      <c r="W41" s="393"/>
      <c r="X41" s="393" t="s">
        <v>1053</v>
      </c>
      <c r="Y41" s="397">
        <v>1</v>
      </c>
      <c r="Z41" s="393" t="s">
        <v>1012</v>
      </c>
      <c r="AA41" s="393"/>
      <c r="AB41" s="401"/>
      <c r="AC41" s="401"/>
      <c r="AD41" s="401"/>
      <c r="AE41" s="401"/>
      <c r="AF41" s="401"/>
      <c r="AG41" s="401"/>
      <c r="AH41" s="401"/>
      <c r="AI41" s="401"/>
      <c r="AJ41" s="401"/>
      <c r="AK41" s="401"/>
      <c r="AL41" s="401"/>
    </row>
    <row r="42" spans="1:38" s="154" customFormat="1" ht="20.100000000000001" customHeight="1">
      <c r="A42" s="402" t="s">
        <v>1072</v>
      </c>
      <c r="B42" s="393">
        <v>5</v>
      </c>
      <c r="C42" s="394" t="s">
        <v>1050</v>
      </c>
      <c r="D42" s="393">
        <v>168</v>
      </c>
      <c r="E42" s="393"/>
      <c r="F42" s="393" t="s">
        <v>1059</v>
      </c>
      <c r="G42" s="395">
        <v>45902</v>
      </c>
      <c r="H42" s="396" t="s">
        <v>154</v>
      </c>
      <c r="I42" s="393" t="s">
        <v>1067</v>
      </c>
      <c r="J42" s="393"/>
      <c r="K42" s="393"/>
      <c r="L42" s="393"/>
      <c r="M42" s="393"/>
      <c r="N42" s="393"/>
      <c r="O42" s="393"/>
      <c r="P42" s="396"/>
      <c r="Q42" s="393"/>
      <c r="R42" s="393"/>
      <c r="S42" s="393"/>
      <c r="T42" s="393"/>
      <c r="U42" s="393"/>
      <c r="V42" s="393"/>
      <c r="W42" s="393"/>
      <c r="X42" s="393" t="s">
        <v>1053</v>
      </c>
      <c r="Y42" s="397">
        <v>1</v>
      </c>
      <c r="Z42" s="393" t="s">
        <v>1012</v>
      </c>
      <c r="AA42" s="393"/>
      <c r="AB42" s="401"/>
      <c r="AC42" s="401"/>
      <c r="AD42" s="401"/>
      <c r="AE42" s="401"/>
      <c r="AF42" s="401"/>
      <c r="AG42" s="401"/>
      <c r="AH42" s="401"/>
      <c r="AI42" s="401"/>
      <c r="AJ42" s="401"/>
      <c r="AK42" s="401"/>
      <c r="AL42" s="401"/>
    </row>
    <row r="43" spans="1:38" s="154" customFormat="1" ht="20.100000000000001" customHeight="1">
      <c r="A43" s="402" t="s">
        <v>1072</v>
      </c>
      <c r="B43" s="393">
        <v>6</v>
      </c>
      <c r="C43" s="394" t="s">
        <v>1050</v>
      </c>
      <c r="D43" s="393">
        <v>168</v>
      </c>
      <c r="E43" s="393"/>
      <c r="F43" s="393" t="s">
        <v>1059</v>
      </c>
      <c r="G43" s="395">
        <v>45902</v>
      </c>
      <c r="H43" s="396" t="s">
        <v>154</v>
      </c>
      <c r="I43" s="393" t="s">
        <v>1067</v>
      </c>
      <c r="J43" s="393"/>
      <c r="K43" s="393"/>
      <c r="L43" s="393"/>
      <c r="M43" s="393"/>
      <c r="N43" s="393"/>
      <c r="O43" s="393"/>
      <c r="P43" s="396"/>
      <c r="Q43" s="393"/>
      <c r="R43" s="393"/>
      <c r="S43" s="393"/>
      <c r="T43" s="393"/>
      <c r="U43" s="393"/>
      <c r="V43" s="393"/>
      <c r="W43" s="393"/>
      <c r="X43" s="393" t="s">
        <v>1053</v>
      </c>
      <c r="Y43" s="397">
        <v>1</v>
      </c>
      <c r="Z43" s="393" t="s">
        <v>1012</v>
      </c>
      <c r="AA43" s="393"/>
      <c r="AB43" s="401"/>
      <c r="AC43" s="401"/>
      <c r="AD43" s="401"/>
      <c r="AE43" s="401"/>
      <c r="AF43" s="401"/>
      <c r="AG43" s="401"/>
      <c r="AH43" s="401"/>
      <c r="AI43" s="401"/>
      <c r="AJ43" s="401"/>
      <c r="AK43" s="401"/>
      <c r="AL43" s="401"/>
    </row>
    <row r="44" spans="1:38" s="154" customFormat="1" ht="20.100000000000001" customHeight="1">
      <c r="A44" s="392" t="s">
        <v>1076</v>
      </c>
      <c r="B44" s="393">
        <v>1</v>
      </c>
      <c r="C44" s="394" t="s">
        <v>1050</v>
      </c>
      <c r="D44" s="393">
        <v>89</v>
      </c>
      <c r="E44" s="393"/>
      <c r="F44" s="393" t="s">
        <v>1015</v>
      </c>
      <c r="G44" s="395">
        <v>45900</v>
      </c>
      <c r="H44" s="396" t="s">
        <v>154</v>
      </c>
      <c r="I44" s="393" t="s">
        <v>1077</v>
      </c>
      <c r="J44" s="393"/>
      <c r="K44" s="393"/>
      <c r="L44" s="393"/>
      <c r="M44" s="393"/>
      <c r="N44" s="393"/>
      <c r="O44" s="393"/>
      <c r="P44" s="396"/>
      <c r="Q44" s="393"/>
      <c r="R44" s="393"/>
      <c r="S44" s="393"/>
      <c r="T44" s="393"/>
      <c r="U44" s="393"/>
      <c r="V44" s="393"/>
      <c r="W44" s="393"/>
      <c r="X44" s="393" t="s">
        <v>1053</v>
      </c>
      <c r="Y44" s="397">
        <v>1</v>
      </c>
      <c r="Z44" s="393" t="s">
        <v>1012</v>
      </c>
      <c r="AA44" s="393"/>
      <c r="AB44" s="401"/>
      <c r="AC44" s="401"/>
      <c r="AD44" s="401"/>
      <c r="AE44" s="401"/>
      <c r="AF44" s="401"/>
      <c r="AG44" s="401"/>
      <c r="AH44" s="401"/>
      <c r="AI44" s="401"/>
      <c r="AJ44" s="401"/>
      <c r="AK44" s="401"/>
      <c r="AL44" s="401"/>
    </row>
    <row r="45" spans="1:38" s="154" customFormat="1" ht="20.100000000000001" customHeight="1">
      <c r="A45" s="402" t="s">
        <v>1076</v>
      </c>
      <c r="B45" s="393">
        <v>2</v>
      </c>
      <c r="C45" s="394" t="s">
        <v>1054</v>
      </c>
      <c r="D45" s="393">
        <v>89</v>
      </c>
      <c r="E45" s="393"/>
      <c r="F45" s="393" t="s">
        <v>1015</v>
      </c>
      <c r="G45" s="395">
        <v>45912</v>
      </c>
      <c r="H45" s="396" t="s">
        <v>154</v>
      </c>
      <c r="I45" s="393" t="s">
        <v>1078</v>
      </c>
      <c r="J45" s="393"/>
      <c r="K45" s="393"/>
      <c r="L45" s="393"/>
      <c r="M45" s="393"/>
      <c r="N45" s="393"/>
      <c r="O45" s="393"/>
      <c r="P45" s="396"/>
      <c r="Q45" s="393"/>
      <c r="R45" s="393"/>
      <c r="S45" s="393"/>
      <c r="T45" s="393"/>
      <c r="U45" s="393"/>
      <c r="V45" s="393"/>
      <c r="W45" s="393"/>
      <c r="X45" s="393" t="s">
        <v>1053</v>
      </c>
      <c r="Y45" s="397">
        <v>1</v>
      </c>
      <c r="Z45" s="393" t="s">
        <v>1012</v>
      </c>
      <c r="AA45" s="393"/>
      <c r="AB45" s="401"/>
      <c r="AC45" s="401"/>
      <c r="AD45" s="401"/>
      <c r="AE45" s="401"/>
      <c r="AF45" s="401"/>
      <c r="AG45" s="401"/>
      <c r="AH45" s="401"/>
      <c r="AI45" s="401"/>
      <c r="AJ45" s="401"/>
      <c r="AK45" s="401"/>
      <c r="AL45" s="401"/>
    </row>
    <row r="46" spans="1:38" s="154" customFormat="1" ht="20.100000000000001" customHeight="1">
      <c r="A46" s="402" t="s">
        <v>1076</v>
      </c>
      <c r="B46" s="393">
        <v>3</v>
      </c>
      <c r="C46" s="394" t="s">
        <v>1050</v>
      </c>
      <c r="D46" s="393">
        <v>89</v>
      </c>
      <c r="E46" s="393"/>
      <c r="F46" s="393" t="s">
        <v>1015</v>
      </c>
      <c r="G46" s="395">
        <v>45900</v>
      </c>
      <c r="H46" s="396" t="s">
        <v>154</v>
      </c>
      <c r="I46" s="393" t="s">
        <v>1077</v>
      </c>
      <c r="J46" s="393"/>
      <c r="K46" s="393"/>
      <c r="L46" s="393"/>
      <c r="M46" s="393"/>
      <c r="N46" s="393"/>
      <c r="O46" s="393"/>
      <c r="P46" s="396"/>
      <c r="Q46" s="393"/>
      <c r="R46" s="393"/>
      <c r="S46" s="393"/>
      <c r="T46" s="393"/>
      <c r="U46" s="393"/>
      <c r="V46" s="393"/>
      <c r="W46" s="393"/>
      <c r="X46" s="393" t="s">
        <v>1053</v>
      </c>
      <c r="Y46" s="397">
        <v>1</v>
      </c>
      <c r="Z46" s="393" t="s">
        <v>1012</v>
      </c>
      <c r="AA46" s="393"/>
      <c r="AB46" s="401"/>
      <c r="AC46" s="401"/>
      <c r="AD46" s="401"/>
      <c r="AE46" s="401"/>
      <c r="AF46" s="401"/>
      <c r="AG46" s="401"/>
      <c r="AH46" s="401"/>
      <c r="AI46" s="401"/>
      <c r="AJ46" s="401"/>
      <c r="AK46" s="401"/>
      <c r="AL46" s="401"/>
    </row>
    <row r="47" spans="1:38" s="154" customFormat="1" ht="20.100000000000001" customHeight="1">
      <c r="A47" s="402" t="s">
        <v>1076</v>
      </c>
      <c r="B47" s="393">
        <v>4</v>
      </c>
      <c r="C47" s="394" t="s">
        <v>1050</v>
      </c>
      <c r="D47" s="393">
        <v>89</v>
      </c>
      <c r="E47" s="393"/>
      <c r="F47" s="393" t="s">
        <v>1015</v>
      </c>
      <c r="G47" s="395">
        <v>45900</v>
      </c>
      <c r="H47" s="396" t="s">
        <v>154</v>
      </c>
      <c r="I47" s="393" t="s">
        <v>1052</v>
      </c>
      <c r="J47" s="393"/>
      <c r="K47" s="393"/>
      <c r="L47" s="393"/>
      <c r="M47" s="393"/>
      <c r="N47" s="393"/>
      <c r="O47" s="393"/>
      <c r="P47" s="396"/>
      <c r="Q47" s="393"/>
      <c r="R47" s="393"/>
      <c r="S47" s="393"/>
      <c r="T47" s="393"/>
      <c r="U47" s="397"/>
      <c r="V47" s="393"/>
      <c r="W47" s="393"/>
      <c r="X47" s="393" t="s">
        <v>1053</v>
      </c>
      <c r="Y47" s="397">
        <v>1</v>
      </c>
      <c r="Z47" s="393" t="s">
        <v>1012</v>
      </c>
      <c r="AA47" s="393"/>
      <c r="AB47" s="401"/>
      <c r="AC47" s="401"/>
      <c r="AD47" s="401"/>
      <c r="AE47" s="401"/>
      <c r="AF47" s="401"/>
      <c r="AG47" s="401"/>
      <c r="AH47" s="401"/>
      <c r="AI47" s="401"/>
      <c r="AJ47" s="401"/>
      <c r="AK47" s="401"/>
      <c r="AL47" s="401"/>
    </row>
    <row r="48" spans="1:38" s="154" customFormat="1" ht="20.100000000000001" customHeight="1">
      <c r="A48" s="402" t="s">
        <v>1076</v>
      </c>
      <c r="B48" s="393">
        <v>5</v>
      </c>
      <c r="C48" s="394" t="s">
        <v>1054</v>
      </c>
      <c r="D48" s="393">
        <v>89</v>
      </c>
      <c r="E48" s="393"/>
      <c r="F48" s="393"/>
      <c r="G48" s="395">
        <v>45913</v>
      </c>
      <c r="H48" s="396"/>
      <c r="I48" s="393"/>
      <c r="J48" s="450"/>
      <c r="K48" s="450"/>
      <c r="L48" s="393"/>
      <c r="M48" s="393"/>
      <c r="N48" s="393"/>
      <c r="O48" s="393"/>
      <c r="P48" s="396" t="s">
        <v>154</v>
      </c>
      <c r="Q48" s="382" t="s">
        <v>1079</v>
      </c>
      <c r="R48" s="393"/>
      <c r="S48" s="393"/>
      <c r="T48" s="393"/>
      <c r="U48" s="393"/>
      <c r="V48" s="393"/>
      <c r="W48" s="393"/>
      <c r="X48" s="393" t="s">
        <v>1053</v>
      </c>
      <c r="Y48" s="397"/>
      <c r="Z48" s="393" t="s">
        <v>1012</v>
      </c>
      <c r="AA48" s="393"/>
      <c r="AB48" s="401"/>
      <c r="AC48" s="401"/>
      <c r="AD48" s="401"/>
      <c r="AE48" s="401"/>
      <c r="AF48" s="401"/>
      <c r="AG48" s="401"/>
      <c r="AH48" s="401"/>
      <c r="AI48" s="401"/>
      <c r="AJ48" s="401"/>
      <c r="AK48" s="401"/>
      <c r="AL48" s="401"/>
    </row>
    <row r="49" spans="1:38" s="154" customFormat="1" ht="20.100000000000001" customHeight="1">
      <c r="A49" s="402" t="s">
        <v>1076</v>
      </c>
      <c r="B49" s="393">
        <v>6</v>
      </c>
      <c r="C49" s="394" t="s">
        <v>1054</v>
      </c>
      <c r="D49" s="393">
        <v>89</v>
      </c>
      <c r="E49" s="393"/>
      <c r="F49" s="393" t="s">
        <v>1015</v>
      </c>
      <c r="G49" s="395">
        <v>45912</v>
      </c>
      <c r="H49" s="396" t="s">
        <v>154</v>
      </c>
      <c r="I49" s="393" t="s">
        <v>1078</v>
      </c>
      <c r="J49" s="393"/>
      <c r="K49" s="393"/>
      <c r="L49" s="393"/>
      <c r="M49" s="393"/>
      <c r="N49" s="393"/>
      <c r="O49" s="393"/>
      <c r="P49" s="396"/>
      <c r="Q49" s="393"/>
      <c r="R49" s="393"/>
      <c r="S49" s="393"/>
      <c r="T49" s="393"/>
      <c r="U49" s="393"/>
      <c r="V49" s="393"/>
      <c r="W49" s="393"/>
      <c r="X49" s="393" t="s">
        <v>1053</v>
      </c>
      <c r="Y49" s="397">
        <v>1</v>
      </c>
      <c r="Z49" s="393" t="s">
        <v>1012</v>
      </c>
      <c r="AA49" s="393"/>
      <c r="AB49" s="401"/>
      <c r="AC49" s="401"/>
      <c r="AD49" s="401"/>
      <c r="AE49" s="401"/>
      <c r="AF49" s="401"/>
      <c r="AG49" s="401"/>
      <c r="AH49" s="401"/>
      <c r="AI49" s="401"/>
      <c r="AJ49" s="401"/>
      <c r="AK49" s="401"/>
      <c r="AL49" s="401"/>
    </row>
    <row r="50" spans="1:38" s="154" customFormat="1" ht="20.100000000000001" customHeight="1">
      <c r="A50" s="402" t="s">
        <v>1076</v>
      </c>
      <c r="B50" s="393">
        <v>7</v>
      </c>
      <c r="C50" s="394" t="s">
        <v>1054</v>
      </c>
      <c r="D50" s="393">
        <v>89</v>
      </c>
      <c r="E50" s="393"/>
      <c r="F50" s="393"/>
      <c r="G50" s="395">
        <v>45913</v>
      </c>
      <c r="H50" s="396"/>
      <c r="I50" s="393"/>
      <c r="J50" s="450"/>
      <c r="K50" s="450"/>
      <c r="L50" s="393"/>
      <c r="M50" s="393"/>
      <c r="N50" s="393"/>
      <c r="O50" s="393"/>
      <c r="P50" s="396" t="s">
        <v>154</v>
      </c>
      <c r="Q50" s="382" t="s">
        <v>1079</v>
      </c>
      <c r="R50" s="393"/>
      <c r="S50" s="393"/>
      <c r="T50" s="393"/>
      <c r="U50" s="393"/>
      <c r="V50" s="393"/>
      <c r="W50" s="393"/>
      <c r="X50" s="393" t="s">
        <v>1053</v>
      </c>
      <c r="Y50" s="397"/>
      <c r="Z50" s="393" t="s">
        <v>1012</v>
      </c>
      <c r="AA50" s="393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</row>
    <row r="51" spans="1:38" s="154" customFormat="1" ht="20.100000000000001" customHeight="1">
      <c r="A51" s="392" t="s">
        <v>1080</v>
      </c>
      <c r="B51" s="393">
        <v>1</v>
      </c>
      <c r="C51" s="394" t="s">
        <v>1056</v>
      </c>
      <c r="D51" s="393">
        <v>33</v>
      </c>
      <c r="E51" s="393"/>
      <c r="F51" s="393"/>
      <c r="G51" s="395">
        <v>45913</v>
      </c>
      <c r="H51" s="396"/>
      <c r="I51" s="393"/>
      <c r="J51" s="393"/>
      <c r="K51" s="393"/>
      <c r="L51" s="393" t="s">
        <v>154</v>
      </c>
      <c r="M51" s="382" t="s">
        <v>1057</v>
      </c>
      <c r="N51" s="393"/>
      <c r="O51" s="393"/>
      <c r="P51" s="396"/>
      <c r="Q51" s="393"/>
      <c r="R51" s="393"/>
      <c r="S51" s="393"/>
      <c r="T51" s="393"/>
      <c r="U51" s="393"/>
      <c r="V51" s="393"/>
      <c r="W51" s="393"/>
      <c r="X51" s="393" t="s">
        <v>1053</v>
      </c>
      <c r="Y51" s="397"/>
      <c r="Z51" s="393" t="s">
        <v>1012</v>
      </c>
      <c r="AA51" s="393"/>
      <c r="AB51" s="401"/>
      <c r="AC51" s="401"/>
      <c r="AD51" s="401"/>
      <c r="AE51" s="401"/>
      <c r="AF51" s="401"/>
      <c r="AG51" s="401"/>
      <c r="AH51" s="401"/>
      <c r="AI51" s="401"/>
      <c r="AJ51" s="401"/>
      <c r="AK51" s="401"/>
      <c r="AL51" s="401"/>
    </row>
    <row r="52" spans="1:38" s="154" customFormat="1" ht="20.100000000000001" customHeight="1">
      <c r="A52" s="402" t="s">
        <v>1080</v>
      </c>
      <c r="B52" s="393">
        <v>2</v>
      </c>
      <c r="C52" s="394" t="s">
        <v>1056</v>
      </c>
      <c r="D52" s="393">
        <v>33</v>
      </c>
      <c r="E52" s="393"/>
      <c r="F52" s="393"/>
      <c r="G52" s="395">
        <v>45913</v>
      </c>
      <c r="H52" s="396"/>
      <c r="I52" s="393"/>
      <c r="J52" s="393"/>
      <c r="K52" s="393"/>
      <c r="L52" s="393" t="s">
        <v>154</v>
      </c>
      <c r="M52" s="382" t="s">
        <v>1057</v>
      </c>
      <c r="N52" s="393"/>
      <c r="O52" s="393"/>
      <c r="P52" s="396"/>
      <c r="Q52" s="393"/>
      <c r="R52" s="393"/>
      <c r="S52" s="393"/>
      <c r="T52" s="393"/>
      <c r="U52" s="393"/>
      <c r="V52" s="393"/>
      <c r="W52" s="393"/>
      <c r="X52" s="393" t="s">
        <v>1053</v>
      </c>
      <c r="Y52" s="397"/>
      <c r="Z52" s="393" t="s">
        <v>1012</v>
      </c>
      <c r="AA52" s="393"/>
      <c r="AB52" s="401"/>
      <c r="AC52" s="401"/>
      <c r="AD52" s="401"/>
      <c r="AE52" s="401"/>
      <c r="AF52" s="401"/>
      <c r="AG52" s="401"/>
      <c r="AH52" s="401"/>
      <c r="AI52" s="401"/>
      <c r="AJ52" s="401"/>
      <c r="AK52" s="401"/>
      <c r="AL52" s="401"/>
    </row>
    <row r="53" spans="1:38" s="154" customFormat="1" ht="20.100000000000001" customHeight="1">
      <c r="A53" s="402" t="s">
        <v>1080</v>
      </c>
      <c r="B53" s="393">
        <v>3</v>
      </c>
      <c r="C53" s="394" t="s">
        <v>1056</v>
      </c>
      <c r="D53" s="393">
        <v>33</v>
      </c>
      <c r="E53" s="393"/>
      <c r="F53" s="393"/>
      <c r="G53" s="395">
        <v>45913</v>
      </c>
      <c r="H53" s="396"/>
      <c r="I53" s="393"/>
      <c r="J53" s="393"/>
      <c r="K53" s="393"/>
      <c r="L53" s="393" t="s">
        <v>154</v>
      </c>
      <c r="M53" s="382" t="s">
        <v>1057</v>
      </c>
      <c r="N53" s="393"/>
      <c r="O53" s="393"/>
      <c r="P53" s="396"/>
      <c r="Q53" s="393"/>
      <c r="R53" s="393"/>
      <c r="S53" s="393"/>
      <c r="T53" s="393"/>
      <c r="U53" s="393"/>
      <c r="V53" s="393"/>
      <c r="W53" s="393"/>
      <c r="X53" s="393" t="s">
        <v>1053</v>
      </c>
      <c r="Y53" s="397"/>
      <c r="Z53" s="393" t="s">
        <v>1012</v>
      </c>
      <c r="AA53" s="393"/>
      <c r="AB53" s="401"/>
      <c r="AC53" s="401"/>
      <c r="AD53" s="401"/>
      <c r="AE53" s="401"/>
      <c r="AF53" s="401"/>
      <c r="AG53" s="401"/>
      <c r="AH53" s="401"/>
      <c r="AI53" s="401"/>
      <c r="AJ53" s="401"/>
      <c r="AK53" s="401"/>
      <c r="AL53" s="401"/>
    </row>
    <row r="54" spans="1:38" s="154" customFormat="1" ht="20.100000000000001" customHeight="1">
      <c r="A54" s="402" t="s">
        <v>1080</v>
      </c>
      <c r="B54" s="393">
        <v>4</v>
      </c>
      <c r="C54" s="394" t="s">
        <v>1056</v>
      </c>
      <c r="D54" s="393">
        <v>33</v>
      </c>
      <c r="E54" s="393"/>
      <c r="F54" s="393"/>
      <c r="G54" s="395">
        <v>45913</v>
      </c>
      <c r="H54" s="396"/>
      <c r="I54" s="393"/>
      <c r="J54" s="393"/>
      <c r="K54" s="393"/>
      <c r="L54" s="393" t="s">
        <v>154</v>
      </c>
      <c r="M54" s="382" t="s">
        <v>1057</v>
      </c>
      <c r="N54" s="393"/>
      <c r="O54" s="393"/>
      <c r="P54" s="396"/>
      <c r="Q54" s="393"/>
      <c r="R54" s="393"/>
      <c r="S54" s="393"/>
      <c r="T54" s="393"/>
      <c r="U54" s="393"/>
      <c r="V54" s="393"/>
      <c r="W54" s="393"/>
      <c r="X54" s="393" t="s">
        <v>1053</v>
      </c>
      <c r="Y54" s="397"/>
      <c r="Z54" s="393" t="s">
        <v>1012</v>
      </c>
      <c r="AA54" s="393"/>
      <c r="AB54" s="401"/>
      <c r="AC54" s="401"/>
      <c r="AD54" s="401"/>
      <c r="AE54" s="401"/>
      <c r="AF54" s="401"/>
      <c r="AG54" s="401"/>
      <c r="AH54" s="401"/>
      <c r="AI54" s="401"/>
      <c r="AJ54" s="401"/>
      <c r="AK54" s="401"/>
      <c r="AL54" s="401"/>
    </row>
    <row r="55" spans="1:38" s="154" customFormat="1" ht="20.100000000000001" customHeight="1">
      <c r="A55" s="402" t="s">
        <v>1080</v>
      </c>
      <c r="B55" s="393">
        <v>5</v>
      </c>
      <c r="C55" s="394" t="s">
        <v>1056</v>
      </c>
      <c r="D55" s="393">
        <v>33</v>
      </c>
      <c r="E55" s="393"/>
      <c r="F55" s="393"/>
      <c r="G55" s="395">
        <v>45913</v>
      </c>
      <c r="H55" s="396"/>
      <c r="I55" s="393"/>
      <c r="J55" s="393"/>
      <c r="K55" s="393"/>
      <c r="L55" s="393" t="s">
        <v>154</v>
      </c>
      <c r="M55" s="382" t="s">
        <v>1057</v>
      </c>
      <c r="N55" s="393"/>
      <c r="O55" s="393"/>
      <c r="P55" s="396"/>
      <c r="Q55" s="393"/>
      <c r="R55" s="393"/>
      <c r="S55" s="393"/>
      <c r="T55" s="393"/>
      <c r="U55" s="393"/>
      <c r="V55" s="393"/>
      <c r="W55" s="393"/>
      <c r="X55" s="393" t="s">
        <v>1053</v>
      </c>
      <c r="Y55" s="397"/>
      <c r="Z55" s="393" t="s">
        <v>1012</v>
      </c>
      <c r="AA55" s="393"/>
      <c r="AB55" s="401"/>
      <c r="AC55" s="401"/>
      <c r="AD55" s="401"/>
      <c r="AE55" s="401"/>
      <c r="AF55" s="401"/>
      <c r="AG55" s="401"/>
      <c r="AH55" s="401"/>
      <c r="AI55" s="401"/>
      <c r="AJ55" s="401"/>
      <c r="AK55" s="401"/>
      <c r="AL55" s="401"/>
    </row>
    <row r="56" spans="1:38" s="154" customFormat="1" ht="20.100000000000001" customHeight="1">
      <c r="A56" s="402" t="s">
        <v>1080</v>
      </c>
      <c r="B56" s="393">
        <v>6</v>
      </c>
      <c r="C56" s="394" t="s">
        <v>1056</v>
      </c>
      <c r="D56" s="393">
        <v>33</v>
      </c>
      <c r="E56" s="393"/>
      <c r="F56" s="393"/>
      <c r="G56" s="395">
        <v>45913</v>
      </c>
      <c r="H56" s="396"/>
      <c r="I56" s="393"/>
      <c r="J56" s="393"/>
      <c r="K56" s="393"/>
      <c r="L56" s="393" t="s">
        <v>154</v>
      </c>
      <c r="M56" s="382" t="s">
        <v>1057</v>
      </c>
      <c r="N56" s="393"/>
      <c r="O56" s="393"/>
      <c r="P56" s="396"/>
      <c r="Q56" s="393"/>
      <c r="R56" s="393"/>
      <c r="S56" s="393"/>
      <c r="T56" s="393"/>
      <c r="U56" s="393"/>
      <c r="V56" s="393"/>
      <c r="W56" s="393"/>
      <c r="X56" s="393" t="s">
        <v>1053</v>
      </c>
      <c r="Y56" s="397"/>
      <c r="Z56" s="393" t="s">
        <v>1012</v>
      </c>
      <c r="AA56" s="393"/>
      <c r="AB56" s="401"/>
      <c r="AC56" s="401"/>
      <c r="AD56" s="401"/>
      <c r="AE56" s="401"/>
      <c r="AF56" s="401"/>
      <c r="AG56" s="401"/>
      <c r="AH56" s="401"/>
      <c r="AI56" s="401"/>
      <c r="AJ56" s="401"/>
      <c r="AK56" s="401"/>
      <c r="AL56" s="401"/>
    </row>
    <row r="57" spans="1:38" s="154" customFormat="1" ht="20.100000000000001" customHeight="1">
      <c r="A57" s="402"/>
      <c r="B57" s="393"/>
      <c r="C57" s="394"/>
      <c r="D57" s="393"/>
      <c r="E57" s="393"/>
      <c r="F57" s="393"/>
      <c r="G57" s="395"/>
      <c r="H57" s="396"/>
      <c r="I57" s="393"/>
      <c r="J57" s="393"/>
      <c r="K57" s="393"/>
      <c r="L57" s="393"/>
      <c r="M57" s="382"/>
      <c r="N57" s="393"/>
      <c r="O57" s="393"/>
      <c r="P57" s="396"/>
      <c r="Q57" s="393"/>
      <c r="R57" s="393"/>
      <c r="S57" s="393"/>
      <c r="T57" s="393"/>
      <c r="U57" s="393"/>
      <c r="V57" s="393"/>
      <c r="W57" s="393"/>
      <c r="X57" s="393"/>
      <c r="Y57" s="397"/>
      <c r="Z57" s="393"/>
      <c r="AA57" s="393"/>
      <c r="AB57" s="401"/>
      <c r="AC57" s="401"/>
      <c r="AD57" s="401"/>
      <c r="AE57" s="401"/>
      <c r="AF57" s="401"/>
      <c r="AG57" s="401"/>
      <c r="AH57" s="401"/>
      <c r="AI57" s="401"/>
      <c r="AJ57" s="401"/>
      <c r="AK57" s="401"/>
      <c r="AL57" s="401"/>
    </row>
    <row r="58" spans="1:38" s="154" customFormat="1" ht="20.100000000000001" customHeight="1">
      <c r="A58" s="402"/>
      <c r="B58" s="393"/>
      <c r="C58" s="394"/>
      <c r="D58" s="393"/>
      <c r="E58" s="393"/>
      <c r="F58" s="393"/>
      <c r="G58" s="395"/>
      <c r="H58" s="396"/>
      <c r="I58" s="393"/>
      <c r="J58" s="393"/>
      <c r="K58" s="393"/>
      <c r="L58" s="393"/>
      <c r="M58" s="382"/>
      <c r="N58" s="393"/>
      <c r="O58" s="393"/>
      <c r="P58" s="396"/>
      <c r="Q58" s="393"/>
      <c r="R58" s="393"/>
      <c r="S58" s="393"/>
      <c r="T58" s="393"/>
      <c r="U58" s="393"/>
      <c r="V58" s="393"/>
      <c r="W58" s="393"/>
      <c r="X58" s="393"/>
      <c r="Y58" s="397"/>
      <c r="Z58" s="393"/>
      <c r="AA58" s="393"/>
      <c r="AB58" s="401"/>
      <c r="AC58" s="401"/>
      <c r="AD58" s="401"/>
      <c r="AE58" s="401"/>
      <c r="AF58" s="401"/>
      <c r="AG58" s="401"/>
      <c r="AH58" s="401"/>
      <c r="AI58" s="401"/>
      <c r="AJ58" s="401"/>
      <c r="AK58" s="401"/>
      <c r="AL58" s="401"/>
    </row>
    <row r="59" spans="1:38" s="154" customFormat="1" ht="20.100000000000001" customHeight="1">
      <c r="A59" s="402"/>
      <c r="B59" s="393"/>
      <c r="C59" s="394"/>
      <c r="D59" s="393"/>
      <c r="E59" s="393"/>
      <c r="F59" s="393"/>
      <c r="G59" s="395"/>
      <c r="H59" s="396"/>
      <c r="I59" s="393"/>
      <c r="J59" s="393"/>
      <c r="K59" s="393"/>
      <c r="L59" s="393"/>
      <c r="M59" s="382"/>
      <c r="N59" s="393"/>
      <c r="O59" s="393"/>
      <c r="P59" s="396"/>
      <c r="Q59" s="393"/>
      <c r="R59" s="393"/>
      <c r="S59" s="393"/>
      <c r="T59" s="393"/>
      <c r="U59" s="393"/>
      <c r="V59" s="393"/>
      <c r="W59" s="393"/>
      <c r="X59" s="393"/>
      <c r="Y59" s="397"/>
      <c r="Z59" s="393"/>
      <c r="AA59" s="393"/>
      <c r="AB59" s="401"/>
      <c r="AC59" s="401"/>
      <c r="AD59" s="401"/>
      <c r="AE59" s="401"/>
      <c r="AF59" s="401"/>
      <c r="AG59" s="401"/>
      <c r="AH59" s="401"/>
      <c r="AI59" s="401"/>
      <c r="AJ59" s="401"/>
      <c r="AK59" s="401"/>
      <c r="AL59" s="401"/>
    </row>
    <row r="60" spans="1:38" s="154" customFormat="1" ht="20.100000000000001" customHeight="1">
      <c r="A60" s="402"/>
      <c r="B60" s="393"/>
      <c r="C60" s="394"/>
      <c r="D60" s="393"/>
      <c r="E60" s="393"/>
      <c r="F60" s="393"/>
      <c r="G60" s="395"/>
      <c r="H60" s="396"/>
      <c r="I60" s="393"/>
      <c r="J60" s="393"/>
      <c r="K60" s="393"/>
      <c r="L60" s="393"/>
      <c r="M60" s="382"/>
      <c r="N60" s="393"/>
      <c r="O60" s="393"/>
      <c r="P60" s="396"/>
      <c r="Q60" s="393"/>
      <c r="R60" s="393"/>
      <c r="S60" s="393"/>
      <c r="T60" s="393"/>
      <c r="U60" s="393"/>
      <c r="V60" s="393"/>
      <c r="W60" s="393"/>
      <c r="X60" s="393"/>
      <c r="Y60" s="397"/>
      <c r="Z60" s="393"/>
      <c r="AA60" s="393"/>
      <c r="AB60" s="401"/>
      <c r="AC60" s="401"/>
      <c r="AD60" s="401"/>
      <c r="AE60" s="401"/>
      <c r="AF60" s="401"/>
      <c r="AG60" s="401"/>
      <c r="AH60" s="401"/>
      <c r="AI60" s="401"/>
      <c r="AJ60" s="401"/>
      <c r="AK60" s="401"/>
      <c r="AL60" s="401"/>
    </row>
    <row r="61" spans="1:38" s="154" customFormat="1" ht="20.100000000000001" customHeight="1">
      <c r="A61" s="402"/>
      <c r="B61" s="393"/>
      <c r="C61" s="394"/>
      <c r="D61" s="393"/>
      <c r="E61" s="393"/>
      <c r="F61" s="393"/>
      <c r="G61" s="395"/>
      <c r="H61" s="396"/>
      <c r="I61" s="393"/>
      <c r="J61" s="393"/>
      <c r="K61" s="393"/>
      <c r="L61" s="393"/>
      <c r="M61" s="382"/>
      <c r="N61" s="393"/>
      <c r="O61" s="393"/>
      <c r="P61" s="396"/>
      <c r="Q61" s="393"/>
      <c r="R61" s="393"/>
      <c r="S61" s="393"/>
      <c r="T61" s="393"/>
      <c r="U61" s="393"/>
      <c r="V61" s="393"/>
      <c r="W61" s="393"/>
      <c r="X61" s="393"/>
      <c r="Y61" s="397"/>
      <c r="Z61" s="393"/>
      <c r="AA61" s="393"/>
      <c r="AB61" s="401"/>
      <c r="AC61" s="401"/>
      <c r="AD61" s="401"/>
      <c r="AE61" s="401"/>
      <c r="AF61" s="401"/>
      <c r="AG61" s="401"/>
      <c r="AH61" s="401"/>
      <c r="AI61" s="401"/>
      <c r="AJ61" s="401"/>
      <c r="AK61" s="401"/>
      <c r="AL61" s="401"/>
    </row>
    <row r="62" spans="1:38" s="154" customFormat="1" ht="20.100000000000001" customHeight="1">
      <c r="A62" s="402"/>
      <c r="B62" s="393"/>
      <c r="C62" s="394"/>
      <c r="D62" s="393"/>
      <c r="E62" s="393"/>
      <c r="F62" s="393"/>
      <c r="G62" s="395"/>
      <c r="H62" s="396"/>
      <c r="I62" s="393"/>
      <c r="J62" s="393"/>
      <c r="K62" s="393"/>
      <c r="L62" s="393"/>
      <c r="M62" s="382"/>
      <c r="N62" s="393"/>
      <c r="O62" s="393"/>
      <c r="P62" s="396"/>
      <c r="Q62" s="393"/>
      <c r="R62" s="393"/>
      <c r="S62" s="393"/>
      <c r="T62" s="393"/>
      <c r="U62" s="393"/>
      <c r="V62" s="393"/>
      <c r="W62" s="393"/>
      <c r="X62" s="393"/>
      <c r="Y62" s="397"/>
      <c r="Z62" s="393"/>
      <c r="AA62" s="393"/>
      <c r="AB62" s="401"/>
      <c r="AC62" s="401"/>
      <c r="AD62" s="401"/>
      <c r="AE62" s="401"/>
      <c r="AF62" s="401"/>
      <c r="AG62" s="401"/>
      <c r="AH62" s="401"/>
      <c r="AI62" s="401"/>
      <c r="AJ62" s="401"/>
      <c r="AK62" s="401"/>
      <c r="AL62" s="401"/>
    </row>
    <row r="63" spans="1:38" s="154" customFormat="1" ht="20.100000000000001" customHeight="1">
      <c r="A63" s="402"/>
      <c r="B63" s="393"/>
      <c r="C63" s="394"/>
      <c r="D63" s="393"/>
      <c r="E63" s="393"/>
      <c r="F63" s="393"/>
      <c r="G63" s="395"/>
      <c r="H63" s="396"/>
      <c r="I63" s="393"/>
      <c r="J63" s="393"/>
      <c r="K63" s="393"/>
      <c r="L63" s="393"/>
      <c r="M63" s="382"/>
      <c r="N63" s="393"/>
      <c r="O63" s="393"/>
      <c r="P63" s="396"/>
      <c r="Q63" s="393"/>
      <c r="R63" s="393"/>
      <c r="S63" s="393"/>
      <c r="T63" s="393"/>
      <c r="U63" s="393"/>
      <c r="V63" s="393"/>
      <c r="W63" s="393"/>
      <c r="X63" s="393"/>
      <c r="Y63" s="397"/>
      <c r="Z63" s="393"/>
      <c r="AA63" s="393"/>
      <c r="AB63" s="401"/>
      <c r="AC63" s="401"/>
      <c r="AD63" s="401"/>
      <c r="AE63" s="401"/>
      <c r="AF63" s="401"/>
      <c r="AG63" s="401"/>
      <c r="AH63" s="401"/>
      <c r="AI63" s="401"/>
      <c r="AJ63" s="401"/>
      <c r="AK63" s="401"/>
      <c r="AL63" s="401"/>
    </row>
    <row r="64" spans="1:38" s="154" customFormat="1" ht="20.100000000000001" customHeight="1">
      <c r="A64" s="402"/>
      <c r="B64" s="393"/>
      <c r="C64" s="394"/>
      <c r="D64" s="393"/>
      <c r="E64" s="393"/>
      <c r="F64" s="393"/>
      <c r="G64" s="395"/>
      <c r="H64" s="396"/>
      <c r="I64" s="393"/>
      <c r="J64" s="393"/>
      <c r="K64" s="393"/>
      <c r="L64" s="393"/>
      <c r="M64" s="382"/>
      <c r="N64" s="393"/>
      <c r="O64" s="393"/>
      <c r="P64" s="396"/>
      <c r="Q64" s="393"/>
      <c r="R64" s="393"/>
      <c r="S64" s="393"/>
      <c r="T64" s="393"/>
      <c r="U64" s="393"/>
      <c r="V64" s="393"/>
      <c r="W64" s="393"/>
      <c r="X64" s="393"/>
      <c r="Y64" s="397"/>
      <c r="Z64" s="393"/>
      <c r="AA64" s="393"/>
      <c r="AB64" s="401"/>
      <c r="AC64" s="401"/>
      <c r="AD64" s="401"/>
      <c r="AE64" s="401"/>
      <c r="AF64" s="401"/>
      <c r="AG64" s="401"/>
      <c r="AH64" s="401"/>
      <c r="AI64" s="401"/>
      <c r="AJ64" s="401"/>
      <c r="AK64" s="401"/>
      <c r="AL64" s="401"/>
    </row>
    <row r="65" spans="1:38" s="154" customFormat="1" ht="20.100000000000001" customHeight="1">
      <c r="A65" s="402"/>
      <c r="B65" s="393"/>
      <c r="C65" s="394"/>
      <c r="D65" s="393"/>
      <c r="E65" s="393"/>
      <c r="F65" s="393"/>
      <c r="G65" s="395"/>
      <c r="H65" s="396"/>
      <c r="I65" s="393"/>
      <c r="J65" s="393"/>
      <c r="K65" s="393"/>
      <c r="L65" s="393"/>
      <c r="M65" s="382"/>
      <c r="N65" s="393"/>
      <c r="O65" s="393"/>
      <c r="P65" s="396"/>
      <c r="Q65" s="393"/>
      <c r="R65" s="393"/>
      <c r="S65" s="393"/>
      <c r="T65" s="393"/>
      <c r="U65" s="393"/>
      <c r="V65" s="393"/>
      <c r="W65" s="393"/>
      <c r="X65" s="393"/>
      <c r="Y65" s="397"/>
      <c r="Z65" s="393"/>
      <c r="AA65" s="393"/>
      <c r="AB65" s="401"/>
      <c r="AC65" s="401"/>
      <c r="AD65" s="401"/>
      <c r="AE65" s="401"/>
      <c r="AF65" s="401"/>
      <c r="AG65" s="401"/>
      <c r="AH65" s="401"/>
      <c r="AI65" s="401"/>
      <c r="AJ65" s="401"/>
      <c r="AK65" s="401"/>
      <c r="AL65" s="401"/>
    </row>
    <row r="66" spans="1:38" s="154" customFormat="1" ht="20.100000000000001" customHeight="1">
      <c r="A66" s="402"/>
      <c r="B66" s="393"/>
      <c r="C66" s="394"/>
      <c r="D66" s="393"/>
      <c r="E66" s="393"/>
      <c r="F66" s="393"/>
      <c r="G66" s="395"/>
      <c r="H66" s="396"/>
      <c r="I66" s="393"/>
      <c r="J66" s="393"/>
      <c r="K66" s="393"/>
      <c r="L66" s="393"/>
      <c r="M66" s="382"/>
      <c r="N66" s="393"/>
      <c r="O66" s="393"/>
      <c r="P66" s="396"/>
      <c r="Q66" s="393"/>
      <c r="R66" s="393"/>
      <c r="S66" s="393"/>
      <c r="T66" s="393"/>
      <c r="U66" s="393"/>
      <c r="V66" s="393"/>
      <c r="W66" s="393"/>
      <c r="X66" s="393"/>
      <c r="Y66" s="397"/>
      <c r="Z66" s="393"/>
      <c r="AA66" s="393"/>
      <c r="AB66" s="401"/>
      <c r="AC66" s="401"/>
      <c r="AD66" s="401"/>
      <c r="AE66" s="401"/>
      <c r="AF66" s="401"/>
      <c r="AG66" s="401"/>
      <c r="AH66" s="401"/>
      <c r="AI66" s="401"/>
      <c r="AJ66" s="401"/>
      <c r="AK66" s="401"/>
      <c r="AL66" s="401"/>
    </row>
    <row r="67" spans="1:38" s="154" customFormat="1" ht="20.100000000000001" customHeight="1">
      <c r="A67" s="402"/>
      <c r="B67" s="393"/>
      <c r="C67" s="394"/>
      <c r="D67" s="393"/>
      <c r="E67" s="393"/>
      <c r="F67" s="393"/>
      <c r="G67" s="395"/>
      <c r="H67" s="396"/>
      <c r="I67" s="393"/>
      <c r="J67" s="393"/>
      <c r="K67" s="393"/>
      <c r="L67" s="393"/>
      <c r="M67" s="382"/>
      <c r="N67" s="393"/>
      <c r="O67" s="393"/>
      <c r="P67" s="396"/>
      <c r="Q67" s="393"/>
      <c r="R67" s="393"/>
      <c r="S67" s="393"/>
      <c r="T67" s="393"/>
      <c r="U67" s="393"/>
      <c r="V67" s="393"/>
      <c r="W67" s="393"/>
      <c r="X67" s="393"/>
      <c r="Y67" s="397"/>
      <c r="Z67" s="393"/>
      <c r="AA67" s="393"/>
      <c r="AB67" s="401"/>
      <c r="AC67" s="401"/>
      <c r="AD67" s="401"/>
      <c r="AE67" s="401"/>
      <c r="AF67" s="401"/>
      <c r="AG67" s="401"/>
      <c r="AH67" s="401"/>
      <c r="AI67" s="401"/>
      <c r="AJ67" s="401"/>
      <c r="AK67" s="401"/>
      <c r="AL67" s="401"/>
    </row>
    <row r="68" spans="1:38" s="154" customFormat="1" ht="20.100000000000001" customHeight="1">
      <c r="A68" s="402"/>
      <c r="B68" s="393"/>
      <c r="C68" s="394"/>
      <c r="D68" s="393"/>
      <c r="E68" s="393"/>
      <c r="F68" s="393"/>
      <c r="G68" s="395"/>
      <c r="H68" s="396"/>
      <c r="I68" s="393"/>
      <c r="J68" s="393"/>
      <c r="K68" s="393"/>
      <c r="L68" s="393"/>
      <c r="M68" s="382"/>
      <c r="N68" s="393"/>
      <c r="O68" s="393"/>
      <c r="P68" s="396"/>
      <c r="Q68" s="393"/>
      <c r="R68" s="393"/>
      <c r="S68" s="393"/>
      <c r="T68" s="393"/>
      <c r="U68" s="393"/>
      <c r="V68" s="393"/>
      <c r="W68" s="393"/>
      <c r="X68" s="393"/>
      <c r="Y68" s="397"/>
      <c r="Z68" s="393"/>
      <c r="AA68" s="393"/>
      <c r="AB68" s="401"/>
      <c r="AC68" s="401"/>
      <c r="AD68" s="401"/>
      <c r="AE68" s="401"/>
      <c r="AF68" s="401"/>
      <c r="AG68" s="401"/>
      <c r="AH68" s="401"/>
      <c r="AI68" s="401"/>
      <c r="AJ68" s="401"/>
      <c r="AK68" s="401"/>
      <c r="AL68" s="401"/>
    </row>
    <row r="69" spans="1:38" s="154" customFormat="1" ht="20.100000000000001" customHeight="1">
      <c r="A69" s="402"/>
      <c r="B69" s="393"/>
      <c r="C69" s="394"/>
      <c r="D69" s="393"/>
      <c r="E69" s="393"/>
      <c r="F69" s="393"/>
      <c r="G69" s="395"/>
      <c r="H69" s="396"/>
      <c r="I69" s="393"/>
      <c r="J69" s="393"/>
      <c r="K69" s="393"/>
      <c r="L69" s="393"/>
      <c r="M69" s="382"/>
      <c r="N69" s="393"/>
      <c r="O69" s="393"/>
      <c r="P69" s="396"/>
      <c r="Q69" s="393"/>
      <c r="R69" s="393"/>
      <c r="S69" s="393"/>
      <c r="T69" s="393"/>
      <c r="U69" s="393"/>
      <c r="V69" s="393"/>
      <c r="W69" s="393"/>
      <c r="X69" s="393"/>
      <c r="Y69" s="397"/>
      <c r="Z69" s="393"/>
      <c r="AA69" s="393"/>
      <c r="AB69" s="401"/>
      <c r="AC69" s="401"/>
      <c r="AD69" s="401"/>
      <c r="AE69" s="401"/>
      <c r="AF69" s="401"/>
      <c r="AG69" s="401"/>
      <c r="AH69" s="401"/>
      <c r="AI69" s="401"/>
      <c r="AJ69" s="401"/>
      <c r="AK69" s="401"/>
      <c r="AL69" s="401"/>
    </row>
    <row r="70" spans="1:38" s="154" customFormat="1" ht="20.100000000000001" customHeight="1">
      <c r="A70" s="402"/>
      <c r="B70" s="393"/>
      <c r="C70" s="394"/>
      <c r="D70" s="393"/>
      <c r="E70" s="393"/>
      <c r="F70" s="393"/>
      <c r="G70" s="395"/>
      <c r="H70" s="396"/>
      <c r="I70" s="393"/>
      <c r="J70" s="393"/>
      <c r="K70" s="393"/>
      <c r="L70" s="393"/>
      <c r="M70" s="382"/>
      <c r="N70" s="393"/>
      <c r="O70" s="393"/>
      <c r="P70" s="396"/>
      <c r="Q70" s="393"/>
      <c r="R70" s="393"/>
      <c r="S70" s="393"/>
      <c r="T70" s="393"/>
      <c r="U70" s="393"/>
      <c r="V70" s="393"/>
      <c r="W70" s="393"/>
      <c r="X70" s="393"/>
      <c r="Y70" s="397"/>
      <c r="Z70" s="393"/>
      <c r="AA70" s="393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</row>
    <row r="71" spans="1:38" s="154" customFormat="1" ht="20.100000000000001" customHeight="1">
      <c r="A71" s="402"/>
      <c r="B71" s="393"/>
      <c r="C71" s="394"/>
      <c r="D71" s="393"/>
      <c r="E71" s="393"/>
      <c r="F71" s="393"/>
      <c r="G71" s="395"/>
      <c r="H71" s="396"/>
      <c r="I71" s="393"/>
      <c r="J71" s="393"/>
      <c r="K71" s="393"/>
      <c r="L71" s="393"/>
      <c r="M71" s="382"/>
      <c r="N71" s="393"/>
      <c r="O71" s="393"/>
      <c r="P71" s="396"/>
      <c r="Q71" s="393"/>
      <c r="R71" s="393"/>
      <c r="S71" s="393"/>
      <c r="T71" s="393"/>
      <c r="U71" s="393"/>
      <c r="V71" s="393"/>
      <c r="W71" s="393"/>
      <c r="X71" s="393"/>
      <c r="Y71" s="397"/>
      <c r="Z71" s="393"/>
      <c r="AA71" s="393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</row>
    <row r="72" spans="1:38" s="154" customFormat="1" ht="20.100000000000001" customHeight="1">
      <c r="A72" s="402"/>
      <c r="B72" s="393"/>
      <c r="C72" s="394"/>
      <c r="D72" s="393"/>
      <c r="E72" s="393"/>
      <c r="F72" s="393"/>
      <c r="G72" s="395"/>
      <c r="H72" s="396"/>
      <c r="I72" s="393"/>
      <c r="J72" s="393"/>
      <c r="K72" s="393"/>
      <c r="L72" s="393"/>
      <c r="M72" s="382"/>
      <c r="N72" s="393"/>
      <c r="O72" s="393"/>
      <c r="P72" s="396"/>
      <c r="Q72" s="393"/>
      <c r="R72" s="393"/>
      <c r="S72" s="393"/>
      <c r="T72" s="393"/>
      <c r="U72" s="393"/>
      <c r="V72" s="393"/>
      <c r="W72" s="393"/>
      <c r="X72" s="393"/>
      <c r="Y72" s="397"/>
      <c r="Z72" s="393"/>
      <c r="AA72" s="393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</row>
    <row r="73" spans="1:38" s="154" customFormat="1" ht="20.100000000000001" customHeight="1">
      <c r="A73" s="402"/>
      <c r="B73" s="393"/>
      <c r="C73" s="394"/>
      <c r="D73" s="393"/>
      <c r="E73" s="393"/>
      <c r="F73" s="393"/>
      <c r="G73" s="395"/>
      <c r="H73" s="396"/>
      <c r="I73" s="393"/>
      <c r="J73" s="393"/>
      <c r="K73" s="393"/>
      <c r="L73" s="393"/>
      <c r="M73" s="382"/>
      <c r="N73" s="393"/>
      <c r="O73" s="393"/>
      <c r="P73" s="396"/>
      <c r="Q73" s="393"/>
      <c r="R73" s="393"/>
      <c r="S73" s="393"/>
      <c r="T73" s="393"/>
      <c r="U73" s="393"/>
      <c r="V73" s="393"/>
      <c r="W73" s="393"/>
      <c r="X73" s="393"/>
      <c r="Y73" s="397"/>
      <c r="Z73" s="393"/>
      <c r="AA73" s="393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</row>
    <row r="74" spans="1:38" s="154" customFormat="1" ht="20.100000000000001" customHeight="1">
      <c r="A74" s="402"/>
      <c r="B74" s="393"/>
      <c r="C74" s="394"/>
      <c r="D74" s="393"/>
      <c r="E74" s="393"/>
      <c r="F74" s="393"/>
      <c r="G74" s="395"/>
      <c r="H74" s="396"/>
      <c r="I74" s="393"/>
      <c r="J74" s="393"/>
      <c r="K74" s="393"/>
      <c r="L74" s="393"/>
      <c r="M74" s="382"/>
      <c r="N74" s="393"/>
      <c r="O74" s="393"/>
      <c r="P74" s="396"/>
      <c r="Q74" s="393"/>
      <c r="R74" s="393"/>
      <c r="S74" s="393"/>
      <c r="T74" s="393"/>
      <c r="U74" s="393"/>
      <c r="V74" s="393"/>
      <c r="W74" s="393"/>
      <c r="X74" s="393"/>
      <c r="Y74" s="397"/>
      <c r="Z74" s="393"/>
      <c r="AA74" s="393"/>
      <c r="AB74" s="401"/>
      <c r="AC74" s="401"/>
      <c r="AD74" s="401"/>
      <c r="AE74" s="401"/>
      <c r="AF74" s="401"/>
      <c r="AG74" s="401"/>
      <c r="AH74" s="401"/>
      <c r="AI74" s="401"/>
      <c r="AJ74" s="401"/>
      <c r="AK74" s="401"/>
      <c r="AL74" s="401"/>
    </row>
    <row r="75" spans="1:38" s="154" customFormat="1" ht="20.100000000000001" customHeight="1">
      <c r="A75" s="402"/>
      <c r="B75" s="393"/>
      <c r="C75" s="394"/>
      <c r="D75" s="393"/>
      <c r="E75" s="393"/>
      <c r="F75" s="393"/>
      <c r="G75" s="395"/>
      <c r="H75" s="396"/>
      <c r="I75" s="393"/>
      <c r="J75" s="393"/>
      <c r="K75" s="393"/>
      <c r="L75" s="393"/>
      <c r="M75" s="382"/>
      <c r="N75" s="393"/>
      <c r="O75" s="393"/>
      <c r="P75" s="396"/>
      <c r="Q75" s="393"/>
      <c r="R75" s="393"/>
      <c r="S75" s="393"/>
      <c r="T75" s="393"/>
      <c r="U75" s="393"/>
      <c r="V75" s="393"/>
      <c r="W75" s="393"/>
      <c r="X75" s="393"/>
      <c r="Y75" s="397"/>
      <c r="Z75" s="393"/>
      <c r="AA75" s="393"/>
      <c r="AB75" s="401"/>
      <c r="AC75" s="401"/>
      <c r="AD75" s="401"/>
      <c r="AE75" s="401"/>
      <c r="AF75" s="401"/>
      <c r="AG75" s="401"/>
      <c r="AH75" s="401"/>
      <c r="AI75" s="401"/>
      <c r="AJ75" s="401"/>
      <c r="AK75" s="401"/>
      <c r="AL75" s="401"/>
    </row>
    <row r="76" spans="1:38" s="154" customFormat="1" ht="20.100000000000001" customHeight="1">
      <c r="A76" s="402"/>
      <c r="B76" s="393"/>
      <c r="C76" s="394"/>
      <c r="D76" s="393"/>
      <c r="E76" s="393"/>
      <c r="F76" s="393"/>
      <c r="G76" s="395"/>
      <c r="H76" s="396"/>
      <c r="I76" s="393"/>
      <c r="J76" s="393"/>
      <c r="K76" s="393"/>
      <c r="L76" s="393"/>
      <c r="M76" s="382"/>
      <c r="N76" s="393"/>
      <c r="O76" s="393"/>
      <c r="P76" s="396"/>
      <c r="Q76" s="393"/>
      <c r="R76" s="393"/>
      <c r="S76" s="393"/>
      <c r="T76" s="393"/>
      <c r="U76" s="393"/>
      <c r="V76" s="393"/>
      <c r="W76" s="393"/>
      <c r="X76" s="393"/>
      <c r="Y76" s="397"/>
      <c r="Z76" s="393"/>
      <c r="AA76" s="393"/>
      <c r="AB76" s="401"/>
      <c r="AC76" s="401"/>
      <c r="AD76" s="401"/>
      <c r="AE76" s="401"/>
      <c r="AF76" s="401"/>
      <c r="AG76" s="401"/>
      <c r="AH76" s="401"/>
      <c r="AI76" s="401"/>
      <c r="AJ76" s="401"/>
      <c r="AK76" s="401"/>
      <c r="AL76" s="401"/>
    </row>
    <row r="77" spans="1:38" s="154" customFormat="1" ht="20.100000000000001" customHeight="1">
      <c r="A77" s="402"/>
      <c r="B77" s="393"/>
      <c r="C77" s="394"/>
      <c r="D77" s="393"/>
      <c r="E77" s="393"/>
      <c r="F77" s="393"/>
      <c r="G77" s="395"/>
      <c r="H77" s="396"/>
      <c r="I77" s="393"/>
      <c r="J77" s="393"/>
      <c r="K77" s="393"/>
      <c r="L77" s="393"/>
      <c r="M77" s="382"/>
      <c r="N77" s="393"/>
      <c r="O77" s="393"/>
      <c r="P77" s="396"/>
      <c r="Q77" s="393"/>
      <c r="R77" s="393"/>
      <c r="S77" s="393"/>
      <c r="T77" s="393"/>
      <c r="U77" s="393"/>
      <c r="V77" s="393"/>
      <c r="W77" s="393"/>
      <c r="X77" s="393"/>
      <c r="Y77" s="397"/>
      <c r="Z77" s="393"/>
      <c r="AA77" s="393"/>
      <c r="AB77" s="401"/>
      <c r="AC77" s="401"/>
      <c r="AD77" s="401"/>
      <c r="AE77" s="401"/>
      <c r="AF77" s="401"/>
      <c r="AG77" s="401"/>
      <c r="AH77" s="401"/>
      <c r="AI77" s="401"/>
      <c r="AJ77" s="401"/>
      <c r="AK77" s="401"/>
      <c r="AL77" s="401"/>
    </row>
    <row r="78" spans="1:38" s="154" customFormat="1" ht="20.100000000000001" customHeight="1">
      <c r="A78" s="402"/>
      <c r="B78" s="393"/>
      <c r="C78" s="394"/>
      <c r="D78" s="393"/>
      <c r="E78" s="393"/>
      <c r="F78" s="393"/>
      <c r="G78" s="395"/>
      <c r="H78" s="396"/>
      <c r="I78" s="393"/>
      <c r="J78" s="393"/>
      <c r="K78" s="393"/>
      <c r="L78" s="393"/>
      <c r="M78" s="382"/>
      <c r="N78" s="393"/>
      <c r="O78" s="393"/>
      <c r="P78" s="396"/>
      <c r="Q78" s="393"/>
      <c r="R78" s="393"/>
      <c r="S78" s="393"/>
      <c r="T78" s="393"/>
      <c r="U78" s="393"/>
      <c r="V78" s="393"/>
      <c r="W78" s="393"/>
      <c r="X78" s="393"/>
      <c r="Y78" s="397"/>
      <c r="Z78" s="393"/>
      <c r="AA78" s="393"/>
      <c r="AB78" s="401"/>
      <c r="AC78" s="401"/>
      <c r="AD78" s="401"/>
      <c r="AE78" s="401"/>
      <c r="AF78" s="401"/>
      <c r="AG78" s="401"/>
      <c r="AH78" s="401"/>
      <c r="AI78" s="401"/>
      <c r="AJ78" s="401"/>
      <c r="AK78" s="401"/>
      <c r="AL78" s="401"/>
    </row>
    <row r="79" spans="1:38" s="154" customFormat="1" ht="20.100000000000001" customHeight="1">
      <c r="A79" s="402"/>
      <c r="B79" s="393"/>
      <c r="C79" s="394"/>
      <c r="D79" s="393"/>
      <c r="E79" s="393"/>
      <c r="F79" s="393"/>
      <c r="G79" s="395"/>
      <c r="H79" s="396"/>
      <c r="I79" s="393"/>
      <c r="J79" s="393"/>
      <c r="K79" s="393"/>
      <c r="L79" s="393"/>
      <c r="M79" s="382"/>
      <c r="N79" s="393"/>
      <c r="O79" s="393"/>
      <c r="P79" s="396"/>
      <c r="Q79" s="393"/>
      <c r="R79" s="393"/>
      <c r="S79" s="393"/>
      <c r="T79" s="393"/>
      <c r="U79" s="393"/>
      <c r="V79" s="393"/>
      <c r="W79" s="393"/>
      <c r="X79" s="393"/>
      <c r="Y79" s="397"/>
      <c r="Z79" s="393"/>
      <c r="AA79" s="393"/>
      <c r="AB79" s="401"/>
      <c r="AC79" s="401"/>
      <c r="AD79" s="401"/>
      <c r="AE79" s="401"/>
      <c r="AF79" s="401"/>
      <c r="AG79" s="401"/>
      <c r="AH79" s="401"/>
      <c r="AI79" s="401"/>
      <c r="AJ79" s="401"/>
      <c r="AK79" s="401"/>
      <c r="AL79" s="401"/>
    </row>
    <row r="80" spans="1:38" s="154" customFormat="1" ht="20.100000000000001" customHeight="1">
      <c r="A80" s="402"/>
      <c r="B80" s="393"/>
      <c r="C80" s="394"/>
      <c r="D80" s="393"/>
      <c r="E80" s="393"/>
      <c r="F80" s="393"/>
      <c r="G80" s="395"/>
      <c r="H80" s="396"/>
      <c r="I80" s="393"/>
      <c r="J80" s="393"/>
      <c r="K80" s="393"/>
      <c r="L80" s="393"/>
      <c r="M80" s="382"/>
      <c r="N80" s="393"/>
      <c r="O80" s="393"/>
      <c r="P80" s="396"/>
      <c r="Q80" s="393"/>
      <c r="R80" s="393"/>
      <c r="S80" s="393"/>
      <c r="T80" s="393"/>
      <c r="U80" s="393"/>
      <c r="V80" s="393"/>
      <c r="W80" s="393"/>
      <c r="X80" s="393"/>
      <c r="Y80" s="397"/>
      <c r="Z80" s="393"/>
      <c r="AA80" s="393"/>
      <c r="AB80" s="401"/>
      <c r="AC80" s="401"/>
      <c r="AD80" s="401"/>
      <c r="AE80" s="401"/>
      <c r="AF80" s="401"/>
      <c r="AG80" s="401"/>
      <c r="AH80" s="401"/>
      <c r="AI80" s="401"/>
      <c r="AJ80" s="401"/>
      <c r="AK80" s="401"/>
      <c r="AL80" s="401"/>
    </row>
    <row r="81" spans="1:38" s="154" customFormat="1" ht="20.100000000000001" customHeight="1">
      <c r="A81" s="402"/>
      <c r="B81" s="393"/>
      <c r="C81" s="394"/>
      <c r="D81" s="393"/>
      <c r="E81" s="393"/>
      <c r="F81" s="393"/>
      <c r="G81" s="395"/>
      <c r="H81" s="396"/>
      <c r="I81" s="393"/>
      <c r="J81" s="393"/>
      <c r="K81" s="393"/>
      <c r="L81" s="393"/>
      <c r="M81" s="382"/>
      <c r="N81" s="393"/>
      <c r="O81" s="393"/>
      <c r="P81" s="396"/>
      <c r="Q81" s="393"/>
      <c r="R81" s="393"/>
      <c r="S81" s="393"/>
      <c r="T81" s="393"/>
      <c r="U81" s="393"/>
      <c r="V81" s="393"/>
      <c r="W81" s="393"/>
      <c r="X81" s="393"/>
      <c r="Y81" s="397"/>
      <c r="Z81" s="393"/>
      <c r="AA81" s="393"/>
      <c r="AB81" s="401"/>
      <c r="AC81" s="401"/>
      <c r="AD81" s="401"/>
      <c r="AE81" s="401"/>
      <c r="AF81" s="401"/>
      <c r="AG81" s="401"/>
      <c r="AH81" s="401"/>
      <c r="AI81" s="401"/>
      <c r="AJ81" s="401"/>
      <c r="AK81" s="401"/>
      <c r="AL81" s="401"/>
    </row>
    <row r="82" spans="1:38" s="154" customFormat="1" ht="20.100000000000001" customHeight="1">
      <c r="A82" s="402"/>
      <c r="B82" s="393"/>
      <c r="C82" s="394"/>
      <c r="D82" s="393"/>
      <c r="E82" s="393"/>
      <c r="F82" s="393"/>
      <c r="G82" s="395"/>
      <c r="H82" s="396"/>
      <c r="I82" s="393"/>
      <c r="J82" s="393"/>
      <c r="K82" s="393"/>
      <c r="L82" s="393"/>
      <c r="M82" s="382"/>
      <c r="N82" s="393"/>
      <c r="O82" s="393"/>
      <c r="P82" s="396"/>
      <c r="Q82" s="393"/>
      <c r="R82" s="393"/>
      <c r="S82" s="393"/>
      <c r="T82" s="393"/>
      <c r="U82" s="393"/>
      <c r="V82" s="393"/>
      <c r="W82" s="393"/>
      <c r="X82" s="393"/>
      <c r="Y82" s="397"/>
      <c r="Z82" s="393"/>
      <c r="AA82" s="393"/>
      <c r="AB82" s="401"/>
      <c r="AC82" s="401"/>
      <c r="AD82" s="401"/>
      <c r="AE82" s="401"/>
      <c r="AF82" s="401"/>
      <c r="AG82" s="401"/>
      <c r="AH82" s="401"/>
      <c r="AI82" s="401"/>
      <c r="AJ82" s="401"/>
      <c r="AK82" s="401"/>
      <c r="AL82" s="401"/>
    </row>
    <row r="83" spans="1:38" s="154" customFormat="1" ht="20.100000000000001" customHeight="1">
      <c r="A83" s="402"/>
      <c r="B83" s="393"/>
      <c r="C83" s="394"/>
      <c r="D83" s="393"/>
      <c r="E83" s="393"/>
      <c r="F83" s="393"/>
      <c r="G83" s="395"/>
      <c r="H83" s="396"/>
      <c r="I83" s="393"/>
      <c r="J83" s="393"/>
      <c r="K83" s="393"/>
      <c r="L83" s="393"/>
      <c r="M83" s="382"/>
      <c r="N83" s="393"/>
      <c r="O83" s="393"/>
      <c r="P83" s="396"/>
      <c r="Q83" s="393"/>
      <c r="R83" s="393"/>
      <c r="S83" s="393"/>
      <c r="T83" s="393"/>
      <c r="U83" s="393"/>
      <c r="V83" s="393"/>
      <c r="W83" s="393"/>
      <c r="X83" s="393"/>
      <c r="Y83" s="397"/>
      <c r="Z83" s="393"/>
      <c r="AA83" s="393"/>
      <c r="AB83" s="401"/>
      <c r="AC83" s="401"/>
      <c r="AD83" s="401"/>
      <c r="AE83" s="401"/>
      <c r="AF83" s="401"/>
      <c r="AG83" s="401"/>
      <c r="AH83" s="401"/>
      <c r="AI83" s="401"/>
      <c r="AJ83" s="401"/>
      <c r="AK83" s="401"/>
      <c r="AL83" s="401"/>
    </row>
    <row r="84" spans="1:38" s="154" customFormat="1" ht="20.100000000000001" customHeight="1">
      <c r="A84" s="402"/>
      <c r="B84" s="393"/>
      <c r="C84" s="394"/>
      <c r="D84" s="393"/>
      <c r="E84" s="393"/>
      <c r="F84" s="393"/>
      <c r="G84" s="395"/>
      <c r="H84" s="396"/>
      <c r="I84" s="393"/>
      <c r="J84" s="393"/>
      <c r="K84" s="393"/>
      <c r="L84" s="393"/>
      <c r="M84" s="382"/>
      <c r="N84" s="393"/>
      <c r="O84" s="393"/>
      <c r="P84" s="396"/>
      <c r="Q84" s="393"/>
      <c r="R84" s="393"/>
      <c r="S84" s="393"/>
      <c r="T84" s="393"/>
      <c r="U84" s="393"/>
      <c r="V84" s="393"/>
      <c r="W84" s="393"/>
      <c r="X84" s="393"/>
      <c r="Y84" s="397"/>
      <c r="Z84" s="393"/>
      <c r="AA84" s="393"/>
      <c r="AB84" s="401"/>
      <c r="AC84" s="401"/>
      <c r="AD84" s="401"/>
      <c r="AE84" s="401"/>
      <c r="AF84" s="401"/>
      <c r="AG84" s="401"/>
      <c r="AH84" s="401"/>
      <c r="AI84" s="401"/>
      <c r="AJ84" s="401"/>
      <c r="AK84" s="401"/>
      <c r="AL84" s="401"/>
    </row>
    <row r="85" spans="1:38" s="154" customFormat="1" ht="20.100000000000001" customHeight="1">
      <c r="A85" s="402"/>
      <c r="B85" s="393"/>
      <c r="C85" s="394"/>
      <c r="D85" s="393"/>
      <c r="E85" s="393"/>
      <c r="F85" s="393"/>
      <c r="G85" s="395"/>
      <c r="H85" s="396"/>
      <c r="I85" s="393"/>
      <c r="J85" s="393"/>
      <c r="K85" s="393"/>
      <c r="L85" s="393"/>
      <c r="M85" s="382"/>
      <c r="N85" s="393"/>
      <c r="O85" s="393"/>
      <c r="P85" s="396"/>
      <c r="Q85" s="393"/>
      <c r="R85" s="393"/>
      <c r="S85" s="393"/>
      <c r="T85" s="393"/>
      <c r="U85" s="393"/>
      <c r="V85" s="393"/>
      <c r="W85" s="393"/>
      <c r="X85" s="393"/>
      <c r="Y85" s="397"/>
      <c r="Z85" s="393"/>
      <c r="AA85" s="393"/>
      <c r="AB85" s="401"/>
      <c r="AC85" s="401"/>
      <c r="AD85" s="401"/>
      <c r="AE85" s="401"/>
      <c r="AF85" s="401"/>
      <c r="AG85" s="401"/>
      <c r="AH85" s="401"/>
      <c r="AI85" s="401"/>
      <c r="AJ85" s="401"/>
      <c r="AK85" s="401"/>
      <c r="AL85" s="401"/>
    </row>
    <row r="86" spans="1:38" s="154" customFormat="1" ht="20.100000000000001" customHeight="1">
      <c r="A86" s="402"/>
      <c r="B86" s="393"/>
      <c r="C86" s="394"/>
      <c r="D86" s="393"/>
      <c r="E86" s="393"/>
      <c r="F86" s="393"/>
      <c r="G86" s="395"/>
      <c r="H86" s="396"/>
      <c r="I86" s="393"/>
      <c r="J86" s="393"/>
      <c r="K86" s="393"/>
      <c r="L86" s="393"/>
      <c r="M86" s="382"/>
      <c r="N86" s="393"/>
      <c r="O86" s="393"/>
      <c r="P86" s="396"/>
      <c r="Q86" s="393"/>
      <c r="R86" s="393"/>
      <c r="S86" s="393"/>
      <c r="T86" s="393"/>
      <c r="U86" s="393"/>
      <c r="V86" s="393"/>
      <c r="W86" s="393"/>
      <c r="X86" s="393"/>
      <c r="Y86" s="397"/>
      <c r="Z86" s="393"/>
      <c r="AA86" s="393"/>
      <c r="AB86" s="401"/>
      <c r="AC86" s="401"/>
      <c r="AD86" s="401"/>
      <c r="AE86" s="401"/>
      <c r="AF86" s="401"/>
      <c r="AG86" s="401"/>
      <c r="AH86" s="401"/>
      <c r="AI86" s="401"/>
      <c r="AJ86" s="401"/>
      <c r="AK86" s="401"/>
      <c r="AL86" s="401"/>
    </row>
    <row r="87" spans="1:38" s="154" customFormat="1" ht="20.100000000000001" customHeight="1">
      <c r="A87" s="402"/>
      <c r="B87" s="393"/>
      <c r="C87" s="394"/>
      <c r="D87" s="393"/>
      <c r="E87" s="393"/>
      <c r="F87" s="393"/>
      <c r="G87" s="395"/>
      <c r="H87" s="396"/>
      <c r="I87" s="393"/>
      <c r="J87" s="393"/>
      <c r="K87" s="393"/>
      <c r="L87" s="393"/>
      <c r="M87" s="382"/>
      <c r="N87" s="393"/>
      <c r="O87" s="393"/>
      <c r="P87" s="396"/>
      <c r="Q87" s="393"/>
      <c r="R87" s="393"/>
      <c r="S87" s="393"/>
      <c r="T87" s="393"/>
      <c r="U87" s="393"/>
      <c r="V87" s="393"/>
      <c r="W87" s="393"/>
      <c r="X87" s="393"/>
      <c r="Y87" s="397"/>
      <c r="Z87" s="393"/>
      <c r="AA87" s="393"/>
      <c r="AB87" s="401"/>
      <c r="AC87" s="401"/>
      <c r="AD87" s="401"/>
      <c r="AE87" s="401"/>
      <c r="AF87" s="401"/>
      <c r="AG87" s="401"/>
      <c r="AH87" s="401"/>
      <c r="AI87" s="401"/>
      <c r="AJ87" s="401"/>
      <c r="AK87" s="401"/>
      <c r="AL87" s="401"/>
    </row>
    <row r="88" spans="1:38" s="154" customFormat="1" ht="20.100000000000001" customHeight="1">
      <c r="A88" s="402"/>
      <c r="B88" s="393"/>
      <c r="C88" s="394"/>
      <c r="D88" s="393"/>
      <c r="E88" s="393"/>
      <c r="F88" s="393"/>
      <c r="G88" s="395"/>
      <c r="H88" s="396"/>
      <c r="I88" s="393"/>
      <c r="J88" s="393"/>
      <c r="K88" s="393"/>
      <c r="L88" s="393"/>
      <c r="M88" s="382"/>
      <c r="N88" s="393"/>
      <c r="O88" s="393"/>
      <c r="P88" s="396"/>
      <c r="Q88" s="393"/>
      <c r="R88" s="393"/>
      <c r="S88" s="393"/>
      <c r="T88" s="393"/>
      <c r="U88" s="393"/>
      <c r="V88" s="393"/>
      <c r="W88" s="393"/>
      <c r="X88" s="393"/>
      <c r="Y88" s="397"/>
      <c r="Z88" s="393"/>
      <c r="AA88" s="393"/>
      <c r="AB88" s="401"/>
      <c r="AC88" s="401"/>
      <c r="AD88" s="401"/>
      <c r="AE88" s="401"/>
      <c r="AF88" s="401"/>
      <c r="AG88" s="401"/>
      <c r="AH88" s="401"/>
      <c r="AI88" s="401"/>
      <c r="AJ88" s="401"/>
      <c r="AK88" s="401"/>
      <c r="AL88" s="401"/>
    </row>
    <row r="89" spans="1:38" s="154" customFormat="1" ht="20.100000000000001" customHeight="1">
      <c r="A89" s="402"/>
      <c r="B89" s="393"/>
      <c r="C89" s="394"/>
      <c r="D89" s="393"/>
      <c r="E89" s="393"/>
      <c r="F89" s="393"/>
      <c r="G89" s="395"/>
      <c r="H89" s="396"/>
      <c r="I89" s="393"/>
      <c r="J89" s="393"/>
      <c r="K89" s="393"/>
      <c r="L89" s="393"/>
      <c r="M89" s="382"/>
      <c r="N89" s="393"/>
      <c r="O89" s="393"/>
      <c r="P89" s="396"/>
      <c r="Q89" s="393"/>
      <c r="R89" s="393"/>
      <c r="S89" s="393"/>
      <c r="T89" s="393"/>
      <c r="U89" s="393"/>
      <c r="V89" s="393"/>
      <c r="W89" s="393"/>
      <c r="X89" s="393"/>
      <c r="Y89" s="397"/>
      <c r="Z89" s="393"/>
      <c r="AA89" s="393"/>
      <c r="AB89" s="401"/>
      <c r="AC89" s="401"/>
      <c r="AD89" s="401"/>
      <c r="AE89" s="401"/>
      <c r="AF89" s="401"/>
      <c r="AG89" s="401"/>
      <c r="AH89" s="401"/>
      <c r="AI89" s="401"/>
      <c r="AJ89" s="401"/>
      <c r="AK89" s="401"/>
      <c r="AL89" s="401"/>
    </row>
    <row r="90" spans="1:38" s="154" customFormat="1" ht="20.100000000000001" customHeight="1">
      <c r="A90" s="402"/>
      <c r="B90" s="393"/>
      <c r="C90" s="394"/>
      <c r="D90" s="393"/>
      <c r="E90" s="393"/>
      <c r="F90" s="393"/>
      <c r="G90" s="395"/>
      <c r="H90" s="396"/>
      <c r="I90" s="393"/>
      <c r="J90" s="393"/>
      <c r="K90" s="393"/>
      <c r="L90" s="393"/>
      <c r="M90" s="382"/>
      <c r="N90" s="393"/>
      <c r="O90" s="393"/>
      <c r="P90" s="396"/>
      <c r="Q90" s="393"/>
      <c r="R90" s="393"/>
      <c r="S90" s="393"/>
      <c r="T90" s="393"/>
      <c r="U90" s="393"/>
      <c r="V90" s="393"/>
      <c r="W90" s="393"/>
      <c r="X90" s="393"/>
      <c r="Y90" s="397"/>
      <c r="Z90" s="393"/>
      <c r="AA90" s="393"/>
      <c r="AB90" s="401"/>
      <c r="AC90" s="401"/>
      <c r="AD90" s="401"/>
      <c r="AE90" s="401"/>
      <c r="AF90" s="401"/>
      <c r="AG90" s="401"/>
      <c r="AH90" s="401"/>
      <c r="AI90" s="401"/>
      <c r="AJ90" s="401"/>
      <c r="AK90" s="401"/>
      <c r="AL90" s="401"/>
    </row>
    <row r="91" spans="1:38" s="154" customFormat="1" ht="20.100000000000001" customHeight="1">
      <c r="A91" s="402"/>
      <c r="B91" s="393"/>
      <c r="C91" s="394"/>
      <c r="D91" s="393"/>
      <c r="E91" s="393"/>
      <c r="F91" s="393"/>
      <c r="G91" s="395"/>
      <c r="H91" s="396"/>
      <c r="I91" s="393"/>
      <c r="J91" s="393"/>
      <c r="K91" s="393"/>
      <c r="L91" s="393"/>
      <c r="M91" s="382"/>
      <c r="N91" s="393"/>
      <c r="O91" s="393"/>
      <c r="P91" s="396"/>
      <c r="Q91" s="393"/>
      <c r="R91" s="393"/>
      <c r="S91" s="393"/>
      <c r="T91" s="393"/>
      <c r="U91" s="393"/>
      <c r="V91" s="393"/>
      <c r="W91" s="393"/>
      <c r="X91" s="393"/>
      <c r="Y91" s="397"/>
      <c r="Z91" s="393"/>
      <c r="AA91" s="393"/>
      <c r="AB91" s="401"/>
      <c r="AC91" s="401"/>
      <c r="AD91" s="401"/>
      <c r="AE91" s="401"/>
      <c r="AF91" s="401"/>
      <c r="AG91" s="401"/>
      <c r="AH91" s="401"/>
      <c r="AI91" s="401"/>
      <c r="AJ91" s="401"/>
      <c r="AK91" s="401"/>
      <c r="AL91" s="401"/>
    </row>
    <row r="92" spans="1:38" s="154" customFormat="1" ht="20.100000000000001" customHeight="1">
      <c r="A92" s="402"/>
      <c r="B92" s="393"/>
      <c r="C92" s="394"/>
      <c r="D92" s="393"/>
      <c r="E92" s="393"/>
      <c r="F92" s="393"/>
      <c r="G92" s="395"/>
      <c r="H92" s="396"/>
      <c r="I92" s="393"/>
      <c r="J92" s="393"/>
      <c r="K92" s="393"/>
      <c r="L92" s="393"/>
      <c r="M92" s="382"/>
      <c r="N92" s="393"/>
      <c r="O92" s="393"/>
      <c r="P92" s="396"/>
      <c r="Q92" s="393"/>
      <c r="R92" s="393"/>
      <c r="S92" s="393"/>
      <c r="T92" s="393"/>
      <c r="U92" s="393"/>
      <c r="V92" s="393"/>
      <c r="W92" s="393"/>
      <c r="X92" s="393"/>
      <c r="Y92" s="397"/>
      <c r="Z92" s="393"/>
      <c r="AA92" s="393"/>
      <c r="AB92" s="401"/>
      <c r="AC92" s="401"/>
      <c r="AD92" s="401"/>
      <c r="AE92" s="401"/>
      <c r="AF92" s="401"/>
      <c r="AG92" s="401"/>
      <c r="AH92" s="401"/>
      <c r="AI92" s="401"/>
      <c r="AJ92" s="401"/>
      <c r="AK92" s="401"/>
      <c r="AL92" s="401"/>
    </row>
    <row r="93" spans="1:38" s="154" customFormat="1" ht="20.100000000000001" customHeight="1">
      <c r="A93" s="402"/>
      <c r="B93" s="393"/>
      <c r="C93" s="394"/>
      <c r="D93" s="393"/>
      <c r="E93" s="393"/>
      <c r="F93" s="393"/>
      <c r="G93" s="395"/>
      <c r="H93" s="396"/>
      <c r="I93" s="393"/>
      <c r="J93" s="393"/>
      <c r="K93" s="393"/>
      <c r="L93" s="393"/>
      <c r="M93" s="382"/>
      <c r="N93" s="393"/>
      <c r="O93" s="393"/>
      <c r="P93" s="396"/>
      <c r="Q93" s="393"/>
      <c r="R93" s="393"/>
      <c r="S93" s="393"/>
      <c r="T93" s="393"/>
      <c r="U93" s="393"/>
      <c r="V93" s="393"/>
      <c r="W93" s="393"/>
      <c r="X93" s="393"/>
      <c r="Y93" s="397"/>
      <c r="Z93" s="393"/>
      <c r="AA93" s="393"/>
      <c r="AB93" s="401"/>
      <c r="AC93" s="401"/>
      <c r="AD93" s="401"/>
      <c r="AE93" s="401"/>
      <c r="AF93" s="401"/>
      <c r="AG93" s="401"/>
      <c r="AH93" s="401"/>
      <c r="AI93" s="401"/>
      <c r="AJ93" s="401"/>
      <c r="AK93" s="401"/>
      <c r="AL93" s="401"/>
    </row>
    <row r="94" spans="1:38" s="154" customFormat="1" ht="20.100000000000001" customHeight="1">
      <c r="A94" s="402"/>
      <c r="B94" s="393"/>
      <c r="C94" s="394"/>
      <c r="D94" s="393"/>
      <c r="E94" s="393"/>
      <c r="F94" s="393"/>
      <c r="G94" s="395"/>
      <c r="H94" s="396"/>
      <c r="I94" s="393"/>
      <c r="J94" s="393"/>
      <c r="K94" s="393"/>
      <c r="L94" s="393"/>
      <c r="M94" s="382"/>
      <c r="N94" s="393"/>
      <c r="O94" s="393"/>
      <c r="P94" s="396"/>
      <c r="Q94" s="393"/>
      <c r="R94" s="393"/>
      <c r="S94" s="393"/>
      <c r="T94" s="393"/>
      <c r="U94" s="393"/>
      <c r="V94" s="393"/>
      <c r="W94" s="393"/>
      <c r="X94" s="393"/>
      <c r="Y94" s="397"/>
      <c r="Z94" s="393"/>
      <c r="AA94" s="393"/>
      <c r="AB94" s="401"/>
      <c r="AC94" s="401"/>
      <c r="AD94" s="401"/>
      <c r="AE94" s="401"/>
      <c r="AF94" s="401"/>
      <c r="AG94" s="401"/>
      <c r="AH94" s="401"/>
      <c r="AI94" s="401"/>
      <c r="AJ94" s="401"/>
      <c r="AK94" s="401"/>
      <c r="AL94" s="401"/>
    </row>
    <row r="95" spans="1:38" s="154" customFormat="1" ht="20.100000000000001" customHeight="1">
      <c r="A95" s="402"/>
      <c r="B95" s="393"/>
      <c r="C95" s="394"/>
      <c r="D95" s="393"/>
      <c r="E95" s="393"/>
      <c r="F95" s="393"/>
      <c r="G95" s="395"/>
      <c r="H95" s="396"/>
      <c r="I95" s="393"/>
      <c r="J95" s="393"/>
      <c r="K95" s="393"/>
      <c r="L95" s="393"/>
      <c r="M95" s="382"/>
      <c r="N95" s="393"/>
      <c r="O95" s="393"/>
      <c r="P95" s="396"/>
      <c r="Q95" s="393"/>
      <c r="R95" s="393"/>
      <c r="S95" s="393"/>
      <c r="T95" s="393"/>
      <c r="U95" s="393"/>
      <c r="V95" s="393"/>
      <c r="W95" s="393"/>
      <c r="X95" s="393"/>
      <c r="Y95" s="397"/>
      <c r="Z95" s="393"/>
      <c r="AA95" s="393"/>
      <c r="AB95" s="401"/>
      <c r="AC95" s="401"/>
      <c r="AD95" s="401"/>
      <c r="AE95" s="401"/>
      <c r="AF95" s="401"/>
      <c r="AG95" s="401"/>
      <c r="AH95" s="401"/>
      <c r="AI95" s="401"/>
      <c r="AJ95" s="401"/>
      <c r="AK95" s="401"/>
      <c r="AL95" s="401"/>
    </row>
    <row r="96" spans="1:38" s="154" customFormat="1" ht="20.100000000000001" customHeight="1">
      <c r="A96" s="402"/>
      <c r="B96" s="393"/>
      <c r="C96" s="394"/>
      <c r="D96" s="393"/>
      <c r="E96" s="393"/>
      <c r="F96" s="393"/>
      <c r="G96" s="395"/>
      <c r="H96" s="396"/>
      <c r="I96" s="393"/>
      <c r="J96" s="393"/>
      <c r="K96" s="393"/>
      <c r="L96" s="393"/>
      <c r="M96" s="382"/>
      <c r="N96" s="393"/>
      <c r="O96" s="393"/>
      <c r="P96" s="396"/>
      <c r="Q96" s="393"/>
      <c r="R96" s="393"/>
      <c r="S96" s="393"/>
      <c r="T96" s="393"/>
      <c r="U96" s="393"/>
      <c r="V96" s="393"/>
      <c r="W96" s="393"/>
      <c r="X96" s="393"/>
      <c r="Y96" s="397"/>
      <c r="Z96" s="393"/>
      <c r="AA96" s="393"/>
      <c r="AB96" s="401"/>
      <c r="AC96" s="401"/>
      <c r="AD96" s="401"/>
      <c r="AE96" s="401"/>
      <c r="AF96" s="401"/>
      <c r="AG96" s="401"/>
      <c r="AH96" s="401"/>
      <c r="AI96" s="401"/>
      <c r="AJ96" s="401"/>
      <c r="AK96" s="401"/>
      <c r="AL96" s="401"/>
    </row>
    <row r="97" spans="1:38" s="154" customFormat="1" ht="20.100000000000001" customHeight="1">
      <c r="A97" s="402"/>
      <c r="B97" s="393"/>
      <c r="C97" s="394"/>
      <c r="D97" s="393"/>
      <c r="E97" s="393"/>
      <c r="F97" s="393"/>
      <c r="G97" s="395"/>
      <c r="H97" s="396"/>
      <c r="I97" s="393"/>
      <c r="J97" s="393"/>
      <c r="K97" s="393"/>
      <c r="L97" s="393"/>
      <c r="M97" s="382"/>
      <c r="N97" s="393"/>
      <c r="O97" s="393"/>
      <c r="P97" s="396"/>
      <c r="Q97" s="393"/>
      <c r="R97" s="393"/>
      <c r="S97" s="393"/>
      <c r="T97" s="393"/>
      <c r="U97" s="393"/>
      <c r="V97" s="393"/>
      <c r="W97" s="393"/>
      <c r="X97" s="393"/>
      <c r="Y97" s="397"/>
      <c r="Z97" s="393"/>
      <c r="AA97" s="393"/>
      <c r="AB97" s="401"/>
      <c r="AC97" s="401"/>
      <c r="AD97" s="401"/>
      <c r="AE97" s="401"/>
      <c r="AF97" s="401"/>
      <c r="AG97" s="401"/>
      <c r="AH97" s="401"/>
      <c r="AI97" s="401"/>
      <c r="AJ97" s="401"/>
      <c r="AK97" s="401"/>
      <c r="AL97" s="401"/>
    </row>
    <row r="98" spans="1:38" s="154" customFormat="1" ht="20.100000000000001" customHeight="1">
      <c r="A98" s="402"/>
      <c r="B98" s="393"/>
      <c r="C98" s="394"/>
      <c r="D98" s="393"/>
      <c r="E98" s="393"/>
      <c r="F98" s="393"/>
      <c r="G98" s="395"/>
      <c r="H98" s="396"/>
      <c r="I98" s="393"/>
      <c r="J98" s="393"/>
      <c r="K98" s="393"/>
      <c r="L98" s="393"/>
      <c r="M98" s="382"/>
      <c r="N98" s="393"/>
      <c r="O98" s="393"/>
      <c r="P98" s="396"/>
      <c r="Q98" s="393"/>
      <c r="R98" s="393"/>
      <c r="S98" s="393"/>
      <c r="T98" s="393"/>
      <c r="U98" s="393"/>
      <c r="V98" s="393"/>
      <c r="W98" s="393"/>
      <c r="X98" s="393"/>
      <c r="Y98" s="397"/>
      <c r="Z98" s="393"/>
      <c r="AA98" s="393"/>
      <c r="AB98" s="401"/>
      <c r="AC98" s="401"/>
      <c r="AD98" s="401"/>
      <c r="AE98" s="401"/>
      <c r="AF98" s="401"/>
      <c r="AG98" s="401"/>
      <c r="AH98" s="401"/>
      <c r="AI98" s="401"/>
      <c r="AJ98" s="401"/>
      <c r="AK98" s="401"/>
      <c r="AL98" s="401"/>
    </row>
    <row r="99" spans="1:38" s="154" customFormat="1" ht="20.100000000000001" customHeight="1">
      <c r="A99" s="402"/>
      <c r="B99" s="393"/>
      <c r="C99" s="394"/>
      <c r="D99" s="393"/>
      <c r="E99" s="393"/>
      <c r="F99" s="393"/>
      <c r="G99" s="395"/>
      <c r="H99" s="396"/>
      <c r="I99" s="393"/>
      <c r="J99" s="393"/>
      <c r="K99" s="393"/>
      <c r="L99" s="393"/>
      <c r="M99" s="382"/>
      <c r="N99" s="393"/>
      <c r="O99" s="393"/>
      <c r="P99" s="396"/>
      <c r="Q99" s="393"/>
      <c r="R99" s="393"/>
      <c r="S99" s="393"/>
      <c r="T99" s="393"/>
      <c r="U99" s="393"/>
      <c r="V99" s="393"/>
      <c r="W99" s="393"/>
      <c r="X99" s="393"/>
      <c r="Y99" s="397"/>
      <c r="Z99" s="393"/>
      <c r="AA99" s="393"/>
      <c r="AB99" s="401"/>
      <c r="AC99" s="401"/>
      <c r="AD99" s="401"/>
      <c r="AE99" s="401"/>
      <c r="AF99" s="401"/>
      <c r="AG99" s="401"/>
      <c r="AH99" s="401"/>
      <c r="AI99" s="401"/>
      <c r="AJ99" s="401"/>
      <c r="AK99" s="401"/>
      <c r="AL99" s="401"/>
    </row>
    <row r="100" spans="1:38" s="154" customFormat="1" ht="20.100000000000001" customHeight="1">
      <c r="A100" s="402"/>
      <c r="B100" s="393"/>
      <c r="C100" s="394"/>
      <c r="D100" s="393"/>
      <c r="E100" s="393"/>
      <c r="F100" s="393"/>
      <c r="G100" s="395"/>
      <c r="H100" s="396"/>
      <c r="I100" s="393"/>
      <c r="J100" s="393"/>
      <c r="K100" s="393"/>
      <c r="L100" s="393"/>
      <c r="M100" s="382"/>
      <c r="N100" s="393"/>
      <c r="O100" s="393"/>
      <c r="P100" s="396"/>
      <c r="Q100" s="393"/>
      <c r="R100" s="393"/>
      <c r="S100" s="393"/>
      <c r="T100" s="393"/>
      <c r="U100" s="393"/>
      <c r="V100" s="393"/>
      <c r="W100" s="393"/>
      <c r="X100" s="393"/>
      <c r="Y100" s="397"/>
      <c r="Z100" s="393"/>
      <c r="AA100" s="393"/>
      <c r="AB100" s="401"/>
      <c r="AC100" s="401"/>
      <c r="AD100" s="401"/>
      <c r="AE100" s="401"/>
      <c r="AF100" s="401"/>
      <c r="AG100" s="401"/>
      <c r="AH100" s="401"/>
      <c r="AI100" s="401"/>
      <c r="AJ100" s="401"/>
      <c r="AK100" s="401"/>
      <c r="AL100" s="401"/>
    </row>
    <row r="101" spans="1:38" s="154" customFormat="1" ht="20.100000000000001" customHeight="1">
      <c r="A101" s="402"/>
      <c r="B101" s="393"/>
      <c r="C101" s="394"/>
      <c r="D101" s="393"/>
      <c r="E101" s="393"/>
      <c r="F101" s="393"/>
      <c r="G101" s="395"/>
      <c r="H101" s="396"/>
      <c r="I101" s="393"/>
      <c r="J101" s="393"/>
      <c r="K101" s="393"/>
      <c r="L101" s="393"/>
      <c r="M101" s="382"/>
      <c r="N101" s="393"/>
      <c r="O101" s="393"/>
      <c r="P101" s="396"/>
      <c r="Q101" s="393"/>
      <c r="R101" s="393"/>
      <c r="S101" s="393"/>
      <c r="T101" s="393"/>
      <c r="U101" s="393"/>
      <c r="V101" s="393"/>
      <c r="W101" s="393"/>
      <c r="X101" s="393"/>
      <c r="Y101" s="397"/>
      <c r="Z101" s="393"/>
      <c r="AA101" s="393"/>
      <c r="AB101" s="401"/>
      <c r="AC101" s="401"/>
      <c r="AD101" s="401"/>
      <c r="AE101" s="401"/>
      <c r="AF101" s="401"/>
      <c r="AG101" s="401"/>
      <c r="AH101" s="401"/>
      <c r="AI101" s="401"/>
      <c r="AJ101" s="401"/>
      <c r="AK101" s="401"/>
      <c r="AL101" s="401"/>
    </row>
    <row r="102" spans="1:38" s="154" customFormat="1" ht="20.100000000000001" customHeight="1">
      <c r="A102" s="402"/>
      <c r="B102" s="393"/>
      <c r="C102" s="394"/>
      <c r="D102" s="393"/>
      <c r="E102" s="393"/>
      <c r="F102" s="393"/>
      <c r="G102" s="395"/>
      <c r="H102" s="396"/>
      <c r="I102" s="393"/>
      <c r="J102" s="393"/>
      <c r="K102" s="393"/>
      <c r="L102" s="393"/>
      <c r="M102" s="382"/>
      <c r="N102" s="393"/>
      <c r="O102" s="393"/>
      <c r="P102" s="396"/>
      <c r="Q102" s="393"/>
      <c r="R102" s="393"/>
      <c r="S102" s="393"/>
      <c r="T102" s="393"/>
      <c r="U102" s="393"/>
      <c r="V102" s="393"/>
      <c r="W102" s="393"/>
      <c r="X102" s="393"/>
      <c r="Y102" s="397"/>
      <c r="Z102" s="393"/>
      <c r="AA102" s="393"/>
      <c r="AB102" s="401"/>
      <c r="AC102" s="401"/>
      <c r="AD102" s="401"/>
      <c r="AE102" s="401"/>
      <c r="AF102" s="401"/>
      <c r="AG102" s="401"/>
      <c r="AH102" s="401"/>
      <c r="AI102" s="401"/>
      <c r="AJ102" s="401"/>
      <c r="AK102" s="401"/>
      <c r="AL102" s="401"/>
    </row>
    <row r="103" spans="1:38" s="154" customFormat="1" ht="20.100000000000001" customHeight="1">
      <c r="A103" s="402"/>
      <c r="B103" s="393"/>
      <c r="C103" s="394"/>
      <c r="D103" s="393"/>
      <c r="E103" s="393"/>
      <c r="F103" s="393"/>
      <c r="G103" s="395"/>
      <c r="H103" s="396"/>
      <c r="I103" s="393"/>
      <c r="J103" s="393"/>
      <c r="K103" s="393"/>
      <c r="L103" s="393"/>
      <c r="M103" s="382"/>
      <c r="N103" s="393"/>
      <c r="O103" s="393"/>
      <c r="P103" s="396"/>
      <c r="Q103" s="393"/>
      <c r="R103" s="393"/>
      <c r="S103" s="393"/>
      <c r="T103" s="393"/>
      <c r="U103" s="393"/>
      <c r="V103" s="393"/>
      <c r="W103" s="393"/>
      <c r="X103" s="393"/>
      <c r="Y103" s="397"/>
      <c r="Z103" s="393"/>
      <c r="AA103" s="393"/>
      <c r="AB103" s="401"/>
      <c r="AC103" s="401"/>
      <c r="AD103" s="401"/>
      <c r="AE103" s="401"/>
      <c r="AF103" s="401"/>
      <c r="AG103" s="401"/>
      <c r="AH103" s="401"/>
      <c r="AI103" s="401"/>
      <c r="AJ103" s="401"/>
      <c r="AK103" s="401"/>
      <c r="AL103" s="401"/>
    </row>
    <row r="104" spans="1:38" s="154" customFormat="1" ht="20.100000000000001" customHeight="1">
      <c r="A104" s="402"/>
      <c r="B104" s="393"/>
      <c r="C104" s="394"/>
      <c r="D104" s="393"/>
      <c r="E104" s="393"/>
      <c r="F104" s="393"/>
      <c r="G104" s="395"/>
      <c r="H104" s="396"/>
      <c r="I104" s="393"/>
      <c r="J104" s="393"/>
      <c r="K104" s="393"/>
      <c r="L104" s="393"/>
      <c r="M104" s="382"/>
      <c r="N104" s="393"/>
      <c r="O104" s="393"/>
      <c r="P104" s="396"/>
      <c r="Q104" s="393"/>
      <c r="R104" s="393"/>
      <c r="S104" s="393"/>
      <c r="T104" s="393"/>
      <c r="U104" s="393"/>
      <c r="V104" s="393"/>
      <c r="W104" s="393"/>
      <c r="X104" s="393"/>
      <c r="Y104" s="397"/>
      <c r="Z104" s="393"/>
      <c r="AA104" s="393"/>
      <c r="AB104" s="401"/>
      <c r="AC104" s="401"/>
      <c r="AD104" s="401"/>
      <c r="AE104" s="401"/>
      <c r="AF104" s="401"/>
      <c r="AG104" s="401"/>
      <c r="AH104" s="401"/>
      <c r="AI104" s="401"/>
      <c r="AJ104" s="401"/>
      <c r="AK104" s="401"/>
      <c r="AL104" s="401"/>
    </row>
    <row r="105" spans="1:38" s="154" customFormat="1" ht="20.100000000000001" customHeight="1">
      <c r="A105" s="402"/>
      <c r="B105" s="393"/>
      <c r="C105" s="394"/>
      <c r="D105" s="393"/>
      <c r="E105" s="393"/>
      <c r="F105" s="393"/>
      <c r="G105" s="395"/>
      <c r="H105" s="396"/>
      <c r="I105" s="393"/>
      <c r="J105" s="393"/>
      <c r="K105" s="393"/>
      <c r="L105" s="393"/>
      <c r="M105" s="382"/>
      <c r="N105" s="393"/>
      <c r="O105" s="393"/>
      <c r="P105" s="396"/>
      <c r="Q105" s="393"/>
      <c r="R105" s="393"/>
      <c r="S105" s="393"/>
      <c r="T105" s="393"/>
      <c r="U105" s="393"/>
      <c r="V105" s="393"/>
      <c r="W105" s="393"/>
      <c r="X105" s="393"/>
      <c r="Y105" s="397"/>
      <c r="Z105" s="393"/>
      <c r="AA105" s="393"/>
      <c r="AB105" s="401"/>
      <c r="AC105" s="401"/>
      <c r="AD105" s="401"/>
      <c r="AE105" s="401"/>
      <c r="AF105" s="401"/>
      <c r="AG105" s="401"/>
      <c r="AH105" s="401"/>
      <c r="AI105" s="401"/>
      <c r="AJ105" s="401"/>
      <c r="AK105" s="401"/>
      <c r="AL105" s="401"/>
    </row>
    <row r="106" spans="1:38" s="154" customFormat="1" ht="20.100000000000001" customHeight="1">
      <c r="A106" s="402"/>
      <c r="B106" s="393"/>
      <c r="C106" s="394"/>
      <c r="D106" s="393"/>
      <c r="E106" s="393"/>
      <c r="F106" s="393"/>
      <c r="G106" s="395"/>
      <c r="H106" s="396"/>
      <c r="I106" s="393"/>
      <c r="J106" s="393"/>
      <c r="K106" s="393"/>
      <c r="L106" s="393"/>
      <c r="M106" s="382"/>
      <c r="N106" s="393"/>
      <c r="O106" s="393"/>
      <c r="P106" s="396"/>
      <c r="Q106" s="393"/>
      <c r="R106" s="393"/>
      <c r="S106" s="393"/>
      <c r="T106" s="393"/>
      <c r="U106" s="393"/>
      <c r="V106" s="393"/>
      <c r="W106" s="393"/>
      <c r="X106" s="393"/>
      <c r="Y106" s="397"/>
      <c r="Z106" s="393"/>
      <c r="AA106" s="393"/>
      <c r="AB106" s="401"/>
      <c r="AC106" s="401"/>
      <c r="AD106" s="401"/>
      <c r="AE106" s="401"/>
      <c r="AF106" s="401"/>
      <c r="AG106" s="401"/>
      <c r="AH106" s="401"/>
      <c r="AI106" s="401"/>
      <c r="AJ106" s="401"/>
      <c r="AK106" s="401"/>
      <c r="AL106" s="401"/>
    </row>
    <row r="107" spans="1:38" s="154" customFormat="1" ht="20.100000000000001" customHeight="1">
      <c r="A107" s="402"/>
      <c r="B107" s="393"/>
      <c r="C107" s="394"/>
      <c r="D107" s="393"/>
      <c r="E107" s="393"/>
      <c r="F107" s="393"/>
      <c r="G107" s="395"/>
      <c r="H107" s="396"/>
      <c r="I107" s="393"/>
      <c r="J107" s="393"/>
      <c r="K107" s="393"/>
      <c r="L107" s="393"/>
      <c r="M107" s="382"/>
      <c r="N107" s="393"/>
      <c r="O107" s="393"/>
      <c r="P107" s="396"/>
      <c r="Q107" s="393"/>
      <c r="R107" s="393"/>
      <c r="S107" s="393"/>
      <c r="T107" s="393"/>
      <c r="U107" s="393"/>
      <c r="V107" s="393"/>
      <c r="W107" s="393"/>
      <c r="X107" s="393"/>
      <c r="Y107" s="397"/>
      <c r="Z107" s="393"/>
      <c r="AA107" s="393"/>
      <c r="AB107" s="401"/>
      <c r="AC107" s="401"/>
      <c r="AD107" s="401"/>
      <c r="AE107" s="401"/>
      <c r="AF107" s="401"/>
      <c r="AG107" s="401"/>
      <c r="AH107" s="401"/>
      <c r="AI107" s="401"/>
      <c r="AJ107" s="401"/>
      <c r="AK107" s="401"/>
      <c r="AL107" s="401"/>
    </row>
    <row r="108" spans="1:38" s="154" customFormat="1" ht="20.100000000000001" customHeight="1">
      <c r="A108" s="402"/>
      <c r="B108" s="393"/>
      <c r="C108" s="394"/>
      <c r="D108" s="393"/>
      <c r="E108" s="393"/>
      <c r="F108" s="393"/>
      <c r="G108" s="395"/>
      <c r="H108" s="396"/>
      <c r="I108" s="393"/>
      <c r="J108" s="393"/>
      <c r="K108" s="393"/>
      <c r="L108" s="393"/>
      <c r="M108" s="382"/>
      <c r="N108" s="393"/>
      <c r="O108" s="393"/>
      <c r="P108" s="396"/>
      <c r="Q108" s="393"/>
      <c r="R108" s="393"/>
      <c r="S108" s="393"/>
      <c r="T108" s="393"/>
      <c r="U108" s="393"/>
      <c r="V108" s="393"/>
      <c r="W108" s="393"/>
      <c r="X108" s="393"/>
      <c r="Y108" s="397"/>
      <c r="Z108" s="393"/>
      <c r="AA108" s="393"/>
      <c r="AB108" s="401"/>
      <c r="AC108" s="401"/>
      <c r="AD108" s="401"/>
      <c r="AE108" s="401"/>
      <c r="AF108" s="401"/>
      <c r="AG108" s="401"/>
      <c r="AH108" s="401"/>
      <c r="AI108" s="401"/>
      <c r="AJ108" s="401"/>
      <c r="AK108" s="401"/>
      <c r="AL108" s="401"/>
    </row>
    <row r="109" spans="1:38" s="154" customFormat="1" ht="20.100000000000001" customHeight="1">
      <c r="A109" s="402"/>
      <c r="B109" s="393"/>
      <c r="C109" s="394"/>
      <c r="D109" s="393"/>
      <c r="E109" s="393"/>
      <c r="F109" s="393"/>
      <c r="G109" s="395"/>
      <c r="H109" s="396"/>
      <c r="I109" s="393"/>
      <c r="J109" s="393"/>
      <c r="K109" s="393"/>
      <c r="L109" s="393"/>
      <c r="M109" s="382"/>
      <c r="N109" s="393"/>
      <c r="O109" s="393"/>
      <c r="P109" s="396"/>
      <c r="Q109" s="393"/>
      <c r="R109" s="393"/>
      <c r="S109" s="393"/>
      <c r="T109" s="393"/>
      <c r="U109" s="393"/>
      <c r="V109" s="393"/>
      <c r="W109" s="393"/>
      <c r="X109" s="393"/>
      <c r="Y109" s="397"/>
      <c r="Z109" s="393"/>
      <c r="AA109" s="393"/>
      <c r="AB109" s="401"/>
      <c r="AC109" s="401"/>
      <c r="AD109" s="401"/>
      <c r="AE109" s="401"/>
      <c r="AF109" s="401"/>
      <c r="AG109" s="401"/>
      <c r="AH109" s="401"/>
      <c r="AI109" s="401"/>
      <c r="AJ109" s="401"/>
      <c r="AK109" s="401"/>
      <c r="AL109" s="401"/>
    </row>
    <row r="110" spans="1:38" s="154" customFormat="1" ht="20.100000000000001" customHeight="1">
      <c r="A110" s="402"/>
      <c r="B110" s="393"/>
      <c r="C110" s="394"/>
      <c r="D110" s="393"/>
      <c r="E110" s="393"/>
      <c r="F110" s="393"/>
      <c r="G110" s="395"/>
      <c r="H110" s="396"/>
      <c r="I110" s="393"/>
      <c r="J110" s="393"/>
      <c r="K110" s="393"/>
      <c r="L110" s="393"/>
      <c r="M110" s="382"/>
      <c r="N110" s="393"/>
      <c r="O110" s="393"/>
      <c r="P110" s="396"/>
      <c r="Q110" s="393"/>
      <c r="R110" s="393"/>
      <c r="S110" s="393"/>
      <c r="T110" s="393"/>
      <c r="U110" s="393"/>
      <c r="V110" s="393"/>
      <c r="W110" s="393"/>
      <c r="X110" s="393"/>
      <c r="Y110" s="397"/>
      <c r="Z110" s="393"/>
      <c r="AA110" s="393"/>
      <c r="AB110" s="401"/>
      <c r="AC110" s="401"/>
      <c r="AD110" s="401"/>
      <c r="AE110" s="401"/>
      <c r="AF110" s="401"/>
      <c r="AG110" s="401"/>
      <c r="AH110" s="401"/>
      <c r="AI110" s="401"/>
      <c r="AJ110" s="401"/>
      <c r="AK110" s="401"/>
      <c r="AL110" s="401"/>
    </row>
    <row r="111" spans="1:38" s="154" customFormat="1" ht="20.100000000000001" customHeight="1">
      <c r="A111" s="402"/>
      <c r="B111" s="393"/>
      <c r="C111" s="394"/>
      <c r="D111" s="393"/>
      <c r="E111" s="393"/>
      <c r="F111" s="393"/>
      <c r="G111" s="395"/>
      <c r="H111" s="396"/>
      <c r="I111" s="393"/>
      <c r="J111" s="393"/>
      <c r="K111" s="393"/>
      <c r="L111" s="393"/>
      <c r="M111" s="382"/>
      <c r="N111" s="393"/>
      <c r="O111" s="393"/>
      <c r="P111" s="396"/>
      <c r="Q111" s="393"/>
      <c r="R111" s="393"/>
      <c r="S111" s="393"/>
      <c r="T111" s="393"/>
      <c r="U111" s="393"/>
      <c r="V111" s="393"/>
      <c r="W111" s="393"/>
      <c r="X111" s="393"/>
      <c r="Y111" s="397"/>
      <c r="Z111" s="393"/>
      <c r="AA111" s="393"/>
      <c r="AB111" s="401"/>
      <c r="AC111" s="401"/>
      <c r="AD111" s="401"/>
      <c r="AE111" s="401"/>
      <c r="AF111" s="401"/>
      <c r="AG111" s="401"/>
      <c r="AH111" s="401"/>
      <c r="AI111" s="401"/>
      <c r="AJ111" s="401"/>
      <c r="AK111" s="401"/>
      <c r="AL111" s="401"/>
    </row>
    <row r="112" spans="1:38" s="154" customFormat="1" ht="20.100000000000001" customHeight="1">
      <c r="A112" s="402"/>
      <c r="B112" s="393"/>
      <c r="C112" s="394"/>
      <c r="D112" s="393"/>
      <c r="E112" s="393"/>
      <c r="F112" s="393"/>
      <c r="G112" s="395"/>
      <c r="H112" s="396"/>
      <c r="I112" s="393"/>
      <c r="J112" s="393"/>
      <c r="K112" s="393"/>
      <c r="L112" s="393"/>
      <c r="M112" s="382"/>
      <c r="N112" s="393"/>
      <c r="O112" s="393"/>
      <c r="P112" s="396"/>
      <c r="Q112" s="393"/>
      <c r="R112" s="393"/>
      <c r="S112" s="393"/>
      <c r="T112" s="393"/>
      <c r="U112" s="393"/>
      <c r="V112" s="393"/>
      <c r="W112" s="393"/>
      <c r="X112" s="393"/>
      <c r="Y112" s="397"/>
      <c r="Z112" s="393"/>
      <c r="AA112" s="393"/>
      <c r="AB112" s="401"/>
      <c r="AC112" s="401"/>
      <c r="AD112" s="401"/>
      <c r="AE112" s="401"/>
      <c r="AF112" s="401"/>
      <c r="AG112" s="401"/>
      <c r="AH112" s="401"/>
      <c r="AI112" s="401"/>
      <c r="AJ112" s="401"/>
      <c r="AK112" s="401"/>
      <c r="AL112" s="401"/>
    </row>
    <row r="113" spans="1:38" s="154" customFormat="1" ht="20.100000000000001" customHeight="1">
      <c r="A113" s="402"/>
      <c r="B113" s="393"/>
      <c r="C113" s="394"/>
      <c r="D113" s="393"/>
      <c r="E113" s="393"/>
      <c r="F113" s="393"/>
      <c r="G113" s="395"/>
      <c r="H113" s="396"/>
      <c r="I113" s="393"/>
      <c r="J113" s="393"/>
      <c r="K113" s="393"/>
      <c r="L113" s="393"/>
      <c r="M113" s="382"/>
      <c r="N113" s="393"/>
      <c r="O113" s="393"/>
      <c r="P113" s="396"/>
      <c r="Q113" s="393"/>
      <c r="R113" s="393"/>
      <c r="S113" s="393"/>
      <c r="T113" s="393"/>
      <c r="U113" s="393"/>
      <c r="V113" s="393"/>
      <c r="W113" s="393"/>
      <c r="X113" s="393"/>
      <c r="Y113" s="397"/>
      <c r="Z113" s="393"/>
      <c r="AA113" s="393"/>
      <c r="AB113" s="401"/>
      <c r="AC113" s="401"/>
      <c r="AD113" s="401"/>
      <c r="AE113" s="401"/>
      <c r="AF113" s="401"/>
      <c r="AG113" s="401"/>
      <c r="AH113" s="401"/>
      <c r="AI113" s="401"/>
      <c r="AJ113" s="401"/>
      <c r="AK113" s="401"/>
      <c r="AL113" s="401"/>
    </row>
    <row r="114" spans="1:38" s="154" customFormat="1" ht="20.100000000000001" customHeight="1">
      <c r="A114" s="402"/>
      <c r="B114" s="393"/>
      <c r="C114" s="394"/>
      <c r="D114" s="393"/>
      <c r="E114" s="393"/>
      <c r="F114" s="393"/>
      <c r="G114" s="395"/>
      <c r="H114" s="396"/>
      <c r="I114" s="393"/>
      <c r="J114" s="393"/>
      <c r="K114" s="393"/>
      <c r="L114" s="393"/>
      <c r="M114" s="382"/>
      <c r="N114" s="393"/>
      <c r="O114" s="393"/>
      <c r="P114" s="396"/>
      <c r="Q114" s="393"/>
      <c r="R114" s="393"/>
      <c r="S114" s="393"/>
      <c r="T114" s="393"/>
      <c r="U114" s="393"/>
      <c r="V114" s="393"/>
      <c r="W114" s="393"/>
      <c r="X114" s="393"/>
      <c r="Y114" s="397"/>
      <c r="Z114" s="393"/>
      <c r="AA114" s="393"/>
      <c r="AB114" s="401"/>
      <c r="AC114" s="401"/>
      <c r="AD114" s="401"/>
      <c r="AE114" s="401"/>
      <c r="AF114" s="401"/>
      <c r="AG114" s="401"/>
      <c r="AH114" s="401"/>
      <c r="AI114" s="401"/>
      <c r="AJ114" s="401"/>
      <c r="AK114" s="401"/>
      <c r="AL114" s="401"/>
    </row>
    <row r="115" spans="1:38" s="154" customFormat="1" ht="20.100000000000001" customHeight="1">
      <c r="A115" s="402"/>
      <c r="B115" s="393"/>
      <c r="C115" s="394"/>
      <c r="D115" s="393"/>
      <c r="E115" s="393"/>
      <c r="F115" s="393"/>
      <c r="G115" s="395"/>
      <c r="H115" s="396"/>
      <c r="I115" s="393"/>
      <c r="J115" s="393"/>
      <c r="K115" s="393"/>
      <c r="L115" s="393"/>
      <c r="M115" s="382"/>
      <c r="N115" s="393"/>
      <c r="O115" s="393"/>
      <c r="P115" s="396"/>
      <c r="Q115" s="393"/>
      <c r="R115" s="393"/>
      <c r="S115" s="393"/>
      <c r="T115" s="393"/>
      <c r="U115" s="393"/>
      <c r="V115" s="393"/>
      <c r="W115" s="393"/>
      <c r="X115" s="393"/>
      <c r="Y115" s="397"/>
      <c r="Z115" s="393"/>
      <c r="AA115" s="393"/>
      <c r="AB115" s="401"/>
      <c r="AC115" s="401"/>
      <c r="AD115" s="401"/>
      <c r="AE115" s="401"/>
      <c r="AF115" s="401"/>
      <c r="AG115" s="401"/>
      <c r="AH115" s="401"/>
      <c r="AI115" s="401"/>
      <c r="AJ115" s="401"/>
      <c r="AK115" s="401"/>
      <c r="AL115" s="401"/>
    </row>
    <row r="116" spans="1:38" s="154" customFormat="1" ht="20.100000000000001" customHeight="1">
      <c r="A116" s="402"/>
      <c r="B116" s="393"/>
      <c r="C116" s="394"/>
      <c r="D116" s="393"/>
      <c r="E116" s="393"/>
      <c r="F116" s="393"/>
      <c r="G116" s="395"/>
      <c r="H116" s="396"/>
      <c r="I116" s="393"/>
      <c r="J116" s="393"/>
      <c r="K116" s="393"/>
      <c r="L116" s="393"/>
      <c r="M116" s="382"/>
      <c r="N116" s="393"/>
      <c r="O116" s="393"/>
      <c r="P116" s="396"/>
      <c r="Q116" s="393"/>
      <c r="R116" s="393"/>
      <c r="S116" s="393"/>
      <c r="T116" s="393"/>
      <c r="U116" s="393"/>
      <c r="V116" s="393"/>
      <c r="W116" s="393"/>
      <c r="X116" s="393"/>
      <c r="Y116" s="397"/>
      <c r="Z116" s="393"/>
      <c r="AA116" s="393"/>
      <c r="AB116" s="401"/>
      <c r="AC116" s="401"/>
      <c r="AD116" s="401"/>
      <c r="AE116" s="401"/>
      <c r="AF116" s="401"/>
      <c r="AG116" s="401"/>
      <c r="AH116" s="401"/>
      <c r="AI116" s="401"/>
      <c r="AJ116" s="401"/>
      <c r="AK116" s="401"/>
      <c r="AL116" s="401"/>
    </row>
    <row r="117" spans="1:38" s="154" customFormat="1" ht="20.100000000000001" customHeight="1">
      <c r="A117" s="402"/>
      <c r="B117" s="393"/>
      <c r="C117" s="394"/>
      <c r="D117" s="393"/>
      <c r="E117" s="393"/>
      <c r="F117" s="393"/>
      <c r="G117" s="395"/>
      <c r="H117" s="396"/>
      <c r="I117" s="393"/>
      <c r="J117" s="393"/>
      <c r="K117" s="393"/>
      <c r="L117" s="393"/>
      <c r="M117" s="382"/>
      <c r="N117" s="393"/>
      <c r="O117" s="393"/>
      <c r="P117" s="396"/>
      <c r="Q117" s="393"/>
      <c r="R117" s="393"/>
      <c r="S117" s="393"/>
      <c r="T117" s="393"/>
      <c r="U117" s="393"/>
      <c r="V117" s="393"/>
      <c r="W117" s="393"/>
      <c r="X117" s="393"/>
      <c r="Y117" s="397"/>
      <c r="Z117" s="393"/>
      <c r="AA117" s="393"/>
      <c r="AB117" s="401"/>
      <c r="AC117" s="401"/>
      <c r="AD117" s="401"/>
      <c r="AE117" s="401"/>
      <c r="AF117" s="401"/>
      <c r="AG117" s="401"/>
      <c r="AH117" s="401"/>
      <c r="AI117" s="401"/>
      <c r="AJ117" s="401"/>
      <c r="AK117" s="401"/>
      <c r="AL117" s="401"/>
    </row>
    <row r="118" spans="1:38" s="154" customFormat="1" ht="20.100000000000001" customHeight="1">
      <c r="A118" s="402"/>
      <c r="B118" s="393"/>
      <c r="C118" s="394"/>
      <c r="D118" s="393"/>
      <c r="E118" s="393"/>
      <c r="F118" s="393"/>
      <c r="G118" s="395"/>
      <c r="H118" s="396"/>
      <c r="I118" s="393"/>
      <c r="J118" s="393"/>
      <c r="K118" s="393"/>
      <c r="L118" s="393"/>
      <c r="M118" s="382"/>
      <c r="N118" s="393"/>
      <c r="O118" s="393"/>
      <c r="P118" s="396"/>
      <c r="Q118" s="393"/>
      <c r="R118" s="393"/>
      <c r="S118" s="393"/>
      <c r="T118" s="393"/>
      <c r="U118" s="393"/>
      <c r="V118" s="393"/>
      <c r="W118" s="393"/>
      <c r="X118" s="393"/>
      <c r="Y118" s="397"/>
      <c r="Z118" s="393"/>
      <c r="AA118" s="393"/>
      <c r="AB118" s="401"/>
      <c r="AC118" s="401"/>
      <c r="AD118" s="401"/>
      <c r="AE118" s="401"/>
      <c r="AF118" s="401"/>
      <c r="AG118" s="401"/>
      <c r="AH118" s="401"/>
      <c r="AI118" s="401"/>
      <c r="AJ118" s="401"/>
      <c r="AK118" s="401"/>
      <c r="AL118" s="401"/>
    </row>
    <row r="119" spans="1:38" s="154" customFormat="1" ht="20.100000000000001" customHeight="1">
      <c r="A119" s="402"/>
      <c r="B119" s="393"/>
      <c r="C119" s="394"/>
      <c r="D119" s="393"/>
      <c r="E119" s="393"/>
      <c r="F119" s="393"/>
      <c r="G119" s="395"/>
      <c r="H119" s="396"/>
      <c r="I119" s="393"/>
      <c r="J119" s="393"/>
      <c r="K119" s="393"/>
      <c r="L119" s="393"/>
      <c r="M119" s="382"/>
      <c r="N119" s="393"/>
      <c r="O119" s="393"/>
      <c r="P119" s="396"/>
      <c r="Q119" s="393"/>
      <c r="R119" s="393"/>
      <c r="S119" s="393"/>
      <c r="T119" s="393"/>
      <c r="U119" s="393"/>
      <c r="V119" s="393"/>
      <c r="W119" s="393"/>
      <c r="X119" s="393"/>
      <c r="Y119" s="397"/>
      <c r="Z119" s="393"/>
      <c r="AA119" s="393"/>
      <c r="AB119" s="401"/>
      <c r="AC119" s="401"/>
      <c r="AD119" s="401"/>
      <c r="AE119" s="401"/>
      <c r="AF119" s="401"/>
      <c r="AG119" s="401"/>
      <c r="AH119" s="401"/>
      <c r="AI119" s="401"/>
      <c r="AJ119" s="401"/>
      <c r="AK119" s="401"/>
      <c r="AL119" s="401"/>
    </row>
    <row r="120" spans="1:38" s="154" customFormat="1" ht="20.100000000000001" customHeight="1">
      <c r="A120" s="402"/>
      <c r="B120" s="393"/>
      <c r="C120" s="394"/>
      <c r="D120" s="393"/>
      <c r="E120" s="393"/>
      <c r="F120" s="393"/>
      <c r="G120" s="395"/>
      <c r="H120" s="396"/>
      <c r="I120" s="393"/>
      <c r="J120" s="393"/>
      <c r="K120" s="393"/>
      <c r="L120" s="393"/>
      <c r="M120" s="382"/>
      <c r="N120" s="393"/>
      <c r="O120" s="393"/>
      <c r="P120" s="396"/>
      <c r="Q120" s="393"/>
      <c r="R120" s="393"/>
      <c r="S120" s="393"/>
      <c r="T120" s="393"/>
      <c r="U120" s="393"/>
      <c r="V120" s="393"/>
      <c r="W120" s="393"/>
      <c r="X120" s="393"/>
      <c r="Y120" s="397"/>
      <c r="Z120" s="393"/>
      <c r="AA120" s="393"/>
      <c r="AB120" s="401"/>
      <c r="AC120" s="401"/>
      <c r="AD120" s="401"/>
      <c r="AE120" s="401"/>
      <c r="AF120" s="401"/>
      <c r="AG120" s="401"/>
      <c r="AH120" s="401"/>
      <c r="AI120" s="401"/>
      <c r="AJ120" s="401"/>
      <c r="AK120" s="401"/>
      <c r="AL120" s="401"/>
    </row>
    <row r="121" spans="1:38" s="154" customFormat="1" ht="20.100000000000001" customHeight="1">
      <c r="A121" s="402"/>
      <c r="B121" s="393"/>
      <c r="C121" s="394"/>
      <c r="D121" s="393"/>
      <c r="E121" s="393"/>
      <c r="F121" s="393"/>
      <c r="G121" s="395"/>
      <c r="H121" s="396"/>
      <c r="I121" s="393"/>
      <c r="J121" s="393"/>
      <c r="K121" s="393"/>
      <c r="L121" s="393"/>
      <c r="M121" s="382"/>
      <c r="N121" s="393"/>
      <c r="O121" s="393"/>
      <c r="P121" s="396"/>
      <c r="Q121" s="393"/>
      <c r="R121" s="393"/>
      <c r="S121" s="393"/>
      <c r="T121" s="393"/>
      <c r="U121" s="393"/>
      <c r="V121" s="393"/>
      <c r="W121" s="393"/>
      <c r="X121" s="393"/>
      <c r="Y121" s="397"/>
      <c r="Z121" s="393"/>
      <c r="AA121" s="393"/>
      <c r="AB121" s="401"/>
      <c r="AC121" s="401"/>
      <c r="AD121" s="401"/>
      <c r="AE121" s="401"/>
      <c r="AF121" s="401"/>
      <c r="AG121" s="401"/>
      <c r="AH121" s="401"/>
      <c r="AI121" s="401"/>
      <c r="AJ121" s="401"/>
      <c r="AK121" s="401"/>
      <c r="AL121" s="401"/>
    </row>
    <row r="122" spans="1:38" s="154" customFormat="1" ht="20.100000000000001" customHeight="1">
      <c r="A122" s="402"/>
      <c r="B122" s="393"/>
      <c r="C122" s="394"/>
      <c r="D122" s="393"/>
      <c r="E122" s="393"/>
      <c r="F122" s="393"/>
      <c r="G122" s="395"/>
      <c r="H122" s="396"/>
      <c r="I122" s="393"/>
      <c r="J122" s="393"/>
      <c r="K122" s="393"/>
      <c r="L122" s="393"/>
      <c r="M122" s="382"/>
      <c r="N122" s="393"/>
      <c r="O122" s="393"/>
      <c r="P122" s="396"/>
      <c r="Q122" s="393"/>
      <c r="R122" s="393"/>
      <c r="S122" s="393"/>
      <c r="T122" s="393"/>
      <c r="U122" s="393"/>
      <c r="V122" s="393"/>
      <c r="W122" s="393"/>
      <c r="X122" s="393"/>
      <c r="Y122" s="397"/>
      <c r="Z122" s="393"/>
      <c r="AA122" s="393"/>
      <c r="AB122" s="401"/>
      <c r="AC122" s="401"/>
      <c r="AD122" s="401"/>
      <c r="AE122" s="401"/>
      <c r="AF122" s="401"/>
      <c r="AG122" s="401"/>
      <c r="AH122" s="401"/>
      <c r="AI122" s="401"/>
      <c r="AJ122" s="401"/>
      <c r="AK122" s="401"/>
      <c r="AL122" s="401"/>
    </row>
    <row r="123" spans="1:38" s="154" customFormat="1" ht="20.100000000000001" customHeight="1">
      <c r="A123" s="402"/>
      <c r="B123" s="393"/>
      <c r="C123" s="394"/>
      <c r="D123" s="393"/>
      <c r="E123" s="393"/>
      <c r="F123" s="393"/>
      <c r="G123" s="395"/>
      <c r="H123" s="396"/>
      <c r="I123" s="393"/>
      <c r="J123" s="393"/>
      <c r="K123" s="393"/>
      <c r="L123" s="393"/>
      <c r="M123" s="382"/>
      <c r="N123" s="393"/>
      <c r="O123" s="393"/>
      <c r="P123" s="396"/>
      <c r="Q123" s="393"/>
      <c r="R123" s="393"/>
      <c r="S123" s="393"/>
      <c r="T123" s="393"/>
      <c r="U123" s="393"/>
      <c r="V123" s="393"/>
      <c r="W123" s="393"/>
      <c r="X123" s="393"/>
      <c r="Y123" s="397"/>
      <c r="Z123" s="393"/>
      <c r="AA123" s="393"/>
      <c r="AB123" s="401"/>
      <c r="AC123" s="401"/>
      <c r="AD123" s="401"/>
      <c r="AE123" s="401"/>
      <c r="AF123" s="401"/>
      <c r="AG123" s="401"/>
      <c r="AH123" s="401"/>
      <c r="AI123" s="401"/>
      <c r="AJ123" s="401"/>
      <c r="AK123" s="401"/>
      <c r="AL123" s="401"/>
    </row>
    <row r="124" spans="1:38" s="154" customFormat="1" ht="20.100000000000001" customHeight="1">
      <c r="A124" s="402"/>
      <c r="B124" s="393"/>
      <c r="C124" s="394"/>
      <c r="D124" s="393"/>
      <c r="E124" s="393"/>
      <c r="F124" s="393"/>
      <c r="G124" s="395"/>
      <c r="H124" s="396"/>
      <c r="I124" s="393"/>
      <c r="J124" s="393"/>
      <c r="K124" s="393"/>
      <c r="L124" s="393"/>
      <c r="M124" s="382"/>
      <c r="N124" s="393"/>
      <c r="O124" s="393"/>
      <c r="P124" s="396"/>
      <c r="Q124" s="393"/>
      <c r="R124" s="393"/>
      <c r="S124" s="393"/>
      <c r="T124" s="393"/>
      <c r="U124" s="393"/>
      <c r="V124" s="393"/>
      <c r="W124" s="393"/>
      <c r="X124" s="393"/>
      <c r="Y124" s="397"/>
      <c r="Z124" s="393"/>
      <c r="AA124" s="393"/>
      <c r="AB124" s="401"/>
      <c r="AC124" s="401"/>
      <c r="AD124" s="401"/>
      <c r="AE124" s="401"/>
      <c r="AF124" s="401"/>
      <c r="AG124" s="401"/>
      <c r="AH124" s="401"/>
      <c r="AI124" s="401"/>
      <c r="AJ124" s="401"/>
      <c r="AK124" s="401"/>
      <c r="AL124" s="401"/>
    </row>
    <row r="125" spans="1:38" s="154" customFormat="1" ht="20.100000000000001" customHeight="1">
      <c r="A125" s="402"/>
      <c r="B125" s="393"/>
      <c r="C125" s="394"/>
      <c r="D125" s="393"/>
      <c r="E125" s="393"/>
      <c r="F125" s="393"/>
      <c r="G125" s="395"/>
      <c r="H125" s="396"/>
      <c r="I125" s="393"/>
      <c r="J125" s="393"/>
      <c r="K125" s="393"/>
      <c r="L125" s="393"/>
      <c r="M125" s="382"/>
      <c r="N125" s="393"/>
      <c r="O125" s="393"/>
      <c r="P125" s="396"/>
      <c r="Q125" s="393"/>
      <c r="R125" s="393"/>
      <c r="S125" s="393"/>
      <c r="T125" s="393"/>
      <c r="U125" s="393"/>
      <c r="V125" s="393"/>
      <c r="W125" s="393"/>
      <c r="X125" s="393"/>
      <c r="Y125" s="397"/>
      <c r="Z125" s="393"/>
      <c r="AA125" s="393"/>
      <c r="AB125" s="401"/>
      <c r="AC125" s="401"/>
      <c r="AD125" s="401"/>
      <c r="AE125" s="401"/>
      <c r="AF125" s="401"/>
      <c r="AG125" s="401"/>
      <c r="AH125" s="401"/>
      <c r="AI125" s="401"/>
      <c r="AJ125" s="401"/>
      <c r="AK125" s="401"/>
      <c r="AL125" s="401"/>
    </row>
    <row r="126" spans="1:38" s="154" customFormat="1" ht="20.100000000000001" customHeight="1">
      <c r="A126" s="402"/>
      <c r="B126" s="393"/>
      <c r="C126" s="394"/>
      <c r="D126" s="393"/>
      <c r="E126" s="393"/>
      <c r="F126" s="393"/>
      <c r="G126" s="395"/>
      <c r="H126" s="396"/>
      <c r="I126" s="393"/>
      <c r="J126" s="393"/>
      <c r="K126" s="393"/>
      <c r="L126" s="393"/>
      <c r="M126" s="382"/>
      <c r="N126" s="393"/>
      <c r="O126" s="393"/>
      <c r="P126" s="396"/>
      <c r="Q126" s="393"/>
      <c r="R126" s="393"/>
      <c r="S126" s="393"/>
      <c r="T126" s="393"/>
      <c r="U126" s="393"/>
      <c r="V126" s="393"/>
      <c r="W126" s="393"/>
      <c r="X126" s="393"/>
      <c r="Y126" s="397"/>
      <c r="Z126" s="393"/>
      <c r="AA126" s="393"/>
      <c r="AB126" s="401"/>
      <c r="AC126" s="401"/>
      <c r="AD126" s="401"/>
      <c r="AE126" s="401"/>
      <c r="AF126" s="401"/>
      <c r="AG126" s="401"/>
      <c r="AH126" s="401"/>
      <c r="AI126" s="401"/>
      <c r="AJ126" s="401"/>
      <c r="AK126" s="401"/>
      <c r="AL126" s="401"/>
    </row>
    <row r="127" spans="1:38" s="154" customFormat="1" ht="20.100000000000001" customHeight="1">
      <c r="A127" s="402"/>
      <c r="B127" s="393"/>
      <c r="C127" s="394"/>
      <c r="D127" s="393"/>
      <c r="E127" s="393"/>
      <c r="F127" s="393"/>
      <c r="G127" s="395"/>
      <c r="H127" s="396"/>
      <c r="I127" s="393"/>
      <c r="J127" s="393"/>
      <c r="K127" s="393"/>
      <c r="L127" s="393"/>
      <c r="M127" s="382"/>
      <c r="N127" s="393"/>
      <c r="O127" s="393"/>
      <c r="P127" s="396"/>
      <c r="Q127" s="393"/>
      <c r="R127" s="393"/>
      <c r="S127" s="393"/>
      <c r="T127" s="393"/>
      <c r="U127" s="393"/>
      <c r="V127" s="393"/>
      <c r="W127" s="393"/>
      <c r="X127" s="393"/>
      <c r="Y127" s="397"/>
      <c r="Z127" s="393"/>
      <c r="AA127" s="393"/>
      <c r="AB127" s="401"/>
      <c r="AC127" s="401"/>
      <c r="AD127" s="401"/>
      <c r="AE127" s="401"/>
      <c r="AF127" s="401"/>
      <c r="AG127" s="401"/>
      <c r="AH127" s="401"/>
      <c r="AI127" s="401"/>
      <c r="AJ127" s="401"/>
      <c r="AK127" s="401"/>
      <c r="AL127" s="401"/>
    </row>
    <row r="128" spans="1:38" s="154" customFormat="1" ht="20.100000000000001" customHeight="1">
      <c r="A128" s="402"/>
      <c r="B128" s="393"/>
      <c r="C128" s="394"/>
      <c r="D128" s="393"/>
      <c r="E128" s="393"/>
      <c r="F128" s="393"/>
      <c r="G128" s="395"/>
      <c r="H128" s="396"/>
      <c r="I128" s="393"/>
      <c r="J128" s="393"/>
      <c r="K128" s="393"/>
      <c r="L128" s="393"/>
      <c r="M128" s="382"/>
      <c r="N128" s="393"/>
      <c r="O128" s="393"/>
      <c r="P128" s="396"/>
      <c r="Q128" s="393"/>
      <c r="R128" s="393"/>
      <c r="S128" s="393"/>
      <c r="T128" s="393"/>
      <c r="U128" s="393"/>
      <c r="V128" s="393"/>
      <c r="W128" s="393"/>
      <c r="X128" s="393"/>
      <c r="Y128" s="397"/>
      <c r="Z128" s="393"/>
      <c r="AA128" s="393"/>
      <c r="AB128" s="401"/>
      <c r="AC128" s="401"/>
      <c r="AD128" s="401"/>
      <c r="AE128" s="401"/>
      <c r="AF128" s="401"/>
      <c r="AG128" s="401"/>
      <c r="AH128" s="401"/>
      <c r="AI128" s="401"/>
      <c r="AJ128" s="401"/>
      <c r="AK128" s="401"/>
      <c r="AL128" s="401"/>
    </row>
    <row r="129" spans="1:38" s="154" customFormat="1" ht="20.100000000000001" customHeight="1">
      <c r="A129" s="402"/>
      <c r="B129" s="393"/>
      <c r="C129" s="394"/>
      <c r="D129" s="393"/>
      <c r="E129" s="393"/>
      <c r="F129" s="393"/>
      <c r="G129" s="395"/>
      <c r="H129" s="396"/>
      <c r="I129" s="393"/>
      <c r="J129" s="393"/>
      <c r="K129" s="393"/>
      <c r="L129" s="393"/>
      <c r="M129" s="382"/>
      <c r="N129" s="393"/>
      <c r="O129" s="393"/>
      <c r="P129" s="396"/>
      <c r="Q129" s="393"/>
      <c r="R129" s="393"/>
      <c r="S129" s="393"/>
      <c r="T129" s="393"/>
      <c r="U129" s="393"/>
      <c r="V129" s="393"/>
      <c r="W129" s="393"/>
      <c r="X129" s="393"/>
      <c r="Y129" s="397"/>
      <c r="Z129" s="393"/>
      <c r="AA129" s="393"/>
      <c r="AB129" s="401"/>
      <c r="AC129" s="401"/>
      <c r="AD129" s="401"/>
      <c r="AE129" s="401"/>
      <c r="AF129" s="401"/>
      <c r="AG129" s="401"/>
      <c r="AH129" s="401"/>
      <c r="AI129" s="401"/>
      <c r="AJ129" s="401"/>
      <c r="AK129" s="401"/>
      <c r="AL129" s="401"/>
    </row>
    <row r="130" spans="1:38" s="154" customFormat="1" ht="20.100000000000001" customHeight="1">
      <c r="A130" s="402"/>
      <c r="B130" s="393"/>
      <c r="C130" s="394"/>
      <c r="D130" s="393"/>
      <c r="E130" s="393"/>
      <c r="F130" s="393"/>
      <c r="G130" s="395"/>
      <c r="H130" s="396"/>
      <c r="I130" s="393"/>
      <c r="J130" s="393"/>
      <c r="K130" s="393"/>
      <c r="L130" s="393"/>
      <c r="M130" s="382"/>
      <c r="N130" s="393"/>
      <c r="O130" s="393"/>
      <c r="P130" s="396"/>
      <c r="Q130" s="393"/>
      <c r="R130" s="393"/>
      <c r="S130" s="393"/>
      <c r="T130" s="393"/>
      <c r="U130" s="393"/>
      <c r="V130" s="393"/>
      <c r="W130" s="393"/>
      <c r="X130" s="393"/>
      <c r="Y130" s="397"/>
      <c r="Z130" s="393"/>
      <c r="AA130" s="393"/>
      <c r="AB130" s="401"/>
      <c r="AC130" s="401"/>
      <c r="AD130" s="401"/>
      <c r="AE130" s="401"/>
      <c r="AF130" s="401"/>
      <c r="AG130" s="401"/>
      <c r="AH130" s="401"/>
      <c r="AI130" s="401"/>
      <c r="AJ130" s="401"/>
      <c r="AK130" s="401"/>
      <c r="AL130" s="401"/>
    </row>
    <row r="131" spans="1:38" s="154" customFormat="1" ht="20.100000000000001" customHeight="1">
      <c r="A131" s="402"/>
      <c r="B131" s="393"/>
      <c r="C131" s="394"/>
      <c r="D131" s="393"/>
      <c r="E131" s="393"/>
      <c r="F131" s="393"/>
      <c r="G131" s="395"/>
      <c r="H131" s="396"/>
      <c r="I131" s="393"/>
      <c r="J131" s="393"/>
      <c r="K131" s="393"/>
      <c r="L131" s="393"/>
      <c r="M131" s="382"/>
      <c r="N131" s="393"/>
      <c r="O131" s="393"/>
      <c r="P131" s="396"/>
      <c r="Q131" s="393"/>
      <c r="R131" s="393"/>
      <c r="S131" s="393"/>
      <c r="T131" s="393"/>
      <c r="U131" s="393"/>
      <c r="V131" s="393"/>
      <c r="W131" s="393"/>
      <c r="X131" s="393"/>
      <c r="Y131" s="397"/>
      <c r="Z131" s="393"/>
      <c r="AA131" s="393"/>
      <c r="AB131" s="401"/>
      <c r="AC131" s="401"/>
      <c r="AD131" s="401"/>
      <c r="AE131" s="401"/>
      <c r="AF131" s="401"/>
      <c r="AG131" s="401"/>
      <c r="AH131" s="401"/>
      <c r="AI131" s="401"/>
      <c r="AJ131" s="401"/>
      <c r="AK131" s="401"/>
      <c r="AL131" s="401"/>
    </row>
    <row r="132" spans="1:38" s="154" customFormat="1" ht="20.100000000000001" customHeight="1">
      <c r="A132" s="402"/>
      <c r="B132" s="393"/>
      <c r="C132" s="394"/>
      <c r="D132" s="393"/>
      <c r="E132" s="393"/>
      <c r="F132" s="393"/>
      <c r="G132" s="395"/>
      <c r="H132" s="396"/>
      <c r="I132" s="393"/>
      <c r="J132" s="393"/>
      <c r="K132" s="393"/>
      <c r="L132" s="393"/>
      <c r="M132" s="382"/>
      <c r="N132" s="393"/>
      <c r="O132" s="393"/>
      <c r="P132" s="396"/>
      <c r="Q132" s="393"/>
      <c r="R132" s="393"/>
      <c r="S132" s="393"/>
      <c r="T132" s="393"/>
      <c r="U132" s="393"/>
      <c r="V132" s="393"/>
      <c r="W132" s="393"/>
      <c r="X132" s="393"/>
      <c r="Y132" s="397"/>
      <c r="Z132" s="393"/>
      <c r="AA132" s="393"/>
      <c r="AB132" s="401"/>
      <c r="AC132" s="401"/>
      <c r="AD132" s="401"/>
      <c r="AE132" s="401"/>
      <c r="AF132" s="401"/>
      <c r="AG132" s="401"/>
      <c r="AH132" s="401"/>
      <c r="AI132" s="401"/>
      <c r="AJ132" s="401"/>
      <c r="AK132" s="401"/>
      <c r="AL132" s="401"/>
    </row>
    <row r="133" spans="1:38" s="154" customFormat="1" ht="20.100000000000001" customHeight="1">
      <c r="A133" s="402"/>
      <c r="B133" s="393"/>
      <c r="C133" s="394"/>
      <c r="D133" s="393"/>
      <c r="E133" s="393"/>
      <c r="F133" s="393"/>
      <c r="G133" s="395"/>
      <c r="H133" s="396"/>
      <c r="I133" s="393"/>
      <c r="J133" s="393"/>
      <c r="K133" s="393"/>
      <c r="L133" s="393"/>
      <c r="M133" s="382"/>
      <c r="N133" s="393"/>
      <c r="O133" s="393"/>
      <c r="P133" s="396"/>
      <c r="Q133" s="393"/>
      <c r="R133" s="393"/>
      <c r="S133" s="393"/>
      <c r="T133" s="393"/>
      <c r="U133" s="393"/>
      <c r="V133" s="393"/>
      <c r="W133" s="393"/>
      <c r="X133" s="393"/>
      <c r="Y133" s="397"/>
      <c r="Z133" s="393"/>
      <c r="AA133" s="393"/>
      <c r="AB133" s="401"/>
      <c r="AC133" s="401"/>
      <c r="AD133" s="401"/>
      <c r="AE133" s="401"/>
      <c r="AF133" s="401"/>
      <c r="AG133" s="401"/>
      <c r="AH133" s="401"/>
      <c r="AI133" s="401"/>
      <c r="AJ133" s="401"/>
      <c r="AK133" s="401"/>
      <c r="AL133" s="401"/>
    </row>
    <row r="134" spans="1:38" s="154" customFormat="1" ht="20.100000000000001" customHeight="1">
      <c r="A134" s="402"/>
      <c r="B134" s="393"/>
      <c r="C134" s="394"/>
      <c r="D134" s="393"/>
      <c r="E134" s="393"/>
      <c r="F134" s="393"/>
      <c r="G134" s="395"/>
      <c r="H134" s="396"/>
      <c r="I134" s="393"/>
      <c r="J134" s="393"/>
      <c r="K134" s="393"/>
      <c r="L134" s="393"/>
      <c r="M134" s="382"/>
      <c r="N134" s="393"/>
      <c r="O134" s="393"/>
      <c r="P134" s="396"/>
      <c r="Q134" s="393"/>
      <c r="R134" s="393"/>
      <c r="S134" s="393"/>
      <c r="T134" s="393"/>
      <c r="U134" s="393"/>
      <c r="V134" s="393"/>
      <c r="W134" s="393"/>
      <c r="X134" s="393"/>
      <c r="Y134" s="397"/>
      <c r="Z134" s="393"/>
      <c r="AA134" s="393"/>
      <c r="AB134" s="401"/>
      <c r="AC134" s="401"/>
      <c r="AD134" s="401"/>
      <c r="AE134" s="401"/>
      <c r="AF134" s="401"/>
      <c r="AG134" s="401"/>
      <c r="AH134" s="401"/>
      <c r="AI134" s="401"/>
      <c r="AJ134" s="401"/>
      <c r="AK134" s="401"/>
      <c r="AL134" s="401"/>
    </row>
    <row r="135" spans="1:38" s="154" customFormat="1" ht="20.100000000000001" customHeight="1">
      <c r="A135" s="402"/>
      <c r="B135" s="393"/>
      <c r="C135" s="394"/>
      <c r="D135" s="393"/>
      <c r="E135" s="393"/>
      <c r="F135" s="393"/>
      <c r="G135" s="395"/>
      <c r="H135" s="396"/>
      <c r="I135" s="393"/>
      <c r="J135" s="393"/>
      <c r="K135" s="393"/>
      <c r="L135" s="393"/>
      <c r="M135" s="382"/>
      <c r="N135" s="393"/>
      <c r="O135" s="393"/>
      <c r="P135" s="396"/>
      <c r="Q135" s="393"/>
      <c r="R135" s="393"/>
      <c r="S135" s="393"/>
      <c r="T135" s="393"/>
      <c r="U135" s="393"/>
      <c r="V135" s="393"/>
      <c r="W135" s="393"/>
      <c r="X135" s="393"/>
      <c r="Y135" s="397"/>
      <c r="Z135" s="393"/>
      <c r="AA135" s="393"/>
      <c r="AB135" s="401"/>
      <c r="AC135" s="401"/>
      <c r="AD135" s="401"/>
      <c r="AE135" s="401"/>
      <c r="AF135" s="401"/>
      <c r="AG135" s="401"/>
      <c r="AH135" s="401"/>
      <c r="AI135" s="401"/>
      <c r="AJ135" s="401"/>
      <c r="AK135" s="401"/>
      <c r="AL135" s="401"/>
    </row>
    <row r="136" spans="1:38" s="154" customFormat="1" ht="20.100000000000001" customHeight="1">
      <c r="A136" s="402"/>
      <c r="B136" s="393"/>
      <c r="C136" s="394"/>
      <c r="D136" s="393"/>
      <c r="E136" s="393"/>
      <c r="F136" s="393"/>
      <c r="G136" s="395"/>
      <c r="H136" s="396"/>
      <c r="I136" s="393"/>
      <c r="J136" s="393"/>
      <c r="K136" s="393"/>
      <c r="L136" s="393"/>
      <c r="M136" s="382"/>
      <c r="N136" s="393"/>
      <c r="O136" s="393"/>
      <c r="P136" s="396"/>
      <c r="Q136" s="393"/>
      <c r="R136" s="393"/>
      <c r="S136" s="393"/>
      <c r="T136" s="393"/>
      <c r="U136" s="393"/>
      <c r="V136" s="393"/>
      <c r="W136" s="393"/>
      <c r="X136" s="393"/>
      <c r="Y136" s="397"/>
      <c r="Z136" s="393"/>
      <c r="AA136" s="393"/>
      <c r="AB136" s="401"/>
      <c r="AC136" s="401"/>
      <c r="AD136" s="401"/>
      <c r="AE136" s="401"/>
      <c r="AF136" s="401"/>
      <c r="AG136" s="401"/>
      <c r="AH136" s="401"/>
      <c r="AI136" s="401"/>
      <c r="AJ136" s="401"/>
      <c r="AK136" s="401"/>
      <c r="AL136" s="401"/>
    </row>
    <row r="137" spans="1:38" s="154" customFormat="1" ht="20.100000000000001" customHeight="1">
      <c r="A137" s="402"/>
      <c r="B137" s="393"/>
      <c r="C137" s="394"/>
      <c r="D137" s="393"/>
      <c r="E137" s="393"/>
      <c r="F137" s="393"/>
      <c r="G137" s="395"/>
      <c r="H137" s="396"/>
      <c r="I137" s="393"/>
      <c r="J137" s="393"/>
      <c r="K137" s="393"/>
      <c r="L137" s="393"/>
      <c r="M137" s="382"/>
      <c r="N137" s="393"/>
      <c r="O137" s="393"/>
      <c r="P137" s="396"/>
      <c r="Q137" s="393"/>
      <c r="R137" s="393"/>
      <c r="S137" s="393"/>
      <c r="T137" s="393"/>
      <c r="U137" s="393"/>
      <c r="V137" s="393"/>
      <c r="W137" s="393"/>
      <c r="X137" s="393"/>
      <c r="Y137" s="397"/>
      <c r="Z137" s="393"/>
      <c r="AA137" s="393"/>
      <c r="AB137" s="401"/>
      <c r="AC137" s="401"/>
      <c r="AD137" s="401"/>
      <c r="AE137" s="401"/>
      <c r="AF137" s="401"/>
      <c r="AG137" s="401"/>
      <c r="AH137" s="401"/>
      <c r="AI137" s="401"/>
      <c r="AJ137" s="401"/>
      <c r="AK137" s="401"/>
      <c r="AL137" s="401"/>
    </row>
    <row r="138" spans="1:38" s="154" customFormat="1" ht="20.100000000000001" customHeight="1">
      <c r="A138" s="402"/>
      <c r="B138" s="393"/>
      <c r="C138" s="394"/>
      <c r="D138" s="393"/>
      <c r="E138" s="393"/>
      <c r="F138" s="393"/>
      <c r="G138" s="395"/>
      <c r="H138" s="396"/>
      <c r="I138" s="393"/>
      <c r="J138" s="393"/>
      <c r="K138" s="393"/>
      <c r="L138" s="393"/>
      <c r="M138" s="382"/>
      <c r="N138" s="393"/>
      <c r="O138" s="393"/>
      <c r="P138" s="396"/>
      <c r="Q138" s="393"/>
      <c r="R138" s="393"/>
      <c r="S138" s="393"/>
      <c r="T138" s="393"/>
      <c r="U138" s="393"/>
      <c r="V138" s="393"/>
      <c r="W138" s="393"/>
      <c r="X138" s="393"/>
      <c r="Y138" s="397"/>
      <c r="Z138" s="393"/>
      <c r="AA138" s="393"/>
      <c r="AB138" s="401"/>
      <c r="AC138" s="401"/>
      <c r="AD138" s="401"/>
      <c r="AE138" s="401"/>
      <c r="AF138" s="401"/>
      <c r="AG138" s="401"/>
      <c r="AH138" s="401"/>
      <c r="AI138" s="401"/>
      <c r="AJ138" s="401"/>
      <c r="AK138" s="401"/>
      <c r="AL138" s="401"/>
    </row>
    <row r="139" spans="1:38" s="154" customFormat="1" ht="20.100000000000001" customHeight="1">
      <c r="A139" s="402"/>
      <c r="B139" s="393"/>
      <c r="C139" s="394"/>
      <c r="D139" s="393"/>
      <c r="E139" s="393"/>
      <c r="F139" s="393"/>
      <c r="G139" s="395"/>
      <c r="H139" s="396"/>
      <c r="I139" s="393"/>
      <c r="J139" s="393"/>
      <c r="K139" s="393"/>
      <c r="L139" s="393"/>
      <c r="M139" s="382"/>
      <c r="N139" s="393"/>
      <c r="O139" s="393"/>
      <c r="P139" s="396"/>
      <c r="Q139" s="393"/>
      <c r="R139" s="393"/>
      <c r="S139" s="393"/>
      <c r="T139" s="393"/>
      <c r="U139" s="393"/>
      <c r="V139" s="393"/>
      <c r="W139" s="393"/>
      <c r="X139" s="393"/>
      <c r="Y139" s="397"/>
      <c r="Z139" s="393"/>
      <c r="AA139" s="393"/>
      <c r="AB139" s="401"/>
      <c r="AC139" s="401"/>
      <c r="AD139" s="401"/>
      <c r="AE139" s="401"/>
      <c r="AF139" s="401"/>
      <c r="AG139" s="401"/>
      <c r="AH139" s="401"/>
      <c r="AI139" s="401"/>
      <c r="AJ139" s="401"/>
      <c r="AK139" s="401"/>
      <c r="AL139" s="401"/>
    </row>
    <row r="140" spans="1:38" s="154" customFormat="1" ht="20.100000000000001" customHeight="1">
      <c r="A140" s="402"/>
      <c r="B140" s="393"/>
      <c r="C140" s="394"/>
      <c r="D140" s="393"/>
      <c r="E140" s="393"/>
      <c r="F140" s="393"/>
      <c r="G140" s="395"/>
      <c r="H140" s="396"/>
      <c r="I140" s="393"/>
      <c r="J140" s="393"/>
      <c r="K140" s="393"/>
      <c r="L140" s="393"/>
      <c r="M140" s="382"/>
      <c r="N140" s="393"/>
      <c r="O140" s="393"/>
      <c r="P140" s="396"/>
      <c r="Q140" s="393"/>
      <c r="R140" s="393"/>
      <c r="S140" s="393"/>
      <c r="T140" s="393"/>
      <c r="U140" s="393"/>
      <c r="V140" s="393"/>
      <c r="W140" s="393"/>
      <c r="X140" s="393"/>
      <c r="Y140" s="397"/>
      <c r="Z140" s="393"/>
      <c r="AA140" s="393"/>
      <c r="AB140" s="401"/>
      <c r="AC140" s="401"/>
      <c r="AD140" s="401"/>
      <c r="AE140" s="401"/>
      <c r="AF140" s="401"/>
      <c r="AG140" s="401"/>
      <c r="AH140" s="401"/>
      <c r="AI140" s="401"/>
      <c r="AJ140" s="401"/>
      <c r="AK140" s="401"/>
      <c r="AL140" s="401"/>
    </row>
    <row r="141" spans="1:38" s="154" customFormat="1" ht="20.100000000000001" customHeight="1">
      <c r="A141" s="402"/>
      <c r="B141" s="393"/>
      <c r="C141" s="394"/>
      <c r="D141" s="393"/>
      <c r="E141" s="393"/>
      <c r="F141" s="393"/>
      <c r="G141" s="395"/>
      <c r="H141" s="396"/>
      <c r="I141" s="393"/>
      <c r="J141" s="393"/>
      <c r="K141" s="393"/>
      <c r="L141" s="393"/>
      <c r="M141" s="382"/>
      <c r="N141" s="393"/>
      <c r="O141" s="393"/>
      <c r="P141" s="396"/>
      <c r="Q141" s="393"/>
      <c r="R141" s="393"/>
      <c r="S141" s="393"/>
      <c r="T141" s="393"/>
      <c r="U141" s="393"/>
      <c r="V141" s="393"/>
      <c r="W141" s="393"/>
      <c r="X141" s="393"/>
      <c r="Y141" s="397"/>
      <c r="Z141" s="393"/>
      <c r="AA141" s="393"/>
      <c r="AB141" s="401"/>
      <c r="AC141" s="401"/>
      <c r="AD141" s="401"/>
      <c r="AE141" s="401"/>
      <c r="AF141" s="401"/>
      <c r="AG141" s="401"/>
      <c r="AH141" s="401"/>
      <c r="AI141" s="401"/>
      <c r="AJ141" s="401"/>
      <c r="AK141" s="401"/>
      <c r="AL141" s="401"/>
    </row>
    <row r="142" spans="1:38" s="154" customFormat="1" ht="20.100000000000001" customHeight="1">
      <c r="A142" s="402"/>
      <c r="B142" s="393"/>
      <c r="C142" s="394"/>
      <c r="D142" s="393"/>
      <c r="E142" s="393"/>
      <c r="F142" s="393"/>
      <c r="G142" s="395"/>
      <c r="H142" s="396"/>
      <c r="I142" s="393"/>
      <c r="J142" s="393"/>
      <c r="K142" s="393"/>
      <c r="L142" s="393"/>
      <c r="M142" s="382"/>
      <c r="N142" s="393"/>
      <c r="O142" s="393"/>
      <c r="P142" s="396"/>
      <c r="Q142" s="393"/>
      <c r="R142" s="393"/>
      <c r="S142" s="393"/>
      <c r="T142" s="393"/>
      <c r="U142" s="393"/>
      <c r="V142" s="393"/>
      <c r="W142" s="393"/>
      <c r="X142" s="393"/>
      <c r="Y142" s="397"/>
      <c r="Z142" s="393"/>
      <c r="AA142" s="393"/>
      <c r="AB142" s="401"/>
      <c r="AC142" s="401"/>
      <c r="AD142" s="401"/>
      <c r="AE142" s="401"/>
      <c r="AF142" s="401"/>
      <c r="AG142" s="401"/>
      <c r="AH142" s="401"/>
      <c r="AI142" s="401"/>
      <c r="AJ142" s="401"/>
      <c r="AK142" s="401"/>
      <c r="AL142" s="401"/>
    </row>
    <row r="143" spans="1:38" s="154" customFormat="1" ht="20.100000000000001" customHeight="1">
      <c r="A143" s="402"/>
      <c r="B143" s="393"/>
      <c r="C143" s="394"/>
      <c r="D143" s="393"/>
      <c r="E143" s="393"/>
      <c r="F143" s="393"/>
      <c r="G143" s="395"/>
      <c r="H143" s="396"/>
      <c r="I143" s="393"/>
      <c r="J143" s="393"/>
      <c r="K143" s="393"/>
      <c r="L143" s="393"/>
      <c r="M143" s="382"/>
      <c r="N143" s="393"/>
      <c r="O143" s="393"/>
      <c r="P143" s="396"/>
      <c r="Q143" s="393"/>
      <c r="R143" s="393"/>
      <c r="S143" s="393"/>
      <c r="T143" s="393"/>
      <c r="U143" s="393"/>
      <c r="V143" s="393"/>
      <c r="W143" s="393"/>
      <c r="X143" s="393"/>
      <c r="Y143" s="397"/>
      <c r="Z143" s="393"/>
      <c r="AA143" s="393"/>
      <c r="AB143" s="401"/>
      <c r="AC143" s="401"/>
      <c r="AD143" s="401"/>
      <c r="AE143" s="401"/>
      <c r="AF143" s="401"/>
      <c r="AG143" s="401"/>
      <c r="AH143" s="401"/>
      <c r="AI143" s="401"/>
      <c r="AJ143" s="401"/>
      <c r="AK143" s="401"/>
      <c r="AL143" s="401"/>
    </row>
    <row r="144" spans="1:38" s="154" customFormat="1" ht="20.100000000000001" customHeight="1">
      <c r="A144" s="402"/>
      <c r="B144" s="393"/>
      <c r="C144" s="394"/>
      <c r="D144" s="393"/>
      <c r="E144" s="393"/>
      <c r="F144" s="393"/>
      <c r="G144" s="395"/>
      <c r="H144" s="396"/>
      <c r="I144" s="393"/>
      <c r="J144" s="393"/>
      <c r="K144" s="393"/>
      <c r="L144" s="393"/>
      <c r="M144" s="382"/>
      <c r="N144" s="393"/>
      <c r="O144" s="393"/>
      <c r="P144" s="396"/>
      <c r="Q144" s="393"/>
      <c r="R144" s="393"/>
      <c r="S144" s="393"/>
      <c r="T144" s="393"/>
      <c r="U144" s="393"/>
      <c r="V144" s="393"/>
      <c r="W144" s="393"/>
      <c r="X144" s="393"/>
      <c r="Y144" s="397"/>
      <c r="Z144" s="393"/>
      <c r="AA144" s="393"/>
      <c r="AB144" s="401"/>
      <c r="AC144" s="401"/>
      <c r="AD144" s="401"/>
      <c r="AE144" s="401"/>
      <c r="AF144" s="401"/>
      <c r="AG144" s="401"/>
      <c r="AH144" s="401"/>
      <c r="AI144" s="401"/>
      <c r="AJ144" s="401"/>
      <c r="AK144" s="401"/>
      <c r="AL144" s="401"/>
    </row>
    <row r="145" spans="1:38" s="154" customFormat="1" ht="20.100000000000001" customHeight="1">
      <c r="A145" s="402"/>
      <c r="B145" s="393"/>
      <c r="C145" s="394"/>
      <c r="D145" s="393"/>
      <c r="E145" s="393"/>
      <c r="F145" s="393"/>
      <c r="G145" s="395"/>
      <c r="H145" s="396"/>
      <c r="I145" s="393"/>
      <c r="J145" s="393"/>
      <c r="K145" s="393"/>
      <c r="L145" s="393"/>
      <c r="M145" s="382"/>
      <c r="N145" s="393"/>
      <c r="O145" s="393"/>
      <c r="P145" s="396"/>
      <c r="Q145" s="393"/>
      <c r="R145" s="393"/>
      <c r="S145" s="393"/>
      <c r="T145" s="393"/>
      <c r="U145" s="393"/>
      <c r="V145" s="393"/>
      <c r="W145" s="393"/>
      <c r="X145" s="393"/>
      <c r="Y145" s="397"/>
      <c r="Z145" s="393"/>
      <c r="AA145" s="393"/>
      <c r="AB145" s="401"/>
      <c r="AC145" s="401"/>
      <c r="AD145" s="401"/>
      <c r="AE145" s="401"/>
      <c r="AF145" s="401"/>
      <c r="AG145" s="401"/>
      <c r="AH145" s="401"/>
      <c r="AI145" s="401"/>
      <c r="AJ145" s="401"/>
      <c r="AK145" s="401"/>
      <c r="AL145" s="401"/>
    </row>
    <row r="146" spans="1:38" s="154" customFormat="1" ht="20.100000000000001" customHeight="1">
      <c r="A146" s="402"/>
      <c r="B146" s="393"/>
      <c r="C146" s="394"/>
      <c r="D146" s="393"/>
      <c r="E146" s="393"/>
      <c r="F146" s="393"/>
      <c r="G146" s="395"/>
      <c r="H146" s="396"/>
      <c r="I146" s="393"/>
      <c r="J146" s="393"/>
      <c r="K146" s="393"/>
      <c r="L146" s="393"/>
      <c r="M146" s="382"/>
      <c r="N146" s="393"/>
      <c r="O146" s="393"/>
      <c r="P146" s="396"/>
      <c r="Q146" s="393"/>
      <c r="R146" s="393"/>
      <c r="S146" s="393"/>
      <c r="T146" s="393"/>
      <c r="U146" s="393"/>
      <c r="V146" s="393"/>
      <c r="W146" s="393"/>
      <c r="X146" s="393"/>
      <c r="Y146" s="397"/>
      <c r="Z146" s="393"/>
      <c r="AA146" s="393"/>
      <c r="AB146" s="401"/>
      <c r="AC146" s="401"/>
      <c r="AD146" s="401"/>
      <c r="AE146" s="401"/>
      <c r="AF146" s="401"/>
      <c r="AG146" s="401"/>
      <c r="AH146" s="401"/>
      <c r="AI146" s="401"/>
      <c r="AJ146" s="401"/>
      <c r="AK146" s="401"/>
      <c r="AL146" s="401"/>
    </row>
    <row r="147" spans="1:38" s="154" customFormat="1" ht="20.100000000000001" customHeight="1">
      <c r="A147" s="402"/>
      <c r="B147" s="393"/>
      <c r="C147" s="394"/>
      <c r="D147" s="393"/>
      <c r="E147" s="393"/>
      <c r="F147" s="393"/>
      <c r="G147" s="395"/>
      <c r="H147" s="396"/>
      <c r="I147" s="393"/>
      <c r="J147" s="393"/>
      <c r="K147" s="393"/>
      <c r="L147" s="393"/>
      <c r="M147" s="382"/>
      <c r="N147" s="393"/>
      <c r="O147" s="393"/>
      <c r="P147" s="396"/>
      <c r="Q147" s="393"/>
      <c r="R147" s="393"/>
      <c r="S147" s="393"/>
      <c r="T147" s="393"/>
      <c r="U147" s="393"/>
      <c r="V147" s="393"/>
      <c r="W147" s="393"/>
      <c r="X147" s="393"/>
      <c r="Y147" s="397"/>
      <c r="Z147" s="393"/>
      <c r="AA147" s="393"/>
      <c r="AB147" s="401"/>
      <c r="AC147" s="401"/>
      <c r="AD147" s="401"/>
      <c r="AE147" s="401"/>
      <c r="AF147" s="401"/>
      <c r="AG147" s="401"/>
      <c r="AH147" s="401"/>
      <c r="AI147" s="401"/>
      <c r="AJ147" s="401"/>
      <c r="AK147" s="401"/>
      <c r="AL147" s="401"/>
    </row>
    <row r="148" spans="1:38" s="154" customFormat="1" ht="20.100000000000001" customHeight="1">
      <c r="A148" s="402"/>
      <c r="B148" s="393"/>
      <c r="C148" s="394"/>
      <c r="D148" s="393"/>
      <c r="E148" s="393"/>
      <c r="F148" s="393"/>
      <c r="G148" s="395"/>
      <c r="H148" s="396"/>
      <c r="I148" s="393"/>
      <c r="J148" s="393"/>
      <c r="K148" s="393"/>
      <c r="L148" s="393"/>
      <c r="M148" s="382"/>
      <c r="N148" s="393"/>
      <c r="O148" s="393"/>
      <c r="P148" s="396"/>
      <c r="Q148" s="393"/>
      <c r="R148" s="393"/>
      <c r="S148" s="393"/>
      <c r="T148" s="393"/>
      <c r="U148" s="393"/>
      <c r="V148" s="393"/>
      <c r="W148" s="393"/>
      <c r="X148" s="393"/>
      <c r="Y148" s="397"/>
      <c r="Z148" s="393"/>
      <c r="AA148" s="393"/>
      <c r="AB148" s="401"/>
      <c r="AC148" s="401"/>
      <c r="AD148" s="401"/>
      <c r="AE148" s="401"/>
      <c r="AF148" s="401"/>
      <c r="AG148" s="401"/>
      <c r="AH148" s="401"/>
      <c r="AI148" s="401"/>
      <c r="AJ148" s="401"/>
      <c r="AK148" s="401"/>
      <c r="AL148" s="401"/>
    </row>
    <row r="149" spans="1:38" s="154" customFormat="1" ht="20.100000000000001" customHeight="1">
      <c r="A149" s="402"/>
      <c r="B149" s="393"/>
      <c r="C149" s="394"/>
      <c r="D149" s="393"/>
      <c r="E149" s="393"/>
      <c r="F149" s="393"/>
      <c r="G149" s="395"/>
      <c r="H149" s="396"/>
      <c r="I149" s="393"/>
      <c r="J149" s="393"/>
      <c r="K149" s="393"/>
      <c r="L149" s="393"/>
      <c r="M149" s="382"/>
      <c r="N149" s="393"/>
      <c r="O149" s="393"/>
      <c r="P149" s="396"/>
      <c r="Q149" s="393"/>
      <c r="R149" s="393"/>
      <c r="S149" s="393"/>
      <c r="T149" s="393"/>
      <c r="U149" s="393"/>
      <c r="V149" s="393"/>
      <c r="W149" s="393"/>
      <c r="X149" s="393"/>
      <c r="Y149" s="397"/>
      <c r="Z149" s="393"/>
      <c r="AA149" s="393"/>
      <c r="AB149" s="401"/>
      <c r="AC149" s="401"/>
      <c r="AD149" s="401"/>
      <c r="AE149" s="401"/>
      <c r="AF149" s="401"/>
      <c r="AG149" s="401"/>
      <c r="AH149" s="401"/>
      <c r="AI149" s="401"/>
      <c r="AJ149" s="401"/>
      <c r="AK149" s="401"/>
      <c r="AL149" s="401"/>
    </row>
    <row r="150" spans="1:38" s="154" customFormat="1" ht="20.100000000000001" customHeight="1">
      <c r="A150" s="402"/>
      <c r="B150" s="393"/>
      <c r="C150" s="394"/>
      <c r="D150" s="393"/>
      <c r="E150" s="393"/>
      <c r="F150" s="393"/>
      <c r="G150" s="395"/>
      <c r="H150" s="396"/>
      <c r="I150" s="393"/>
      <c r="J150" s="393"/>
      <c r="K150" s="393"/>
      <c r="L150" s="393"/>
      <c r="M150" s="382"/>
      <c r="N150" s="393"/>
      <c r="O150" s="393"/>
      <c r="P150" s="396"/>
      <c r="Q150" s="393"/>
      <c r="R150" s="393"/>
      <c r="S150" s="393"/>
      <c r="T150" s="393"/>
      <c r="U150" s="393"/>
      <c r="V150" s="393"/>
      <c r="W150" s="393"/>
      <c r="X150" s="393"/>
      <c r="Y150" s="397"/>
      <c r="Z150" s="393"/>
      <c r="AA150" s="393"/>
      <c r="AB150" s="401"/>
      <c r="AC150" s="401"/>
      <c r="AD150" s="401"/>
      <c r="AE150" s="401"/>
      <c r="AF150" s="401"/>
      <c r="AG150" s="401"/>
      <c r="AH150" s="401"/>
      <c r="AI150" s="401"/>
      <c r="AJ150" s="401"/>
      <c r="AK150" s="401"/>
      <c r="AL150" s="401"/>
    </row>
    <row r="151" spans="1:38" s="154" customFormat="1" ht="20.100000000000001" customHeight="1">
      <c r="A151" s="402"/>
      <c r="B151" s="393"/>
      <c r="C151" s="394"/>
      <c r="D151" s="393"/>
      <c r="E151" s="393"/>
      <c r="F151" s="393"/>
      <c r="G151" s="395"/>
      <c r="H151" s="396"/>
      <c r="I151" s="393"/>
      <c r="J151" s="393"/>
      <c r="K151" s="393"/>
      <c r="L151" s="393"/>
      <c r="M151" s="382"/>
      <c r="N151" s="393"/>
      <c r="O151" s="393"/>
      <c r="P151" s="396"/>
      <c r="Q151" s="393"/>
      <c r="R151" s="393"/>
      <c r="S151" s="393"/>
      <c r="T151" s="393"/>
      <c r="U151" s="393"/>
      <c r="V151" s="393"/>
      <c r="W151" s="393"/>
      <c r="X151" s="393"/>
      <c r="Y151" s="397"/>
      <c r="Z151" s="393"/>
      <c r="AA151" s="393"/>
      <c r="AB151" s="401"/>
      <c r="AC151" s="401"/>
      <c r="AD151" s="401"/>
      <c r="AE151" s="401"/>
      <c r="AF151" s="401"/>
      <c r="AG151" s="401"/>
      <c r="AH151" s="401"/>
      <c r="AI151" s="401"/>
      <c r="AJ151" s="401"/>
      <c r="AK151" s="401"/>
      <c r="AL151" s="401"/>
    </row>
    <row r="152" spans="1:38" s="154" customFormat="1" ht="20.100000000000001" customHeight="1">
      <c r="A152" s="402"/>
      <c r="B152" s="393"/>
      <c r="C152" s="394"/>
      <c r="D152" s="393"/>
      <c r="E152" s="393"/>
      <c r="F152" s="393"/>
      <c r="G152" s="395"/>
      <c r="H152" s="396"/>
      <c r="I152" s="393"/>
      <c r="J152" s="393"/>
      <c r="K152" s="393"/>
      <c r="L152" s="393"/>
      <c r="M152" s="382"/>
      <c r="N152" s="393"/>
      <c r="O152" s="393"/>
      <c r="P152" s="396"/>
      <c r="Q152" s="393"/>
      <c r="R152" s="393"/>
      <c r="S152" s="393"/>
      <c r="T152" s="393"/>
      <c r="U152" s="393"/>
      <c r="V152" s="393"/>
      <c r="W152" s="393"/>
      <c r="X152" s="393"/>
      <c r="Y152" s="397"/>
      <c r="Z152" s="393"/>
      <c r="AA152" s="393"/>
      <c r="AB152" s="401"/>
      <c r="AC152" s="401"/>
      <c r="AD152" s="401"/>
      <c r="AE152" s="401"/>
      <c r="AF152" s="401"/>
      <c r="AG152" s="401"/>
      <c r="AH152" s="401"/>
      <c r="AI152" s="401"/>
      <c r="AJ152" s="401"/>
      <c r="AK152" s="401"/>
      <c r="AL152" s="401"/>
    </row>
    <row r="153" spans="1:38" s="154" customFormat="1" ht="20.100000000000001" customHeight="1">
      <c r="A153" s="402"/>
      <c r="B153" s="393"/>
      <c r="C153" s="394"/>
      <c r="D153" s="393"/>
      <c r="E153" s="393"/>
      <c r="F153" s="393"/>
      <c r="G153" s="395"/>
      <c r="H153" s="396"/>
      <c r="I153" s="393"/>
      <c r="J153" s="393"/>
      <c r="K153" s="393"/>
      <c r="L153" s="393"/>
      <c r="M153" s="382"/>
      <c r="N153" s="393"/>
      <c r="O153" s="393"/>
      <c r="P153" s="396"/>
      <c r="Q153" s="393"/>
      <c r="R153" s="393"/>
      <c r="S153" s="393"/>
      <c r="T153" s="393"/>
      <c r="U153" s="393"/>
      <c r="V153" s="393"/>
      <c r="W153" s="393"/>
      <c r="X153" s="393"/>
      <c r="Y153" s="397"/>
      <c r="Z153" s="393"/>
      <c r="AA153" s="393"/>
      <c r="AB153" s="401"/>
      <c r="AC153" s="401"/>
      <c r="AD153" s="401"/>
      <c r="AE153" s="401"/>
      <c r="AF153" s="401"/>
      <c r="AG153" s="401"/>
      <c r="AH153" s="401"/>
      <c r="AI153" s="401"/>
      <c r="AJ153" s="401"/>
      <c r="AK153" s="401"/>
      <c r="AL153" s="401"/>
    </row>
    <row r="154" spans="1:38" s="154" customFormat="1" ht="20.100000000000001" customHeight="1">
      <c r="A154" s="402"/>
      <c r="B154" s="393"/>
      <c r="C154" s="394"/>
      <c r="D154" s="393"/>
      <c r="E154" s="393"/>
      <c r="F154" s="393"/>
      <c r="G154" s="395"/>
      <c r="H154" s="396"/>
      <c r="I154" s="393"/>
      <c r="J154" s="393"/>
      <c r="K154" s="393"/>
      <c r="L154" s="393"/>
      <c r="M154" s="382"/>
      <c r="N154" s="393"/>
      <c r="O154" s="393"/>
      <c r="P154" s="396"/>
      <c r="Q154" s="393"/>
      <c r="R154" s="393"/>
      <c r="S154" s="393"/>
      <c r="T154" s="393"/>
      <c r="U154" s="393"/>
      <c r="V154" s="393"/>
      <c r="W154" s="393"/>
      <c r="X154" s="393"/>
      <c r="Y154" s="397"/>
      <c r="Z154" s="393"/>
      <c r="AA154" s="393"/>
      <c r="AB154" s="401"/>
      <c r="AC154" s="401"/>
      <c r="AD154" s="401"/>
      <c r="AE154" s="401"/>
      <c r="AF154" s="401"/>
      <c r="AG154" s="401"/>
      <c r="AH154" s="401"/>
      <c r="AI154" s="401"/>
      <c r="AJ154" s="401"/>
      <c r="AK154" s="401"/>
      <c r="AL154" s="401"/>
    </row>
    <row r="155" spans="1:38" s="154" customFormat="1" ht="20.100000000000001" customHeight="1">
      <c r="A155" s="402"/>
      <c r="B155" s="393"/>
      <c r="C155" s="394"/>
      <c r="D155" s="393"/>
      <c r="E155" s="393"/>
      <c r="F155" s="393"/>
      <c r="G155" s="395"/>
      <c r="H155" s="396"/>
      <c r="I155" s="393"/>
      <c r="J155" s="393"/>
      <c r="K155" s="393"/>
      <c r="L155" s="393"/>
      <c r="M155" s="382"/>
      <c r="N155" s="393"/>
      <c r="O155" s="393"/>
      <c r="P155" s="396"/>
      <c r="Q155" s="393"/>
      <c r="R155" s="393"/>
      <c r="S155" s="393"/>
      <c r="T155" s="393"/>
      <c r="U155" s="393"/>
      <c r="V155" s="393"/>
      <c r="W155" s="393"/>
      <c r="X155" s="393"/>
      <c r="Y155" s="397"/>
      <c r="Z155" s="393"/>
      <c r="AA155" s="393"/>
      <c r="AB155" s="401"/>
      <c r="AC155" s="401"/>
      <c r="AD155" s="401"/>
      <c r="AE155" s="401"/>
      <c r="AF155" s="401"/>
      <c r="AG155" s="401"/>
      <c r="AH155" s="401"/>
      <c r="AI155" s="401"/>
      <c r="AJ155" s="401"/>
      <c r="AK155" s="401"/>
      <c r="AL155" s="401"/>
    </row>
    <row r="156" spans="1:38" s="154" customFormat="1" ht="20.100000000000001" customHeight="1">
      <c r="A156" s="402"/>
      <c r="B156" s="393"/>
      <c r="C156" s="394"/>
      <c r="D156" s="393"/>
      <c r="E156" s="393"/>
      <c r="F156" s="393"/>
      <c r="G156" s="395"/>
      <c r="H156" s="396"/>
      <c r="I156" s="393"/>
      <c r="J156" s="393"/>
      <c r="K156" s="393"/>
      <c r="L156" s="393"/>
      <c r="M156" s="382"/>
      <c r="N156" s="393"/>
      <c r="O156" s="393"/>
      <c r="P156" s="396"/>
      <c r="Q156" s="393"/>
      <c r="R156" s="393"/>
      <c r="S156" s="393"/>
      <c r="T156" s="393"/>
      <c r="U156" s="393"/>
      <c r="V156" s="393"/>
      <c r="W156" s="393"/>
      <c r="X156" s="393"/>
      <c r="Y156" s="397"/>
      <c r="Z156" s="393"/>
      <c r="AA156" s="393"/>
      <c r="AB156" s="401"/>
      <c r="AC156" s="401"/>
      <c r="AD156" s="401"/>
      <c r="AE156" s="401"/>
      <c r="AF156" s="401"/>
      <c r="AG156" s="401"/>
      <c r="AH156" s="401"/>
      <c r="AI156" s="401"/>
      <c r="AJ156" s="401"/>
      <c r="AK156" s="401"/>
      <c r="AL156" s="401"/>
    </row>
    <row r="157" spans="1:38" s="154" customFormat="1" ht="20.100000000000001" customHeight="1">
      <c r="A157" s="402"/>
      <c r="B157" s="393"/>
      <c r="C157" s="394"/>
      <c r="D157" s="393"/>
      <c r="E157" s="393"/>
      <c r="F157" s="393"/>
      <c r="G157" s="395"/>
      <c r="H157" s="396"/>
      <c r="I157" s="393"/>
      <c r="J157" s="393"/>
      <c r="K157" s="393"/>
      <c r="L157" s="393"/>
      <c r="M157" s="382"/>
      <c r="N157" s="393"/>
      <c r="O157" s="393"/>
      <c r="P157" s="396"/>
      <c r="Q157" s="393"/>
      <c r="R157" s="393"/>
      <c r="S157" s="393"/>
      <c r="T157" s="393"/>
      <c r="U157" s="393"/>
      <c r="V157" s="393"/>
      <c r="W157" s="393"/>
      <c r="X157" s="393"/>
      <c r="Y157" s="397"/>
      <c r="Z157" s="393"/>
      <c r="AA157" s="393"/>
      <c r="AB157" s="401"/>
      <c r="AC157" s="401"/>
      <c r="AD157" s="401"/>
      <c r="AE157" s="401"/>
      <c r="AF157" s="401"/>
      <c r="AG157" s="401"/>
      <c r="AH157" s="401"/>
      <c r="AI157" s="401"/>
      <c r="AJ157" s="401"/>
      <c r="AK157" s="401"/>
      <c r="AL157" s="401"/>
    </row>
    <row r="158" spans="1:38" s="154" customFormat="1" ht="20.100000000000001" customHeight="1">
      <c r="A158" s="402"/>
      <c r="B158" s="393"/>
      <c r="C158" s="394"/>
      <c r="D158" s="393"/>
      <c r="E158" s="393"/>
      <c r="F158" s="393"/>
      <c r="G158" s="395"/>
      <c r="H158" s="396"/>
      <c r="I158" s="393"/>
      <c r="J158" s="393"/>
      <c r="K158" s="393"/>
      <c r="L158" s="393"/>
      <c r="M158" s="382"/>
      <c r="N158" s="393"/>
      <c r="O158" s="393"/>
      <c r="P158" s="396"/>
      <c r="Q158" s="393"/>
      <c r="R158" s="393"/>
      <c r="S158" s="393"/>
      <c r="T158" s="393"/>
      <c r="U158" s="393"/>
      <c r="V158" s="393"/>
      <c r="W158" s="393"/>
      <c r="X158" s="393"/>
      <c r="Y158" s="397"/>
      <c r="Z158" s="393"/>
      <c r="AA158" s="393"/>
      <c r="AB158" s="401"/>
      <c r="AC158" s="401"/>
      <c r="AD158" s="401"/>
      <c r="AE158" s="401"/>
      <c r="AF158" s="401"/>
      <c r="AG158" s="401"/>
      <c r="AH158" s="401"/>
      <c r="AI158" s="401"/>
      <c r="AJ158" s="401"/>
      <c r="AK158" s="401"/>
      <c r="AL158" s="401"/>
    </row>
    <row r="159" spans="1:38" s="154" customFormat="1" ht="20.100000000000001" customHeight="1">
      <c r="A159" s="402"/>
      <c r="B159" s="393"/>
      <c r="C159" s="394"/>
      <c r="D159" s="393"/>
      <c r="E159" s="393"/>
      <c r="F159" s="393"/>
      <c r="G159" s="395"/>
      <c r="H159" s="396"/>
      <c r="I159" s="393"/>
      <c r="J159" s="393"/>
      <c r="K159" s="393"/>
      <c r="L159" s="393"/>
      <c r="M159" s="382"/>
      <c r="N159" s="393"/>
      <c r="O159" s="393"/>
      <c r="P159" s="396"/>
      <c r="Q159" s="393"/>
      <c r="R159" s="393"/>
      <c r="S159" s="393"/>
      <c r="T159" s="393"/>
      <c r="U159" s="393"/>
      <c r="V159" s="393"/>
      <c r="W159" s="393"/>
      <c r="X159" s="393"/>
      <c r="Y159" s="397"/>
      <c r="Z159" s="393"/>
      <c r="AA159" s="393"/>
      <c r="AB159" s="401"/>
      <c r="AC159" s="401"/>
      <c r="AD159" s="401"/>
      <c r="AE159" s="401"/>
      <c r="AF159" s="401"/>
      <c r="AG159" s="401"/>
      <c r="AH159" s="401"/>
      <c r="AI159" s="401"/>
      <c r="AJ159" s="401"/>
      <c r="AK159" s="401"/>
      <c r="AL159" s="401"/>
    </row>
    <row r="160" spans="1:38" s="154" customFormat="1" ht="20.100000000000001" customHeight="1">
      <c r="A160" s="402"/>
      <c r="B160" s="393"/>
      <c r="C160" s="394"/>
      <c r="D160" s="393"/>
      <c r="E160" s="393"/>
      <c r="F160" s="393"/>
      <c r="G160" s="395"/>
      <c r="H160" s="396"/>
      <c r="I160" s="393"/>
      <c r="J160" s="393"/>
      <c r="K160" s="393"/>
      <c r="L160" s="393"/>
      <c r="M160" s="382"/>
      <c r="N160" s="393"/>
      <c r="O160" s="393"/>
      <c r="P160" s="396"/>
      <c r="Q160" s="393"/>
      <c r="R160" s="393"/>
      <c r="S160" s="393"/>
      <c r="T160" s="393"/>
      <c r="U160" s="393"/>
      <c r="V160" s="393"/>
      <c r="W160" s="393"/>
      <c r="X160" s="393"/>
      <c r="Y160" s="397"/>
      <c r="Z160" s="393"/>
      <c r="AA160" s="393"/>
      <c r="AB160" s="401"/>
      <c r="AC160" s="401"/>
      <c r="AD160" s="401"/>
      <c r="AE160" s="401"/>
      <c r="AF160" s="401"/>
      <c r="AG160" s="401"/>
      <c r="AH160" s="401"/>
      <c r="AI160" s="401"/>
      <c r="AJ160" s="401"/>
      <c r="AK160" s="401"/>
      <c r="AL160" s="401"/>
    </row>
    <row r="161" spans="1:38" s="154" customFormat="1" ht="20.100000000000001" customHeight="1">
      <c r="A161" s="402"/>
      <c r="B161" s="393"/>
      <c r="C161" s="394"/>
      <c r="D161" s="393"/>
      <c r="E161" s="393"/>
      <c r="F161" s="393"/>
      <c r="G161" s="395"/>
      <c r="H161" s="396"/>
      <c r="I161" s="393"/>
      <c r="J161" s="393"/>
      <c r="K161" s="393"/>
      <c r="L161" s="393"/>
      <c r="M161" s="382"/>
      <c r="N161" s="393"/>
      <c r="O161" s="393"/>
      <c r="P161" s="396"/>
      <c r="Q161" s="393"/>
      <c r="R161" s="393"/>
      <c r="S161" s="393"/>
      <c r="T161" s="393"/>
      <c r="U161" s="393"/>
      <c r="V161" s="393"/>
      <c r="W161" s="393"/>
      <c r="X161" s="393"/>
      <c r="Y161" s="397"/>
      <c r="Z161" s="393"/>
      <c r="AA161" s="393"/>
      <c r="AB161" s="401"/>
      <c r="AC161" s="401"/>
      <c r="AD161" s="401"/>
      <c r="AE161" s="401"/>
      <c r="AF161" s="401"/>
      <c r="AG161" s="401"/>
      <c r="AH161" s="401"/>
      <c r="AI161" s="401"/>
      <c r="AJ161" s="401"/>
      <c r="AK161" s="401"/>
      <c r="AL161" s="401"/>
    </row>
    <row r="162" spans="1:38" s="154" customFormat="1" ht="20.100000000000001" customHeight="1">
      <c r="A162" s="402"/>
      <c r="B162" s="393"/>
      <c r="C162" s="394"/>
      <c r="D162" s="393"/>
      <c r="E162" s="393"/>
      <c r="F162" s="393"/>
      <c r="G162" s="395"/>
      <c r="H162" s="396"/>
      <c r="I162" s="393"/>
      <c r="J162" s="393"/>
      <c r="K162" s="393"/>
      <c r="L162" s="393"/>
      <c r="M162" s="382"/>
      <c r="N162" s="393"/>
      <c r="O162" s="393"/>
      <c r="P162" s="396"/>
      <c r="Q162" s="393"/>
      <c r="R162" s="393"/>
      <c r="S162" s="393"/>
      <c r="T162" s="393"/>
      <c r="U162" s="393"/>
      <c r="V162" s="393"/>
      <c r="W162" s="393"/>
      <c r="X162" s="393"/>
      <c r="Y162" s="397"/>
      <c r="Z162" s="393"/>
      <c r="AA162" s="393"/>
      <c r="AB162" s="401"/>
      <c r="AC162" s="401"/>
      <c r="AD162" s="401"/>
      <c r="AE162" s="401"/>
      <c r="AF162" s="401"/>
      <c r="AG162" s="401"/>
      <c r="AH162" s="401"/>
      <c r="AI162" s="401"/>
      <c r="AJ162" s="401"/>
      <c r="AK162" s="401"/>
      <c r="AL162" s="401"/>
    </row>
    <row r="163" spans="1:38" s="154" customFormat="1" ht="20.100000000000001" customHeight="1">
      <c r="A163" s="402"/>
      <c r="B163" s="393"/>
      <c r="C163" s="394"/>
      <c r="D163" s="393"/>
      <c r="E163" s="393"/>
      <c r="F163" s="393"/>
      <c r="G163" s="395"/>
      <c r="H163" s="396"/>
      <c r="I163" s="393"/>
      <c r="J163" s="393"/>
      <c r="K163" s="393"/>
      <c r="L163" s="393"/>
      <c r="M163" s="382"/>
      <c r="N163" s="393"/>
      <c r="O163" s="393"/>
      <c r="P163" s="396"/>
      <c r="Q163" s="393"/>
      <c r="R163" s="393"/>
      <c r="S163" s="393"/>
      <c r="T163" s="393"/>
      <c r="U163" s="393"/>
      <c r="V163" s="393"/>
      <c r="W163" s="393"/>
      <c r="X163" s="393"/>
      <c r="Y163" s="397"/>
      <c r="Z163" s="393"/>
      <c r="AA163" s="393"/>
      <c r="AB163" s="401"/>
      <c r="AC163" s="401"/>
      <c r="AD163" s="401"/>
      <c r="AE163" s="401"/>
      <c r="AF163" s="401"/>
      <c r="AG163" s="401"/>
      <c r="AH163" s="401"/>
      <c r="AI163" s="401"/>
      <c r="AJ163" s="401"/>
      <c r="AK163" s="401"/>
      <c r="AL163" s="401"/>
    </row>
    <row r="164" spans="1:38" s="154" customFormat="1" ht="20.100000000000001" customHeight="1">
      <c r="A164" s="402"/>
      <c r="B164" s="393"/>
      <c r="C164" s="394"/>
      <c r="D164" s="393"/>
      <c r="E164" s="393"/>
      <c r="F164" s="393"/>
      <c r="G164" s="395"/>
      <c r="H164" s="396"/>
      <c r="I164" s="393"/>
      <c r="J164" s="393"/>
      <c r="K164" s="393"/>
      <c r="L164" s="393"/>
      <c r="M164" s="382"/>
      <c r="N164" s="393"/>
      <c r="O164" s="393"/>
      <c r="P164" s="396"/>
      <c r="Q164" s="393"/>
      <c r="R164" s="393"/>
      <c r="S164" s="393"/>
      <c r="T164" s="393"/>
      <c r="U164" s="393"/>
      <c r="V164" s="393"/>
      <c r="W164" s="393"/>
      <c r="X164" s="393"/>
      <c r="Y164" s="397"/>
      <c r="Z164" s="393"/>
      <c r="AA164" s="393"/>
      <c r="AB164" s="401"/>
      <c r="AC164" s="401"/>
      <c r="AD164" s="401"/>
      <c r="AE164" s="401"/>
      <c r="AF164" s="401"/>
      <c r="AG164" s="401"/>
      <c r="AH164" s="401"/>
      <c r="AI164" s="401"/>
      <c r="AJ164" s="401"/>
      <c r="AK164" s="401"/>
      <c r="AL164" s="401"/>
    </row>
    <row r="165" spans="1:38" s="154" customFormat="1" ht="20.100000000000001" customHeight="1">
      <c r="A165" s="402"/>
      <c r="B165" s="393"/>
      <c r="C165" s="394"/>
      <c r="D165" s="393"/>
      <c r="E165" s="393"/>
      <c r="F165" s="393"/>
      <c r="G165" s="395"/>
      <c r="H165" s="396"/>
      <c r="I165" s="393"/>
      <c r="J165" s="393"/>
      <c r="K165" s="393"/>
      <c r="L165" s="393"/>
      <c r="M165" s="382"/>
      <c r="N165" s="393"/>
      <c r="O165" s="393"/>
      <c r="P165" s="396"/>
      <c r="Q165" s="393"/>
      <c r="R165" s="393"/>
      <c r="S165" s="393"/>
      <c r="T165" s="393"/>
      <c r="U165" s="393"/>
      <c r="V165" s="393"/>
      <c r="W165" s="393"/>
      <c r="X165" s="393"/>
      <c r="Y165" s="397"/>
      <c r="Z165" s="393"/>
      <c r="AA165" s="393"/>
      <c r="AB165" s="401"/>
      <c r="AC165" s="401"/>
      <c r="AD165" s="401"/>
      <c r="AE165" s="401"/>
      <c r="AF165" s="401"/>
      <c r="AG165" s="401"/>
      <c r="AH165" s="401"/>
      <c r="AI165" s="401"/>
      <c r="AJ165" s="401"/>
      <c r="AK165" s="401"/>
      <c r="AL165" s="401"/>
    </row>
    <row r="166" spans="1:38" s="154" customFormat="1" ht="20.100000000000001" customHeight="1">
      <c r="A166" s="402"/>
      <c r="B166" s="393"/>
      <c r="C166" s="394"/>
      <c r="D166" s="393"/>
      <c r="E166" s="393"/>
      <c r="F166" s="393"/>
      <c r="G166" s="395"/>
      <c r="H166" s="396"/>
      <c r="I166" s="393"/>
      <c r="J166" s="393"/>
      <c r="K166" s="393"/>
      <c r="L166" s="393"/>
      <c r="M166" s="382"/>
      <c r="N166" s="393"/>
      <c r="O166" s="393"/>
      <c r="P166" s="396"/>
      <c r="Q166" s="393"/>
      <c r="R166" s="393"/>
      <c r="S166" s="393"/>
      <c r="T166" s="393"/>
      <c r="U166" s="393"/>
      <c r="V166" s="393"/>
      <c r="W166" s="393"/>
      <c r="X166" s="393"/>
      <c r="Y166" s="397"/>
      <c r="Z166" s="393"/>
      <c r="AA166" s="393"/>
      <c r="AB166" s="401"/>
      <c r="AC166" s="401"/>
      <c r="AD166" s="401"/>
      <c r="AE166" s="401"/>
      <c r="AF166" s="401"/>
      <c r="AG166" s="401"/>
      <c r="AH166" s="401"/>
      <c r="AI166" s="401"/>
      <c r="AJ166" s="401"/>
      <c r="AK166" s="401"/>
      <c r="AL166" s="401"/>
    </row>
    <row r="167" spans="1:38" s="154" customFormat="1" ht="20.100000000000001" customHeight="1">
      <c r="A167" s="402"/>
      <c r="B167" s="393"/>
      <c r="C167" s="394"/>
      <c r="D167" s="393"/>
      <c r="E167" s="393"/>
      <c r="F167" s="393"/>
      <c r="G167" s="395"/>
      <c r="H167" s="396"/>
      <c r="I167" s="393"/>
      <c r="J167" s="393"/>
      <c r="K167" s="393"/>
      <c r="L167" s="393"/>
      <c r="M167" s="382"/>
      <c r="N167" s="393"/>
      <c r="O167" s="393"/>
      <c r="P167" s="396"/>
      <c r="Q167" s="393"/>
      <c r="R167" s="393"/>
      <c r="S167" s="393"/>
      <c r="T167" s="393"/>
      <c r="U167" s="393"/>
      <c r="V167" s="393"/>
      <c r="W167" s="393"/>
      <c r="X167" s="393"/>
      <c r="Y167" s="397"/>
      <c r="Z167" s="393"/>
      <c r="AA167" s="393"/>
      <c r="AB167" s="401"/>
      <c r="AC167" s="401"/>
      <c r="AD167" s="401"/>
      <c r="AE167" s="401"/>
      <c r="AF167" s="401"/>
      <c r="AG167" s="401"/>
      <c r="AH167" s="401"/>
      <c r="AI167" s="401"/>
      <c r="AJ167" s="401"/>
      <c r="AK167" s="401"/>
      <c r="AL167" s="401"/>
    </row>
    <row r="168" spans="1:38" s="154" customFormat="1" ht="20.100000000000001" customHeight="1">
      <c r="A168" s="402"/>
      <c r="B168" s="393"/>
      <c r="C168" s="394"/>
      <c r="D168" s="393"/>
      <c r="E168" s="393"/>
      <c r="F168" s="393"/>
      <c r="G168" s="395"/>
      <c r="H168" s="396"/>
      <c r="I168" s="393"/>
      <c r="J168" s="393"/>
      <c r="K168" s="393"/>
      <c r="L168" s="393"/>
      <c r="M168" s="382"/>
      <c r="N168" s="393"/>
      <c r="O168" s="393"/>
      <c r="P168" s="396"/>
      <c r="Q168" s="393"/>
      <c r="R168" s="393"/>
      <c r="S168" s="393"/>
      <c r="T168" s="393"/>
      <c r="U168" s="393"/>
      <c r="V168" s="393"/>
      <c r="W168" s="393"/>
      <c r="X168" s="393"/>
      <c r="Y168" s="397"/>
      <c r="Z168" s="393"/>
      <c r="AA168" s="393"/>
      <c r="AB168" s="401"/>
      <c r="AC168" s="401"/>
      <c r="AD168" s="401"/>
      <c r="AE168" s="401"/>
      <c r="AF168" s="401"/>
      <c r="AG168" s="401"/>
      <c r="AH168" s="401"/>
      <c r="AI168" s="401"/>
      <c r="AJ168" s="401"/>
      <c r="AK168" s="401"/>
      <c r="AL168" s="401"/>
    </row>
    <row r="169" spans="1:38" s="154" customFormat="1" ht="20.100000000000001" customHeight="1">
      <c r="A169" s="402"/>
      <c r="B169" s="393"/>
      <c r="C169" s="394"/>
      <c r="D169" s="393"/>
      <c r="E169" s="393"/>
      <c r="F169" s="393"/>
      <c r="G169" s="395"/>
      <c r="H169" s="396"/>
      <c r="I169" s="393"/>
      <c r="J169" s="393"/>
      <c r="K169" s="393"/>
      <c r="L169" s="393"/>
      <c r="M169" s="382"/>
      <c r="N169" s="393"/>
      <c r="O169" s="393"/>
      <c r="P169" s="396"/>
      <c r="Q169" s="393"/>
      <c r="R169" s="393"/>
      <c r="S169" s="393"/>
      <c r="T169" s="393"/>
      <c r="U169" s="393"/>
      <c r="V169" s="393"/>
      <c r="W169" s="393"/>
      <c r="X169" s="393"/>
      <c r="Y169" s="397"/>
      <c r="Z169" s="393"/>
      <c r="AA169" s="393"/>
      <c r="AB169" s="401"/>
      <c r="AC169" s="401"/>
      <c r="AD169" s="401"/>
      <c r="AE169" s="401"/>
      <c r="AF169" s="401"/>
      <c r="AG169" s="401"/>
      <c r="AH169" s="401"/>
      <c r="AI169" s="401"/>
      <c r="AJ169" s="401"/>
      <c r="AK169" s="401"/>
      <c r="AL169" s="401"/>
    </row>
    <row r="170" spans="1:38" s="154" customFormat="1" ht="20.100000000000001" customHeight="1">
      <c r="A170" s="402"/>
      <c r="B170" s="393"/>
      <c r="C170" s="394"/>
      <c r="D170" s="393"/>
      <c r="E170" s="393"/>
      <c r="F170" s="393"/>
      <c r="G170" s="395"/>
      <c r="H170" s="396"/>
      <c r="I170" s="393"/>
      <c r="J170" s="393"/>
      <c r="K170" s="393"/>
      <c r="L170" s="393"/>
      <c r="M170" s="382"/>
      <c r="N170" s="393"/>
      <c r="O170" s="393"/>
      <c r="P170" s="396"/>
      <c r="Q170" s="393"/>
      <c r="R170" s="393"/>
      <c r="S170" s="393"/>
      <c r="T170" s="393"/>
      <c r="U170" s="393"/>
      <c r="V170" s="393"/>
      <c r="W170" s="393"/>
      <c r="X170" s="393"/>
      <c r="Y170" s="397"/>
      <c r="Z170" s="393"/>
      <c r="AA170" s="393"/>
      <c r="AB170" s="401"/>
      <c r="AC170" s="401"/>
      <c r="AD170" s="401"/>
      <c r="AE170" s="401"/>
      <c r="AF170" s="401"/>
      <c r="AG170" s="401"/>
      <c r="AH170" s="401"/>
      <c r="AI170" s="401"/>
      <c r="AJ170" s="401"/>
      <c r="AK170" s="401"/>
      <c r="AL170" s="401"/>
    </row>
    <row r="171" spans="1:38" s="154" customFormat="1" ht="20.100000000000001" customHeight="1">
      <c r="A171" s="402"/>
      <c r="B171" s="393"/>
      <c r="C171" s="394"/>
      <c r="D171" s="393"/>
      <c r="E171" s="393"/>
      <c r="F171" s="393"/>
      <c r="G171" s="395"/>
      <c r="H171" s="396"/>
      <c r="I171" s="393"/>
      <c r="J171" s="393"/>
      <c r="K171" s="393"/>
      <c r="L171" s="393"/>
      <c r="M171" s="382"/>
      <c r="N171" s="393"/>
      <c r="O171" s="393"/>
      <c r="P171" s="396"/>
      <c r="Q171" s="393"/>
      <c r="R171" s="393"/>
      <c r="S171" s="393"/>
      <c r="T171" s="393"/>
      <c r="U171" s="393"/>
      <c r="V171" s="393"/>
      <c r="W171" s="393"/>
      <c r="X171" s="393"/>
      <c r="Y171" s="397"/>
      <c r="Z171" s="393"/>
      <c r="AA171" s="393"/>
      <c r="AB171" s="401"/>
      <c r="AC171" s="401"/>
      <c r="AD171" s="401"/>
      <c r="AE171" s="401"/>
      <c r="AF171" s="401"/>
      <c r="AG171" s="401"/>
      <c r="AH171" s="401"/>
      <c r="AI171" s="401"/>
      <c r="AJ171" s="401"/>
      <c r="AK171" s="401"/>
      <c r="AL171" s="401"/>
    </row>
    <row r="172" spans="1:38" s="154" customFormat="1" ht="20.100000000000001" customHeight="1">
      <c r="A172" s="402"/>
      <c r="B172" s="393"/>
      <c r="C172" s="394"/>
      <c r="D172" s="393"/>
      <c r="E172" s="393"/>
      <c r="F172" s="393"/>
      <c r="G172" s="395"/>
      <c r="H172" s="396"/>
      <c r="I172" s="393"/>
      <c r="J172" s="393"/>
      <c r="K172" s="393"/>
      <c r="L172" s="393"/>
      <c r="M172" s="382"/>
      <c r="N172" s="393"/>
      <c r="O172" s="393"/>
      <c r="P172" s="396"/>
      <c r="Q172" s="393"/>
      <c r="R172" s="393"/>
      <c r="S172" s="393"/>
      <c r="T172" s="393"/>
      <c r="U172" s="393"/>
      <c r="V172" s="393"/>
      <c r="W172" s="393"/>
      <c r="X172" s="393"/>
      <c r="Y172" s="397"/>
      <c r="Z172" s="393"/>
      <c r="AA172" s="393"/>
      <c r="AB172" s="401"/>
      <c r="AC172" s="401"/>
      <c r="AD172" s="401"/>
      <c r="AE172" s="401"/>
      <c r="AF172" s="401"/>
      <c r="AG172" s="401"/>
      <c r="AH172" s="401"/>
      <c r="AI172" s="401"/>
      <c r="AJ172" s="401"/>
      <c r="AK172" s="401"/>
      <c r="AL172" s="401"/>
    </row>
    <row r="173" spans="1:38" s="154" customFormat="1" ht="20.100000000000001" customHeight="1">
      <c r="A173" s="402"/>
      <c r="B173" s="393"/>
      <c r="C173" s="394"/>
      <c r="D173" s="393"/>
      <c r="E173" s="393"/>
      <c r="F173" s="393"/>
      <c r="G173" s="395"/>
      <c r="H173" s="396"/>
      <c r="I173" s="393"/>
      <c r="J173" s="393"/>
      <c r="K173" s="393"/>
      <c r="L173" s="393"/>
      <c r="M173" s="382"/>
      <c r="N173" s="393"/>
      <c r="O173" s="393"/>
      <c r="P173" s="396"/>
      <c r="Q173" s="393"/>
      <c r="R173" s="393"/>
      <c r="S173" s="393"/>
      <c r="T173" s="393"/>
      <c r="U173" s="393"/>
      <c r="V173" s="393"/>
      <c r="W173" s="393"/>
      <c r="X173" s="393"/>
      <c r="Y173" s="397"/>
      <c r="Z173" s="393"/>
      <c r="AA173" s="393"/>
      <c r="AB173" s="401"/>
      <c r="AC173" s="401"/>
      <c r="AD173" s="401"/>
      <c r="AE173" s="401"/>
      <c r="AF173" s="401"/>
      <c r="AG173" s="401"/>
      <c r="AH173" s="401"/>
      <c r="AI173" s="401"/>
      <c r="AJ173" s="401"/>
      <c r="AK173" s="401"/>
      <c r="AL173" s="401"/>
    </row>
    <row r="174" spans="1:38" s="154" customFormat="1" ht="20.100000000000001" customHeight="1">
      <c r="A174" s="402"/>
      <c r="B174" s="393"/>
      <c r="C174" s="394"/>
      <c r="D174" s="393"/>
      <c r="E174" s="393"/>
      <c r="F174" s="393"/>
      <c r="G174" s="395"/>
      <c r="H174" s="396"/>
      <c r="I174" s="393"/>
      <c r="J174" s="393"/>
      <c r="K174" s="393"/>
      <c r="L174" s="393"/>
      <c r="M174" s="382"/>
      <c r="N174" s="393"/>
      <c r="O174" s="393"/>
      <c r="P174" s="396"/>
      <c r="Q174" s="393"/>
      <c r="R174" s="393"/>
      <c r="S174" s="393"/>
      <c r="T174" s="393"/>
      <c r="U174" s="393"/>
      <c r="V174" s="393"/>
      <c r="W174" s="393"/>
      <c r="X174" s="393"/>
      <c r="Y174" s="397"/>
      <c r="Z174" s="393"/>
      <c r="AA174" s="393"/>
      <c r="AB174" s="401"/>
      <c r="AC174" s="401"/>
      <c r="AD174" s="401"/>
      <c r="AE174" s="401"/>
      <c r="AF174" s="401"/>
      <c r="AG174" s="401"/>
      <c r="AH174" s="401"/>
      <c r="AI174" s="401"/>
      <c r="AJ174" s="401"/>
      <c r="AK174" s="401"/>
      <c r="AL174" s="401"/>
    </row>
    <row r="175" spans="1:38" s="154" customFormat="1" ht="20.100000000000001" customHeight="1">
      <c r="A175" s="402"/>
      <c r="B175" s="393"/>
      <c r="C175" s="394"/>
      <c r="D175" s="393"/>
      <c r="E175" s="393"/>
      <c r="F175" s="393"/>
      <c r="G175" s="395"/>
      <c r="H175" s="396"/>
      <c r="I175" s="393"/>
      <c r="J175" s="393"/>
      <c r="K175" s="393"/>
      <c r="L175" s="393"/>
      <c r="M175" s="382"/>
      <c r="N175" s="393"/>
      <c r="O175" s="393"/>
      <c r="P175" s="396"/>
      <c r="Q175" s="393"/>
      <c r="R175" s="393"/>
      <c r="S175" s="393"/>
      <c r="T175" s="393"/>
      <c r="U175" s="393"/>
      <c r="V175" s="393"/>
      <c r="W175" s="393"/>
      <c r="X175" s="393"/>
      <c r="Y175" s="397"/>
      <c r="Z175" s="393"/>
      <c r="AA175" s="393"/>
      <c r="AB175" s="401"/>
      <c r="AC175" s="401"/>
      <c r="AD175" s="401"/>
      <c r="AE175" s="401"/>
      <c r="AF175" s="401"/>
      <c r="AG175" s="401"/>
      <c r="AH175" s="401"/>
      <c r="AI175" s="401"/>
      <c r="AJ175" s="401"/>
      <c r="AK175" s="401"/>
      <c r="AL175" s="401"/>
    </row>
    <row r="176" spans="1:38" s="154" customFormat="1" ht="20.100000000000001" customHeight="1">
      <c r="A176" s="402"/>
      <c r="B176" s="393"/>
      <c r="C176" s="394"/>
      <c r="D176" s="393"/>
      <c r="E176" s="393"/>
      <c r="F176" s="393"/>
      <c r="G176" s="395"/>
      <c r="H176" s="396"/>
      <c r="I176" s="393"/>
      <c r="J176" s="393"/>
      <c r="K176" s="393"/>
      <c r="L176" s="393"/>
      <c r="M176" s="382"/>
      <c r="N176" s="393"/>
      <c r="O176" s="393"/>
      <c r="P176" s="396"/>
      <c r="Q176" s="393"/>
      <c r="R176" s="393"/>
      <c r="S176" s="393"/>
      <c r="T176" s="393"/>
      <c r="U176" s="393"/>
      <c r="V176" s="393"/>
      <c r="W176" s="393"/>
      <c r="X176" s="393"/>
      <c r="Y176" s="397"/>
      <c r="Z176" s="393"/>
      <c r="AA176" s="393"/>
      <c r="AB176" s="401"/>
      <c r="AC176" s="401"/>
      <c r="AD176" s="401"/>
      <c r="AE176" s="401"/>
      <c r="AF176" s="401"/>
      <c r="AG176" s="401"/>
      <c r="AH176" s="401"/>
      <c r="AI176" s="401"/>
      <c r="AJ176" s="401"/>
      <c r="AK176" s="401"/>
      <c r="AL176" s="401"/>
    </row>
    <row r="177" spans="1:38" s="154" customFormat="1" ht="20.100000000000001" customHeight="1">
      <c r="A177" s="402"/>
      <c r="B177" s="393"/>
      <c r="C177" s="394"/>
      <c r="D177" s="393"/>
      <c r="E177" s="393"/>
      <c r="F177" s="393"/>
      <c r="G177" s="395"/>
      <c r="H177" s="396"/>
      <c r="I177" s="393"/>
      <c r="J177" s="393"/>
      <c r="K177" s="393"/>
      <c r="L177" s="393"/>
      <c r="M177" s="382"/>
      <c r="N177" s="393"/>
      <c r="O177" s="393"/>
      <c r="P177" s="396"/>
      <c r="Q177" s="393"/>
      <c r="R177" s="393"/>
      <c r="S177" s="393"/>
      <c r="T177" s="393"/>
      <c r="U177" s="393"/>
      <c r="V177" s="393"/>
      <c r="W177" s="393"/>
      <c r="X177" s="393"/>
      <c r="Y177" s="397"/>
      <c r="Z177" s="393"/>
      <c r="AA177" s="393"/>
      <c r="AB177" s="401"/>
      <c r="AC177" s="401"/>
      <c r="AD177" s="401"/>
      <c r="AE177" s="401"/>
      <c r="AF177" s="401"/>
      <c r="AG177" s="401"/>
      <c r="AH177" s="401"/>
      <c r="AI177" s="401"/>
      <c r="AJ177" s="401"/>
      <c r="AK177" s="401"/>
      <c r="AL177" s="401"/>
    </row>
    <row r="178" spans="1:38" s="154" customFormat="1" ht="20.100000000000001" customHeight="1">
      <c r="A178" s="402"/>
      <c r="B178" s="393"/>
      <c r="C178" s="394"/>
      <c r="D178" s="393"/>
      <c r="E178" s="393"/>
      <c r="F178" s="393"/>
      <c r="G178" s="395"/>
      <c r="H178" s="396"/>
      <c r="I178" s="393"/>
      <c r="J178" s="393"/>
      <c r="K178" s="393"/>
      <c r="L178" s="393"/>
      <c r="M178" s="382"/>
      <c r="N178" s="393"/>
      <c r="O178" s="393"/>
      <c r="P178" s="396"/>
      <c r="Q178" s="393"/>
      <c r="R178" s="393"/>
      <c r="S178" s="393"/>
      <c r="T178" s="393"/>
      <c r="U178" s="393"/>
      <c r="V178" s="393"/>
      <c r="W178" s="393"/>
      <c r="X178" s="393"/>
      <c r="Y178" s="397"/>
      <c r="Z178" s="393"/>
      <c r="AA178" s="393"/>
      <c r="AB178" s="401"/>
      <c r="AC178" s="401"/>
      <c r="AD178" s="401"/>
      <c r="AE178" s="401"/>
      <c r="AF178" s="401"/>
      <c r="AG178" s="401"/>
      <c r="AH178" s="401"/>
      <c r="AI178" s="401"/>
      <c r="AJ178" s="401"/>
      <c r="AK178" s="401"/>
      <c r="AL178" s="401"/>
    </row>
    <row r="179" spans="1:38" s="154" customFormat="1" ht="20.100000000000001" customHeight="1">
      <c r="A179" s="402"/>
      <c r="B179" s="393"/>
      <c r="C179" s="394"/>
      <c r="D179" s="393"/>
      <c r="E179" s="393"/>
      <c r="F179" s="393"/>
      <c r="G179" s="395"/>
      <c r="H179" s="396"/>
      <c r="I179" s="393"/>
      <c r="J179" s="393"/>
      <c r="K179" s="393"/>
      <c r="L179" s="393"/>
      <c r="M179" s="382"/>
      <c r="N179" s="393"/>
      <c r="O179" s="393"/>
      <c r="P179" s="396"/>
      <c r="Q179" s="393"/>
      <c r="R179" s="393"/>
      <c r="S179" s="393"/>
      <c r="T179" s="393"/>
      <c r="U179" s="393"/>
      <c r="V179" s="393"/>
      <c r="W179" s="393"/>
      <c r="X179" s="393"/>
      <c r="Y179" s="397"/>
      <c r="Z179" s="393"/>
      <c r="AA179" s="393"/>
      <c r="AB179" s="401"/>
      <c r="AC179" s="401"/>
      <c r="AD179" s="401"/>
      <c r="AE179" s="401"/>
      <c r="AF179" s="401"/>
      <c r="AG179" s="401"/>
      <c r="AH179" s="401"/>
      <c r="AI179" s="401"/>
      <c r="AJ179" s="401"/>
      <c r="AK179" s="401"/>
      <c r="AL179" s="401"/>
    </row>
    <row r="180" spans="1:38" s="154" customFormat="1" ht="20.100000000000001" customHeight="1">
      <c r="A180" s="402"/>
      <c r="B180" s="393"/>
      <c r="C180" s="394"/>
      <c r="D180" s="393"/>
      <c r="E180" s="393"/>
      <c r="F180" s="393"/>
      <c r="G180" s="395"/>
      <c r="H180" s="396"/>
      <c r="I180" s="393"/>
      <c r="J180" s="393"/>
      <c r="K180" s="393"/>
      <c r="L180" s="393"/>
      <c r="M180" s="382"/>
      <c r="N180" s="393"/>
      <c r="O180" s="393"/>
      <c r="P180" s="396"/>
      <c r="Q180" s="393"/>
      <c r="R180" s="393"/>
      <c r="S180" s="393"/>
      <c r="T180" s="393"/>
      <c r="U180" s="393"/>
      <c r="V180" s="393"/>
      <c r="W180" s="393"/>
      <c r="X180" s="393"/>
      <c r="Y180" s="397"/>
      <c r="Z180" s="393"/>
      <c r="AA180" s="393"/>
      <c r="AB180" s="401"/>
      <c r="AC180" s="401"/>
      <c r="AD180" s="401"/>
      <c r="AE180" s="401"/>
      <c r="AF180" s="401"/>
      <c r="AG180" s="401"/>
      <c r="AH180" s="401"/>
      <c r="AI180" s="401"/>
      <c r="AJ180" s="401"/>
      <c r="AK180" s="401"/>
      <c r="AL180" s="401"/>
    </row>
    <row r="181" spans="1:38" s="154" customFormat="1" ht="20.100000000000001" customHeight="1">
      <c r="A181" s="402"/>
      <c r="B181" s="393"/>
      <c r="C181" s="394"/>
      <c r="D181" s="393"/>
      <c r="E181" s="393"/>
      <c r="F181" s="393"/>
      <c r="G181" s="395"/>
      <c r="H181" s="396"/>
      <c r="I181" s="393"/>
      <c r="J181" s="393"/>
      <c r="K181" s="393"/>
      <c r="L181" s="393"/>
      <c r="M181" s="382"/>
      <c r="N181" s="393"/>
      <c r="O181" s="393"/>
      <c r="P181" s="396"/>
      <c r="Q181" s="393"/>
      <c r="R181" s="393"/>
      <c r="S181" s="393"/>
      <c r="T181" s="393"/>
      <c r="U181" s="393"/>
      <c r="V181" s="393"/>
      <c r="W181" s="393"/>
      <c r="X181" s="393"/>
      <c r="Y181" s="397"/>
      <c r="Z181" s="393"/>
      <c r="AA181" s="393"/>
      <c r="AB181" s="401"/>
      <c r="AC181" s="401"/>
      <c r="AD181" s="401"/>
      <c r="AE181" s="401"/>
      <c r="AF181" s="401"/>
      <c r="AG181" s="401"/>
      <c r="AH181" s="401"/>
      <c r="AI181" s="401"/>
      <c r="AJ181" s="401"/>
      <c r="AK181" s="401"/>
      <c r="AL181" s="401"/>
    </row>
    <row r="182" spans="1:38" s="154" customFormat="1" ht="20.100000000000001" customHeight="1">
      <c r="A182" s="402"/>
      <c r="B182" s="393"/>
      <c r="C182" s="394"/>
      <c r="D182" s="393"/>
      <c r="E182" s="393"/>
      <c r="F182" s="393"/>
      <c r="G182" s="395"/>
      <c r="H182" s="396"/>
      <c r="I182" s="393"/>
      <c r="J182" s="393"/>
      <c r="K182" s="393"/>
      <c r="L182" s="393"/>
      <c r="M182" s="382"/>
      <c r="N182" s="393"/>
      <c r="O182" s="393"/>
      <c r="P182" s="396"/>
      <c r="Q182" s="393"/>
      <c r="R182" s="393"/>
      <c r="S182" s="393"/>
      <c r="T182" s="393"/>
      <c r="U182" s="393"/>
      <c r="V182" s="393"/>
      <c r="W182" s="393"/>
      <c r="X182" s="393"/>
      <c r="Y182" s="397"/>
      <c r="Z182" s="393"/>
      <c r="AA182" s="393"/>
      <c r="AB182" s="401"/>
      <c r="AC182" s="401"/>
      <c r="AD182" s="401"/>
      <c r="AE182" s="401"/>
      <c r="AF182" s="401"/>
      <c r="AG182" s="401"/>
      <c r="AH182" s="401"/>
      <c r="AI182" s="401"/>
      <c r="AJ182" s="401"/>
      <c r="AK182" s="401"/>
      <c r="AL182" s="401"/>
    </row>
    <row r="183" spans="1:38" s="154" customFormat="1" ht="20.100000000000001" customHeight="1">
      <c r="A183" s="402"/>
      <c r="B183" s="393"/>
      <c r="C183" s="394"/>
      <c r="D183" s="393"/>
      <c r="E183" s="393"/>
      <c r="F183" s="393"/>
      <c r="G183" s="395"/>
      <c r="H183" s="396"/>
      <c r="I183" s="393"/>
      <c r="J183" s="393"/>
      <c r="K183" s="393"/>
      <c r="L183" s="393"/>
      <c r="M183" s="382"/>
      <c r="N183" s="393"/>
      <c r="O183" s="393"/>
      <c r="P183" s="396"/>
      <c r="Q183" s="393"/>
      <c r="R183" s="393"/>
      <c r="S183" s="393"/>
      <c r="T183" s="393"/>
      <c r="U183" s="393"/>
      <c r="V183" s="393"/>
      <c r="W183" s="393"/>
      <c r="X183" s="393"/>
      <c r="Y183" s="397"/>
      <c r="Z183" s="393"/>
      <c r="AA183" s="393"/>
      <c r="AB183" s="401"/>
      <c r="AC183" s="401"/>
      <c r="AD183" s="401"/>
      <c r="AE183" s="401"/>
      <c r="AF183" s="401"/>
      <c r="AG183" s="401"/>
      <c r="AH183" s="401"/>
      <c r="AI183" s="401"/>
      <c r="AJ183" s="401"/>
      <c r="AK183" s="401"/>
      <c r="AL183" s="401"/>
    </row>
    <row r="184" spans="1:38" s="154" customFormat="1" ht="20.100000000000001" customHeight="1">
      <c r="A184" s="402"/>
      <c r="B184" s="393"/>
      <c r="C184" s="394"/>
      <c r="D184" s="393"/>
      <c r="E184" s="393"/>
      <c r="F184" s="393"/>
      <c r="G184" s="395"/>
      <c r="H184" s="396"/>
      <c r="I184" s="393"/>
      <c r="J184" s="393"/>
      <c r="K184" s="393"/>
      <c r="L184" s="393"/>
      <c r="M184" s="382"/>
      <c r="N184" s="393"/>
      <c r="O184" s="393"/>
      <c r="P184" s="396"/>
      <c r="Q184" s="393"/>
      <c r="R184" s="393"/>
      <c r="S184" s="393"/>
      <c r="T184" s="393"/>
      <c r="U184" s="393"/>
      <c r="V184" s="393"/>
      <c r="W184" s="393"/>
      <c r="X184" s="393"/>
      <c r="Y184" s="397"/>
      <c r="Z184" s="393"/>
      <c r="AA184" s="393"/>
      <c r="AB184" s="401"/>
      <c r="AC184" s="401"/>
      <c r="AD184" s="401"/>
      <c r="AE184" s="401"/>
      <c r="AF184" s="401"/>
      <c r="AG184" s="401"/>
      <c r="AH184" s="401"/>
      <c r="AI184" s="401"/>
      <c r="AJ184" s="401"/>
      <c r="AK184" s="401"/>
      <c r="AL184" s="401"/>
    </row>
    <row r="185" spans="1:38" s="154" customFormat="1" ht="20.100000000000001" customHeight="1">
      <c r="A185" s="402"/>
      <c r="B185" s="393"/>
      <c r="C185" s="394"/>
      <c r="D185" s="393"/>
      <c r="E185" s="393"/>
      <c r="F185" s="393"/>
      <c r="G185" s="395"/>
      <c r="H185" s="396"/>
      <c r="I185" s="393"/>
      <c r="J185" s="393"/>
      <c r="K185" s="393"/>
      <c r="L185" s="393"/>
      <c r="M185" s="382"/>
      <c r="N185" s="393"/>
      <c r="O185" s="393"/>
      <c r="P185" s="396"/>
      <c r="Q185" s="393"/>
      <c r="R185" s="393"/>
      <c r="S185" s="393"/>
      <c r="T185" s="393"/>
      <c r="U185" s="393"/>
      <c r="V185" s="393"/>
      <c r="W185" s="393"/>
      <c r="X185" s="393"/>
      <c r="Y185" s="397"/>
      <c r="Z185" s="393"/>
      <c r="AA185" s="393"/>
      <c r="AB185" s="401"/>
      <c r="AC185" s="401"/>
      <c r="AD185" s="401"/>
      <c r="AE185" s="401"/>
      <c r="AF185" s="401"/>
      <c r="AG185" s="401"/>
      <c r="AH185" s="401"/>
      <c r="AI185" s="401"/>
      <c r="AJ185" s="401"/>
      <c r="AK185" s="401"/>
      <c r="AL185" s="401"/>
    </row>
    <row r="186" spans="1:38" s="154" customFormat="1" ht="20.100000000000001" customHeight="1">
      <c r="A186" s="402"/>
      <c r="B186" s="393"/>
      <c r="C186" s="394"/>
      <c r="D186" s="393"/>
      <c r="E186" s="393"/>
      <c r="F186" s="393"/>
      <c r="G186" s="395"/>
      <c r="H186" s="396"/>
      <c r="I186" s="393"/>
      <c r="J186" s="393"/>
      <c r="K186" s="393"/>
      <c r="L186" s="393"/>
      <c r="M186" s="382"/>
      <c r="N186" s="393"/>
      <c r="O186" s="393"/>
      <c r="P186" s="396"/>
      <c r="Q186" s="393"/>
      <c r="R186" s="393"/>
      <c r="S186" s="393"/>
      <c r="T186" s="393"/>
      <c r="U186" s="393"/>
      <c r="V186" s="393"/>
      <c r="W186" s="393"/>
      <c r="X186" s="393"/>
      <c r="Y186" s="397"/>
      <c r="Z186" s="393"/>
      <c r="AA186" s="393"/>
      <c r="AB186" s="401"/>
      <c r="AC186" s="401"/>
      <c r="AD186" s="401"/>
      <c r="AE186" s="401"/>
      <c r="AF186" s="401"/>
      <c r="AG186" s="401"/>
      <c r="AH186" s="401"/>
      <c r="AI186" s="401"/>
      <c r="AJ186" s="401"/>
      <c r="AK186" s="401"/>
      <c r="AL186" s="401"/>
    </row>
    <row r="187" spans="1:38" s="154" customFormat="1" ht="20.100000000000001" customHeight="1">
      <c r="A187" s="402"/>
      <c r="B187" s="393"/>
      <c r="C187" s="394"/>
      <c r="D187" s="393"/>
      <c r="E187" s="393"/>
      <c r="F187" s="393"/>
      <c r="G187" s="395"/>
      <c r="H187" s="396"/>
      <c r="I187" s="393"/>
      <c r="J187" s="393"/>
      <c r="K187" s="393"/>
      <c r="L187" s="393"/>
      <c r="M187" s="382"/>
      <c r="N187" s="393"/>
      <c r="O187" s="393"/>
      <c r="P187" s="396"/>
      <c r="Q187" s="393"/>
      <c r="R187" s="393"/>
      <c r="S187" s="393"/>
      <c r="T187" s="393"/>
      <c r="U187" s="393"/>
      <c r="V187" s="393"/>
      <c r="W187" s="393"/>
      <c r="X187" s="393"/>
      <c r="Y187" s="397"/>
      <c r="Z187" s="393"/>
      <c r="AA187" s="393"/>
      <c r="AB187" s="401"/>
      <c r="AC187" s="401"/>
      <c r="AD187" s="401"/>
      <c r="AE187" s="401"/>
      <c r="AF187" s="401"/>
      <c r="AG187" s="401"/>
      <c r="AH187" s="401"/>
      <c r="AI187" s="401"/>
      <c r="AJ187" s="401"/>
      <c r="AK187" s="401"/>
      <c r="AL187" s="401"/>
    </row>
    <row r="188" spans="1:38" s="154" customFormat="1" ht="20.100000000000001" customHeight="1">
      <c r="A188" s="402"/>
      <c r="B188" s="393"/>
      <c r="C188" s="394"/>
      <c r="D188" s="393"/>
      <c r="E188" s="393"/>
      <c r="F188" s="393"/>
      <c r="G188" s="395"/>
      <c r="H188" s="396"/>
      <c r="I188" s="393"/>
      <c r="J188" s="393"/>
      <c r="K188" s="393"/>
      <c r="L188" s="393"/>
      <c r="M188" s="382"/>
      <c r="N188" s="393"/>
      <c r="O188" s="393"/>
      <c r="P188" s="396"/>
      <c r="Q188" s="393"/>
      <c r="R188" s="393"/>
      <c r="S188" s="393"/>
      <c r="T188" s="393"/>
      <c r="U188" s="393"/>
      <c r="V188" s="393"/>
      <c r="W188" s="393"/>
      <c r="X188" s="393"/>
      <c r="Y188" s="397"/>
      <c r="Z188" s="393"/>
      <c r="AA188" s="393"/>
      <c r="AB188" s="401"/>
      <c r="AC188" s="401"/>
      <c r="AD188" s="401"/>
      <c r="AE188" s="401"/>
      <c r="AF188" s="401"/>
      <c r="AG188" s="401"/>
      <c r="AH188" s="401"/>
      <c r="AI188" s="401"/>
      <c r="AJ188" s="401"/>
      <c r="AK188" s="401"/>
      <c r="AL188" s="401"/>
    </row>
    <row r="189" spans="1:38" s="154" customFormat="1" ht="20.100000000000001" customHeight="1">
      <c r="A189" s="402"/>
      <c r="B189" s="393"/>
      <c r="C189" s="394"/>
      <c r="D189" s="393"/>
      <c r="E189" s="393"/>
      <c r="F189" s="393"/>
      <c r="G189" s="395"/>
      <c r="H189" s="396"/>
      <c r="I189" s="393"/>
      <c r="J189" s="393"/>
      <c r="K189" s="393"/>
      <c r="L189" s="393"/>
      <c r="M189" s="382"/>
      <c r="N189" s="393"/>
      <c r="O189" s="393"/>
      <c r="P189" s="396"/>
      <c r="Q189" s="393"/>
      <c r="R189" s="393"/>
      <c r="S189" s="393"/>
      <c r="T189" s="393"/>
      <c r="U189" s="393"/>
      <c r="V189" s="393"/>
      <c r="W189" s="393"/>
      <c r="X189" s="393"/>
      <c r="Y189" s="397"/>
      <c r="Z189" s="393"/>
      <c r="AA189" s="393"/>
      <c r="AB189" s="401"/>
      <c r="AC189" s="401"/>
      <c r="AD189" s="401"/>
      <c r="AE189" s="401"/>
      <c r="AF189" s="401"/>
      <c r="AG189" s="401"/>
      <c r="AH189" s="401"/>
      <c r="AI189" s="401"/>
      <c r="AJ189" s="401"/>
      <c r="AK189" s="401"/>
      <c r="AL189" s="401"/>
    </row>
    <row r="190" spans="1:38" s="154" customFormat="1" ht="20.100000000000001" customHeight="1">
      <c r="A190" s="402"/>
      <c r="B190" s="393"/>
      <c r="C190" s="394"/>
      <c r="D190" s="393"/>
      <c r="E190" s="393"/>
      <c r="F190" s="393"/>
      <c r="G190" s="395"/>
      <c r="H190" s="396"/>
      <c r="I190" s="393"/>
      <c r="J190" s="393"/>
      <c r="K190" s="393"/>
      <c r="L190" s="393"/>
      <c r="M190" s="382"/>
      <c r="N190" s="393"/>
      <c r="O190" s="393"/>
      <c r="P190" s="396"/>
      <c r="Q190" s="393"/>
      <c r="R190" s="393"/>
      <c r="S190" s="393"/>
      <c r="T190" s="393"/>
      <c r="U190" s="393"/>
      <c r="V190" s="393"/>
      <c r="W190" s="393"/>
      <c r="X190" s="393"/>
      <c r="Y190" s="397"/>
      <c r="Z190" s="393"/>
      <c r="AA190" s="393"/>
      <c r="AB190" s="401"/>
      <c r="AC190" s="401"/>
      <c r="AD190" s="401"/>
      <c r="AE190" s="401"/>
      <c r="AF190" s="401"/>
      <c r="AG190" s="401"/>
      <c r="AH190" s="401"/>
      <c r="AI190" s="401"/>
      <c r="AJ190" s="401"/>
      <c r="AK190" s="401"/>
      <c r="AL190" s="401"/>
    </row>
    <row r="191" spans="1:38" s="154" customFormat="1" ht="20.100000000000001" customHeight="1">
      <c r="A191" s="402"/>
      <c r="B191" s="393"/>
      <c r="C191" s="394"/>
      <c r="D191" s="393"/>
      <c r="E191" s="393"/>
      <c r="F191" s="393"/>
      <c r="G191" s="395"/>
      <c r="H191" s="396"/>
      <c r="I191" s="393"/>
      <c r="J191" s="393"/>
      <c r="K191" s="393"/>
      <c r="L191" s="393"/>
      <c r="M191" s="382"/>
      <c r="N191" s="393"/>
      <c r="O191" s="393"/>
      <c r="P191" s="396"/>
      <c r="Q191" s="393"/>
      <c r="R191" s="393"/>
      <c r="S191" s="393"/>
      <c r="T191" s="393"/>
      <c r="U191" s="393"/>
      <c r="V191" s="393"/>
      <c r="W191" s="393"/>
      <c r="X191" s="393"/>
      <c r="Y191" s="397"/>
      <c r="Z191" s="393"/>
      <c r="AA191" s="393"/>
      <c r="AB191" s="401"/>
      <c r="AC191" s="401"/>
      <c r="AD191" s="401"/>
      <c r="AE191" s="401"/>
      <c r="AF191" s="401"/>
      <c r="AG191" s="401"/>
      <c r="AH191" s="401"/>
      <c r="AI191" s="401"/>
      <c r="AJ191" s="401"/>
      <c r="AK191" s="401"/>
      <c r="AL191" s="401"/>
    </row>
    <row r="192" spans="1:38" s="154" customFormat="1" ht="20.100000000000001" customHeight="1">
      <c r="A192" s="402"/>
      <c r="B192" s="393"/>
      <c r="C192" s="394"/>
      <c r="D192" s="393"/>
      <c r="E192" s="393"/>
      <c r="F192" s="393"/>
      <c r="G192" s="395"/>
      <c r="H192" s="396"/>
      <c r="I192" s="393"/>
      <c r="J192" s="393"/>
      <c r="K192" s="393"/>
      <c r="L192" s="393"/>
      <c r="M192" s="382"/>
      <c r="N192" s="393"/>
      <c r="O192" s="393"/>
      <c r="P192" s="396"/>
      <c r="Q192" s="393"/>
      <c r="R192" s="393"/>
      <c r="S192" s="393"/>
      <c r="T192" s="393"/>
      <c r="U192" s="393"/>
      <c r="V192" s="393"/>
      <c r="W192" s="393"/>
      <c r="X192" s="393"/>
      <c r="Y192" s="397"/>
      <c r="Z192" s="393"/>
      <c r="AA192" s="393"/>
      <c r="AB192" s="401"/>
      <c r="AC192" s="401"/>
      <c r="AD192" s="401"/>
      <c r="AE192" s="401"/>
      <c r="AF192" s="401"/>
      <c r="AG192" s="401"/>
      <c r="AH192" s="401"/>
      <c r="AI192" s="401"/>
      <c r="AJ192" s="401"/>
      <c r="AK192" s="401"/>
      <c r="AL192" s="401"/>
    </row>
    <row r="193" spans="1:38" s="154" customFormat="1" ht="20.100000000000001" customHeight="1">
      <c r="A193" s="402"/>
      <c r="B193" s="393"/>
      <c r="C193" s="394"/>
      <c r="D193" s="393"/>
      <c r="E193" s="393"/>
      <c r="F193" s="393"/>
      <c r="G193" s="395"/>
      <c r="H193" s="396"/>
      <c r="I193" s="393"/>
      <c r="J193" s="393"/>
      <c r="K193" s="393"/>
      <c r="L193" s="393"/>
      <c r="M193" s="382"/>
      <c r="N193" s="393"/>
      <c r="O193" s="393"/>
      <c r="P193" s="396"/>
      <c r="Q193" s="393"/>
      <c r="R193" s="393"/>
      <c r="S193" s="393"/>
      <c r="T193" s="393"/>
      <c r="U193" s="393"/>
      <c r="V193" s="393"/>
      <c r="W193" s="393"/>
      <c r="X193" s="393"/>
      <c r="Y193" s="397"/>
      <c r="Z193" s="393"/>
      <c r="AA193" s="393"/>
      <c r="AB193" s="401"/>
      <c r="AC193" s="401"/>
      <c r="AD193" s="401"/>
      <c r="AE193" s="401"/>
      <c r="AF193" s="401"/>
      <c r="AG193" s="401"/>
      <c r="AH193" s="401"/>
      <c r="AI193" s="401"/>
      <c r="AJ193" s="401"/>
      <c r="AK193" s="401"/>
      <c r="AL193" s="401"/>
    </row>
    <row r="194" spans="1:38" s="154" customFormat="1" ht="20.100000000000001" customHeight="1">
      <c r="A194" s="402"/>
      <c r="B194" s="393"/>
      <c r="C194" s="394"/>
      <c r="D194" s="393"/>
      <c r="E194" s="393"/>
      <c r="F194" s="393"/>
      <c r="G194" s="395"/>
      <c r="H194" s="396"/>
      <c r="I194" s="393"/>
      <c r="J194" s="393"/>
      <c r="K194" s="393"/>
      <c r="L194" s="393"/>
      <c r="M194" s="382"/>
      <c r="N194" s="393"/>
      <c r="O194" s="393"/>
      <c r="P194" s="396"/>
      <c r="Q194" s="393"/>
      <c r="R194" s="393"/>
      <c r="S194" s="393"/>
      <c r="T194" s="393"/>
      <c r="U194" s="393"/>
      <c r="V194" s="393"/>
      <c r="W194" s="393"/>
      <c r="X194" s="393"/>
      <c r="Y194" s="397"/>
      <c r="Z194" s="393"/>
      <c r="AA194" s="393"/>
      <c r="AB194" s="401"/>
      <c r="AC194" s="401"/>
      <c r="AD194" s="401"/>
      <c r="AE194" s="401"/>
      <c r="AF194" s="401"/>
      <c r="AG194" s="401"/>
      <c r="AH194" s="401"/>
      <c r="AI194" s="401"/>
      <c r="AJ194" s="401"/>
      <c r="AK194" s="401"/>
      <c r="AL194" s="401"/>
    </row>
    <row r="195" spans="1:38" s="154" customFormat="1" ht="20.100000000000001" customHeight="1">
      <c r="A195" s="402"/>
      <c r="B195" s="393"/>
      <c r="C195" s="394"/>
      <c r="D195" s="393"/>
      <c r="E195" s="393"/>
      <c r="F195" s="393"/>
      <c r="G195" s="395"/>
      <c r="H195" s="396"/>
      <c r="I195" s="393"/>
      <c r="J195" s="393"/>
      <c r="K195" s="393"/>
      <c r="L195" s="393"/>
      <c r="M195" s="382"/>
      <c r="N195" s="393"/>
      <c r="O195" s="393"/>
      <c r="P195" s="396"/>
      <c r="Q195" s="393"/>
      <c r="R195" s="393"/>
      <c r="S195" s="393"/>
      <c r="T195" s="393"/>
      <c r="U195" s="393"/>
      <c r="V195" s="393"/>
      <c r="W195" s="393"/>
      <c r="X195" s="393"/>
      <c r="Y195" s="397"/>
      <c r="Z195" s="393"/>
      <c r="AA195" s="393"/>
      <c r="AB195" s="401"/>
      <c r="AC195" s="401"/>
      <c r="AD195" s="401"/>
      <c r="AE195" s="401"/>
      <c r="AF195" s="401"/>
      <c r="AG195" s="401"/>
      <c r="AH195" s="401"/>
      <c r="AI195" s="401"/>
      <c r="AJ195" s="401"/>
      <c r="AK195" s="401"/>
      <c r="AL195" s="401"/>
    </row>
    <row r="196" spans="1:38" s="154" customFormat="1" ht="20.100000000000001" customHeight="1">
      <c r="A196" s="402"/>
      <c r="B196" s="393"/>
      <c r="C196" s="394"/>
      <c r="D196" s="393"/>
      <c r="E196" s="393"/>
      <c r="F196" s="393"/>
      <c r="G196" s="395"/>
      <c r="H196" s="396"/>
      <c r="I196" s="393"/>
      <c r="J196" s="393"/>
      <c r="K196" s="393"/>
      <c r="L196" s="393"/>
      <c r="M196" s="382"/>
      <c r="N196" s="393"/>
      <c r="O196" s="393"/>
      <c r="P196" s="396"/>
      <c r="Q196" s="393"/>
      <c r="R196" s="393"/>
      <c r="S196" s="393"/>
      <c r="T196" s="393"/>
      <c r="U196" s="393"/>
      <c r="V196" s="393"/>
      <c r="W196" s="393"/>
      <c r="X196" s="393"/>
      <c r="Y196" s="397"/>
      <c r="Z196" s="393"/>
      <c r="AA196" s="393"/>
      <c r="AB196" s="401"/>
      <c r="AC196" s="401"/>
      <c r="AD196" s="401"/>
      <c r="AE196" s="401"/>
      <c r="AF196" s="401"/>
      <c r="AG196" s="401"/>
      <c r="AH196" s="401"/>
      <c r="AI196" s="401"/>
      <c r="AJ196" s="401"/>
      <c r="AK196" s="401"/>
      <c r="AL196" s="401"/>
    </row>
    <row r="197" spans="1:38" s="154" customFormat="1" ht="20.100000000000001" customHeight="1">
      <c r="A197" s="402"/>
      <c r="B197" s="393"/>
      <c r="C197" s="394"/>
      <c r="D197" s="393"/>
      <c r="E197" s="393"/>
      <c r="F197" s="393"/>
      <c r="G197" s="395"/>
      <c r="H197" s="396"/>
      <c r="I197" s="393"/>
      <c r="J197" s="393"/>
      <c r="K197" s="393"/>
      <c r="L197" s="393"/>
      <c r="M197" s="382"/>
      <c r="N197" s="393"/>
      <c r="O197" s="393"/>
      <c r="P197" s="396"/>
      <c r="Q197" s="393"/>
      <c r="R197" s="393"/>
      <c r="S197" s="393"/>
      <c r="T197" s="393"/>
      <c r="U197" s="393"/>
      <c r="V197" s="393"/>
      <c r="W197" s="393"/>
      <c r="X197" s="393"/>
      <c r="Y197" s="397"/>
      <c r="Z197" s="393"/>
      <c r="AA197" s="393"/>
      <c r="AB197" s="401"/>
      <c r="AC197" s="401"/>
      <c r="AD197" s="401"/>
      <c r="AE197" s="401"/>
      <c r="AF197" s="401"/>
      <c r="AG197" s="401"/>
      <c r="AH197" s="401"/>
      <c r="AI197" s="401"/>
      <c r="AJ197" s="401"/>
      <c r="AK197" s="401"/>
      <c r="AL197" s="401"/>
    </row>
    <row r="198" spans="1:38" s="154" customFormat="1" ht="20.100000000000001" customHeight="1">
      <c r="A198" s="402"/>
      <c r="B198" s="393"/>
      <c r="C198" s="394"/>
      <c r="D198" s="393"/>
      <c r="E198" s="393"/>
      <c r="F198" s="393"/>
      <c r="G198" s="395"/>
      <c r="H198" s="396"/>
      <c r="I198" s="393"/>
      <c r="J198" s="393"/>
      <c r="K198" s="393"/>
      <c r="L198" s="393"/>
      <c r="M198" s="382"/>
      <c r="N198" s="393"/>
      <c r="O198" s="393"/>
      <c r="P198" s="396"/>
      <c r="Q198" s="393"/>
      <c r="R198" s="393"/>
      <c r="S198" s="393"/>
      <c r="T198" s="393"/>
      <c r="U198" s="393"/>
      <c r="V198" s="393"/>
      <c r="W198" s="393"/>
      <c r="X198" s="393"/>
      <c r="Y198" s="397"/>
      <c r="Z198" s="393"/>
      <c r="AA198" s="393"/>
      <c r="AB198" s="401"/>
      <c r="AC198" s="401"/>
      <c r="AD198" s="401"/>
      <c r="AE198" s="401"/>
      <c r="AF198" s="401"/>
      <c r="AG198" s="401"/>
      <c r="AH198" s="401"/>
      <c r="AI198" s="401"/>
      <c r="AJ198" s="401"/>
      <c r="AK198" s="401"/>
      <c r="AL198" s="401"/>
    </row>
    <row r="199" spans="1:38" s="154" customFormat="1" ht="20.100000000000001" customHeight="1">
      <c r="A199" s="402"/>
      <c r="B199" s="393"/>
      <c r="C199" s="394"/>
      <c r="D199" s="393"/>
      <c r="E199" s="393"/>
      <c r="F199" s="393"/>
      <c r="G199" s="395"/>
      <c r="H199" s="396"/>
      <c r="I199" s="393"/>
      <c r="J199" s="393"/>
      <c r="K199" s="393"/>
      <c r="L199" s="393"/>
      <c r="M199" s="382"/>
      <c r="N199" s="393"/>
      <c r="O199" s="393"/>
      <c r="P199" s="396"/>
      <c r="Q199" s="393"/>
      <c r="R199" s="393"/>
      <c r="S199" s="393"/>
      <c r="T199" s="393"/>
      <c r="U199" s="393"/>
      <c r="V199" s="393"/>
      <c r="W199" s="393"/>
      <c r="X199" s="393"/>
      <c r="Y199" s="397"/>
      <c r="Z199" s="393"/>
      <c r="AA199" s="393"/>
      <c r="AB199" s="401"/>
      <c r="AC199" s="401"/>
      <c r="AD199" s="401"/>
      <c r="AE199" s="401"/>
      <c r="AF199" s="401"/>
      <c r="AG199" s="401"/>
      <c r="AH199" s="401"/>
      <c r="AI199" s="401"/>
      <c r="AJ199" s="401"/>
      <c r="AK199" s="401"/>
      <c r="AL199" s="401"/>
    </row>
    <row r="200" spans="1:38" s="154" customFormat="1" ht="20.100000000000001" customHeight="1">
      <c r="A200" s="402"/>
      <c r="B200" s="393"/>
      <c r="C200" s="394"/>
      <c r="D200" s="393"/>
      <c r="E200" s="393"/>
      <c r="F200" s="393"/>
      <c r="G200" s="395"/>
      <c r="H200" s="396"/>
      <c r="I200" s="393"/>
      <c r="J200" s="393"/>
      <c r="K200" s="393"/>
      <c r="L200" s="393"/>
      <c r="M200" s="382"/>
      <c r="N200" s="393"/>
      <c r="O200" s="393"/>
      <c r="P200" s="396"/>
      <c r="Q200" s="393"/>
      <c r="R200" s="393"/>
      <c r="S200" s="393"/>
      <c r="T200" s="393"/>
      <c r="U200" s="393"/>
      <c r="V200" s="393"/>
      <c r="W200" s="393"/>
      <c r="X200" s="393"/>
      <c r="Y200" s="397"/>
      <c r="Z200" s="393"/>
      <c r="AA200" s="393"/>
      <c r="AB200" s="401"/>
      <c r="AC200" s="401"/>
      <c r="AD200" s="401"/>
      <c r="AE200" s="401"/>
      <c r="AF200" s="401"/>
      <c r="AG200" s="401"/>
      <c r="AH200" s="401"/>
      <c r="AI200" s="401"/>
      <c r="AJ200" s="401"/>
      <c r="AK200" s="401"/>
      <c r="AL200" s="401"/>
    </row>
    <row r="201" spans="1:38" s="154" customFormat="1" ht="20.100000000000001" customHeight="1">
      <c r="A201" s="402"/>
      <c r="B201" s="393"/>
      <c r="C201" s="394"/>
      <c r="D201" s="393"/>
      <c r="E201" s="393"/>
      <c r="F201" s="393"/>
      <c r="G201" s="395"/>
      <c r="H201" s="396"/>
      <c r="I201" s="393"/>
      <c r="J201" s="393"/>
      <c r="K201" s="393"/>
      <c r="L201" s="393"/>
      <c r="M201" s="382"/>
      <c r="N201" s="393"/>
      <c r="O201" s="393"/>
      <c r="P201" s="396"/>
      <c r="Q201" s="393"/>
      <c r="R201" s="393"/>
      <c r="S201" s="393"/>
      <c r="T201" s="393"/>
      <c r="U201" s="393"/>
      <c r="V201" s="393"/>
      <c r="W201" s="393"/>
      <c r="X201" s="393"/>
      <c r="Y201" s="397"/>
      <c r="Z201" s="393"/>
      <c r="AA201" s="393"/>
      <c r="AB201" s="401"/>
      <c r="AC201" s="401"/>
      <c r="AD201" s="401"/>
      <c r="AE201" s="401"/>
      <c r="AF201" s="401"/>
      <c r="AG201" s="401"/>
      <c r="AH201" s="401"/>
      <c r="AI201" s="401"/>
      <c r="AJ201" s="401"/>
      <c r="AK201" s="401"/>
      <c r="AL201" s="401"/>
    </row>
    <row r="202" spans="1:38" s="154" customFormat="1" ht="20.100000000000001" customHeight="1">
      <c r="A202" s="402"/>
      <c r="B202" s="393"/>
      <c r="C202" s="394"/>
      <c r="D202" s="393"/>
      <c r="E202" s="393"/>
      <c r="F202" s="393"/>
      <c r="G202" s="395"/>
      <c r="H202" s="396"/>
      <c r="I202" s="393"/>
      <c r="J202" s="393"/>
      <c r="K202" s="393"/>
      <c r="L202" s="393"/>
      <c r="M202" s="382"/>
      <c r="N202" s="393"/>
      <c r="O202" s="393"/>
      <c r="P202" s="396"/>
      <c r="Q202" s="393"/>
      <c r="R202" s="393"/>
      <c r="S202" s="393"/>
      <c r="T202" s="393"/>
      <c r="U202" s="393"/>
      <c r="V202" s="393"/>
      <c r="W202" s="393"/>
      <c r="X202" s="393"/>
      <c r="Y202" s="397"/>
      <c r="Z202" s="393"/>
      <c r="AA202" s="393"/>
      <c r="AB202" s="401"/>
      <c r="AC202" s="401"/>
      <c r="AD202" s="401"/>
      <c r="AE202" s="401"/>
      <c r="AF202" s="401"/>
      <c r="AG202" s="401"/>
      <c r="AH202" s="401"/>
      <c r="AI202" s="401"/>
      <c r="AJ202" s="401"/>
      <c r="AK202" s="401"/>
      <c r="AL202" s="401"/>
    </row>
    <row r="203" spans="1:38" s="154" customFormat="1" ht="20.100000000000001" customHeight="1">
      <c r="A203" s="402"/>
      <c r="B203" s="393"/>
      <c r="C203" s="394"/>
      <c r="D203" s="393"/>
      <c r="E203" s="393"/>
      <c r="F203" s="393"/>
      <c r="G203" s="395"/>
      <c r="H203" s="396"/>
      <c r="I203" s="393"/>
      <c r="J203" s="393"/>
      <c r="K203" s="393"/>
      <c r="L203" s="393"/>
      <c r="M203" s="382"/>
      <c r="N203" s="393"/>
      <c r="O203" s="393"/>
      <c r="P203" s="396"/>
      <c r="Q203" s="393"/>
      <c r="R203" s="393"/>
      <c r="S203" s="393"/>
      <c r="T203" s="393"/>
      <c r="U203" s="393"/>
      <c r="V203" s="393"/>
      <c r="W203" s="393"/>
      <c r="X203" s="393"/>
      <c r="Y203" s="397"/>
      <c r="Z203" s="393"/>
      <c r="AA203" s="393"/>
      <c r="AB203" s="401"/>
      <c r="AC203" s="401"/>
      <c r="AD203" s="401"/>
      <c r="AE203" s="401"/>
      <c r="AF203" s="401"/>
      <c r="AG203" s="401"/>
      <c r="AH203" s="401"/>
      <c r="AI203" s="401"/>
      <c r="AJ203" s="401"/>
      <c r="AK203" s="401"/>
      <c r="AL203" s="401"/>
    </row>
    <row r="204" spans="1:38" s="154" customFormat="1" ht="20.100000000000001" customHeight="1">
      <c r="A204" s="402"/>
      <c r="B204" s="393"/>
      <c r="C204" s="394"/>
      <c r="D204" s="393"/>
      <c r="E204" s="393"/>
      <c r="F204" s="393"/>
      <c r="G204" s="395"/>
      <c r="H204" s="396"/>
      <c r="I204" s="393"/>
      <c r="J204" s="393"/>
      <c r="K204" s="393"/>
      <c r="L204" s="393"/>
      <c r="M204" s="382"/>
      <c r="N204" s="393"/>
      <c r="O204" s="393"/>
      <c r="P204" s="396"/>
      <c r="Q204" s="393"/>
      <c r="R204" s="393"/>
      <c r="S204" s="393"/>
      <c r="T204" s="393"/>
      <c r="U204" s="393"/>
      <c r="V204" s="393"/>
      <c r="W204" s="393"/>
      <c r="X204" s="393"/>
      <c r="Y204" s="397"/>
      <c r="Z204" s="393"/>
      <c r="AA204" s="393"/>
      <c r="AB204" s="401"/>
      <c r="AC204" s="401"/>
      <c r="AD204" s="401"/>
      <c r="AE204" s="401"/>
      <c r="AF204" s="401"/>
      <c r="AG204" s="401"/>
      <c r="AH204" s="401"/>
      <c r="AI204" s="401"/>
      <c r="AJ204" s="401"/>
      <c r="AK204" s="401"/>
      <c r="AL204" s="401"/>
    </row>
    <row r="205" spans="1:38" s="154" customFormat="1" ht="20.100000000000001" customHeight="1">
      <c r="A205" s="402"/>
      <c r="B205" s="393"/>
      <c r="C205" s="394"/>
      <c r="D205" s="393"/>
      <c r="E205" s="393"/>
      <c r="F205" s="393"/>
      <c r="G205" s="395"/>
      <c r="H205" s="396"/>
      <c r="I205" s="393"/>
      <c r="J205" s="393"/>
      <c r="K205" s="393"/>
      <c r="L205" s="393"/>
      <c r="M205" s="382"/>
      <c r="N205" s="393"/>
      <c r="O205" s="393"/>
      <c r="P205" s="396"/>
      <c r="Q205" s="393"/>
      <c r="R205" s="393"/>
      <c r="S205" s="393"/>
      <c r="T205" s="393"/>
      <c r="U205" s="393"/>
      <c r="V205" s="393"/>
      <c r="W205" s="393"/>
      <c r="X205" s="393"/>
      <c r="Y205" s="397"/>
      <c r="Z205" s="393"/>
      <c r="AA205" s="393"/>
      <c r="AB205" s="401"/>
      <c r="AC205" s="401"/>
      <c r="AD205" s="401"/>
      <c r="AE205" s="401"/>
      <c r="AF205" s="401"/>
      <c r="AG205" s="401"/>
      <c r="AH205" s="401"/>
      <c r="AI205" s="401"/>
      <c r="AJ205" s="401"/>
      <c r="AK205" s="401"/>
      <c r="AL205" s="401"/>
    </row>
    <row r="206" spans="1:38" s="154" customFormat="1" ht="20.100000000000001" customHeight="1">
      <c r="A206" s="402"/>
      <c r="B206" s="393"/>
      <c r="C206" s="394"/>
      <c r="D206" s="393"/>
      <c r="E206" s="393"/>
      <c r="F206" s="393"/>
      <c r="G206" s="395"/>
      <c r="H206" s="396"/>
      <c r="I206" s="393"/>
      <c r="J206" s="393"/>
      <c r="K206" s="393"/>
      <c r="L206" s="393"/>
      <c r="M206" s="382"/>
      <c r="N206" s="393"/>
      <c r="O206" s="393"/>
      <c r="P206" s="396"/>
      <c r="Q206" s="393"/>
      <c r="R206" s="393"/>
      <c r="S206" s="393"/>
      <c r="T206" s="393"/>
      <c r="U206" s="393"/>
      <c r="V206" s="393"/>
      <c r="W206" s="393"/>
      <c r="X206" s="393"/>
      <c r="Y206" s="397"/>
      <c r="Z206" s="393"/>
      <c r="AA206" s="393"/>
      <c r="AB206" s="401"/>
      <c r="AC206" s="401"/>
      <c r="AD206" s="401"/>
      <c r="AE206" s="401"/>
      <c r="AF206" s="401"/>
      <c r="AG206" s="401"/>
      <c r="AH206" s="401"/>
      <c r="AI206" s="401"/>
      <c r="AJ206" s="401"/>
      <c r="AK206" s="401"/>
      <c r="AL206" s="401"/>
    </row>
    <row r="207" spans="1:38" s="154" customFormat="1" ht="20.100000000000001" customHeight="1">
      <c r="A207" s="402"/>
      <c r="B207" s="393"/>
      <c r="C207" s="394"/>
      <c r="D207" s="393"/>
      <c r="E207" s="393"/>
      <c r="F207" s="393"/>
      <c r="G207" s="395"/>
      <c r="H207" s="396"/>
      <c r="I207" s="393"/>
      <c r="J207" s="393"/>
      <c r="K207" s="393"/>
      <c r="L207" s="393"/>
      <c r="M207" s="382"/>
      <c r="N207" s="393"/>
      <c r="O207" s="393"/>
      <c r="P207" s="396"/>
      <c r="Q207" s="393"/>
      <c r="R207" s="393"/>
      <c r="S207" s="393"/>
      <c r="T207" s="393"/>
      <c r="U207" s="393"/>
      <c r="V207" s="393"/>
      <c r="W207" s="393"/>
      <c r="X207" s="393"/>
      <c r="Y207" s="397"/>
      <c r="Z207" s="393"/>
      <c r="AA207" s="393"/>
      <c r="AB207" s="401"/>
      <c r="AC207" s="401"/>
      <c r="AD207" s="401"/>
      <c r="AE207" s="401"/>
      <c r="AF207" s="401"/>
      <c r="AG207" s="401"/>
      <c r="AH207" s="401"/>
      <c r="AI207" s="401"/>
      <c r="AJ207" s="401"/>
      <c r="AK207" s="401"/>
      <c r="AL207" s="401"/>
    </row>
    <row r="208" spans="1:38" s="154" customFormat="1" ht="20.100000000000001" customHeight="1">
      <c r="A208" s="402"/>
      <c r="B208" s="393"/>
      <c r="C208" s="394"/>
      <c r="D208" s="393"/>
      <c r="E208" s="393"/>
      <c r="F208" s="393"/>
      <c r="G208" s="395"/>
      <c r="H208" s="396"/>
      <c r="I208" s="393"/>
      <c r="J208" s="393"/>
      <c r="K208" s="393"/>
      <c r="L208" s="393"/>
      <c r="M208" s="382"/>
      <c r="N208" s="393"/>
      <c r="O208" s="393"/>
      <c r="P208" s="396"/>
      <c r="Q208" s="393"/>
      <c r="R208" s="393"/>
      <c r="S208" s="393"/>
      <c r="T208" s="393"/>
      <c r="U208" s="393"/>
      <c r="V208" s="393"/>
      <c r="W208" s="393"/>
      <c r="X208" s="393"/>
      <c r="Y208" s="397"/>
      <c r="Z208" s="393"/>
      <c r="AA208" s="393"/>
      <c r="AB208" s="401"/>
      <c r="AC208" s="401"/>
      <c r="AD208" s="401"/>
      <c r="AE208" s="401"/>
      <c r="AF208" s="401"/>
      <c r="AG208" s="401"/>
      <c r="AH208" s="401"/>
      <c r="AI208" s="401"/>
      <c r="AJ208" s="401"/>
      <c r="AK208" s="401"/>
      <c r="AL208" s="401"/>
    </row>
    <row r="209" spans="1:38" s="154" customFormat="1" ht="20.100000000000001" customHeight="1">
      <c r="A209" s="402"/>
      <c r="B209" s="393"/>
      <c r="C209" s="394"/>
      <c r="D209" s="393"/>
      <c r="E209" s="393"/>
      <c r="F209" s="393"/>
      <c r="G209" s="395"/>
      <c r="H209" s="396"/>
      <c r="I209" s="393"/>
      <c r="J209" s="393"/>
      <c r="K209" s="393"/>
      <c r="L209" s="393"/>
      <c r="M209" s="382"/>
      <c r="N209" s="393"/>
      <c r="O209" s="393"/>
      <c r="P209" s="396"/>
      <c r="Q209" s="393"/>
      <c r="R209" s="393"/>
      <c r="S209" s="393"/>
      <c r="T209" s="393"/>
      <c r="U209" s="393"/>
      <c r="V209" s="393"/>
      <c r="W209" s="393"/>
      <c r="X209" s="393"/>
      <c r="Y209" s="397"/>
      <c r="Z209" s="393"/>
      <c r="AA209" s="393"/>
      <c r="AB209" s="401"/>
      <c r="AC209" s="401"/>
      <c r="AD209" s="401"/>
      <c r="AE209" s="401"/>
      <c r="AF209" s="401"/>
      <c r="AG209" s="401"/>
      <c r="AH209" s="401"/>
      <c r="AI209" s="401"/>
      <c r="AJ209" s="401"/>
      <c r="AK209" s="401"/>
      <c r="AL209" s="401"/>
    </row>
    <row r="210" spans="1:38" s="154" customFormat="1" ht="20.100000000000001" customHeight="1">
      <c r="A210" s="402"/>
      <c r="B210" s="393"/>
      <c r="C210" s="394"/>
      <c r="D210" s="393"/>
      <c r="E210" s="393"/>
      <c r="F210" s="393"/>
      <c r="G210" s="395"/>
      <c r="H210" s="396"/>
      <c r="I210" s="393"/>
      <c r="J210" s="393"/>
      <c r="K210" s="393"/>
      <c r="L210" s="393"/>
      <c r="M210" s="382"/>
      <c r="N210" s="393"/>
      <c r="O210" s="393"/>
      <c r="P210" s="396"/>
      <c r="Q210" s="393"/>
      <c r="R210" s="393"/>
      <c r="S210" s="393"/>
      <c r="T210" s="393"/>
      <c r="U210" s="393"/>
      <c r="V210" s="393"/>
      <c r="W210" s="393"/>
      <c r="X210" s="393"/>
      <c r="Y210" s="397"/>
      <c r="Z210" s="393"/>
      <c r="AA210" s="393"/>
      <c r="AB210" s="401"/>
      <c r="AC210" s="401"/>
      <c r="AD210" s="401"/>
      <c r="AE210" s="401"/>
      <c r="AF210" s="401"/>
      <c r="AG210" s="401"/>
      <c r="AH210" s="401"/>
      <c r="AI210" s="401"/>
      <c r="AJ210" s="401"/>
      <c r="AK210" s="401"/>
      <c r="AL210" s="401"/>
    </row>
    <row r="211" spans="1:38" s="154" customFormat="1" ht="20.100000000000001" customHeight="1">
      <c r="A211" s="402"/>
      <c r="B211" s="393"/>
      <c r="C211" s="394"/>
      <c r="D211" s="393"/>
      <c r="E211" s="393"/>
      <c r="F211" s="393"/>
      <c r="G211" s="395"/>
      <c r="H211" s="396"/>
      <c r="I211" s="393"/>
      <c r="J211" s="393"/>
      <c r="K211" s="393"/>
      <c r="L211" s="393"/>
      <c r="M211" s="382"/>
      <c r="N211" s="393"/>
      <c r="O211" s="393"/>
      <c r="P211" s="396"/>
      <c r="Q211" s="393"/>
      <c r="R211" s="393"/>
      <c r="S211" s="393"/>
      <c r="T211" s="393"/>
      <c r="U211" s="393"/>
      <c r="V211" s="393"/>
      <c r="W211" s="393"/>
      <c r="X211" s="393"/>
      <c r="Y211" s="397"/>
      <c r="Z211" s="393"/>
      <c r="AA211" s="393"/>
      <c r="AB211" s="401"/>
      <c r="AC211" s="401"/>
      <c r="AD211" s="401"/>
      <c r="AE211" s="401"/>
      <c r="AF211" s="401"/>
      <c r="AG211" s="401"/>
      <c r="AH211" s="401"/>
      <c r="AI211" s="401"/>
      <c r="AJ211" s="401"/>
      <c r="AK211" s="401"/>
      <c r="AL211" s="401"/>
    </row>
    <row r="212" spans="1:38" s="154" customFormat="1" ht="20.100000000000001" customHeight="1">
      <c r="A212" s="402"/>
      <c r="B212" s="393"/>
      <c r="C212" s="394"/>
      <c r="D212" s="393"/>
      <c r="E212" s="393"/>
      <c r="F212" s="393"/>
      <c r="G212" s="395"/>
      <c r="H212" s="396"/>
      <c r="I212" s="393"/>
      <c r="J212" s="393"/>
      <c r="K212" s="393"/>
      <c r="L212" s="393"/>
      <c r="M212" s="382"/>
      <c r="N212" s="393"/>
      <c r="O212" s="393"/>
      <c r="P212" s="396"/>
      <c r="Q212" s="393"/>
      <c r="R212" s="393"/>
      <c r="S212" s="393"/>
      <c r="T212" s="393"/>
      <c r="U212" s="393"/>
      <c r="V212" s="393"/>
      <c r="W212" s="393"/>
      <c r="X212" s="393"/>
      <c r="Y212" s="397"/>
      <c r="Z212" s="393"/>
      <c r="AA212" s="393"/>
      <c r="AB212" s="401"/>
      <c r="AC212" s="401"/>
      <c r="AD212" s="401"/>
      <c r="AE212" s="401"/>
      <c r="AF212" s="401"/>
      <c r="AG212" s="401"/>
      <c r="AH212" s="401"/>
      <c r="AI212" s="401"/>
      <c r="AJ212" s="401"/>
      <c r="AK212" s="401"/>
      <c r="AL212" s="401"/>
    </row>
    <row r="213" spans="1:38" s="154" customFormat="1" ht="20.100000000000001" customHeight="1">
      <c r="A213" s="402"/>
      <c r="B213" s="393"/>
      <c r="C213" s="394"/>
      <c r="D213" s="393"/>
      <c r="E213" s="393"/>
      <c r="F213" s="393"/>
      <c r="G213" s="395"/>
      <c r="H213" s="396"/>
      <c r="I213" s="393"/>
      <c r="J213" s="393"/>
      <c r="K213" s="393"/>
      <c r="L213" s="393"/>
      <c r="M213" s="382"/>
      <c r="N213" s="393"/>
      <c r="O213" s="393"/>
      <c r="P213" s="396"/>
      <c r="Q213" s="393"/>
      <c r="R213" s="393"/>
      <c r="S213" s="393"/>
      <c r="T213" s="393"/>
      <c r="U213" s="393"/>
      <c r="V213" s="393"/>
      <c r="W213" s="393"/>
      <c r="X213" s="393"/>
      <c r="Y213" s="397"/>
      <c r="Z213" s="393"/>
      <c r="AA213" s="393"/>
      <c r="AB213" s="401"/>
      <c r="AC213" s="401"/>
      <c r="AD213" s="401"/>
      <c r="AE213" s="401"/>
      <c r="AF213" s="401"/>
      <c r="AG213" s="401"/>
      <c r="AH213" s="401"/>
      <c r="AI213" s="401"/>
      <c r="AJ213" s="401"/>
      <c r="AK213" s="401"/>
      <c r="AL213" s="401"/>
    </row>
    <row r="214" spans="1:38" s="154" customFormat="1" ht="20.100000000000001" customHeight="1">
      <c r="A214" s="402"/>
      <c r="B214" s="393"/>
      <c r="C214" s="394"/>
      <c r="D214" s="393"/>
      <c r="E214" s="393"/>
      <c r="F214" s="393"/>
      <c r="G214" s="395"/>
      <c r="H214" s="396"/>
      <c r="I214" s="393"/>
      <c r="J214" s="393"/>
      <c r="K214" s="393"/>
      <c r="L214" s="393"/>
      <c r="M214" s="382"/>
      <c r="N214" s="393"/>
      <c r="O214" s="393"/>
      <c r="P214" s="396"/>
      <c r="Q214" s="393"/>
      <c r="R214" s="393"/>
      <c r="S214" s="393"/>
      <c r="T214" s="393"/>
      <c r="U214" s="393"/>
      <c r="V214" s="393"/>
      <c r="W214" s="393"/>
      <c r="X214" s="393"/>
      <c r="Y214" s="397"/>
      <c r="Z214" s="393"/>
      <c r="AA214" s="393"/>
      <c r="AB214" s="401"/>
      <c r="AC214" s="401"/>
      <c r="AD214" s="401"/>
      <c r="AE214" s="401"/>
      <c r="AF214" s="401"/>
      <c r="AG214" s="401"/>
      <c r="AH214" s="401"/>
      <c r="AI214" s="401"/>
      <c r="AJ214" s="401"/>
      <c r="AK214" s="401"/>
      <c r="AL214" s="401"/>
    </row>
    <row r="215" spans="1:38" s="154" customFormat="1" ht="20.100000000000001" customHeight="1">
      <c r="A215" s="402"/>
      <c r="B215" s="393"/>
      <c r="C215" s="394"/>
      <c r="D215" s="393"/>
      <c r="E215" s="393"/>
      <c r="F215" s="393"/>
      <c r="G215" s="395"/>
      <c r="H215" s="396"/>
      <c r="I215" s="393"/>
      <c r="J215" s="393"/>
      <c r="K215" s="393"/>
      <c r="L215" s="393"/>
      <c r="M215" s="382"/>
      <c r="N215" s="393"/>
      <c r="O215" s="393"/>
      <c r="P215" s="396"/>
      <c r="Q215" s="393"/>
      <c r="R215" s="393"/>
      <c r="S215" s="393"/>
      <c r="T215" s="393"/>
      <c r="U215" s="393"/>
      <c r="V215" s="393"/>
      <c r="W215" s="393"/>
      <c r="X215" s="393"/>
      <c r="Y215" s="397"/>
      <c r="Z215" s="393"/>
      <c r="AA215" s="393"/>
      <c r="AB215" s="401"/>
      <c r="AC215" s="401"/>
      <c r="AD215" s="401"/>
      <c r="AE215" s="401"/>
      <c r="AF215" s="401"/>
      <c r="AG215" s="401"/>
      <c r="AH215" s="401"/>
      <c r="AI215" s="401"/>
      <c r="AJ215" s="401"/>
      <c r="AK215" s="401"/>
      <c r="AL215" s="401"/>
    </row>
    <row r="216" spans="1:38" s="154" customFormat="1" ht="20.100000000000001" customHeight="1">
      <c r="A216" s="402"/>
      <c r="B216" s="393"/>
      <c r="C216" s="394"/>
      <c r="D216" s="393"/>
      <c r="E216" s="393"/>
      <c r="F216" s="393"/>
      <c r="G216" s="395"/>
      <c r="H216" s="396"/>
      <c r="I216" s="393"/>
      <c r="J216" s="393"/>
      <c r="K216" s="393"/>
      <c r="L216" s="393"/>
      <c r="M216" s="382"/>
      <c r="N216" s="393"/>
      <c r="O216" s="393"/>
      <c r="P216" s="396"/>
      <c r="Q216" s="393"/>
      <c r="R216" s="393"/>
      <c r="S216" s="393"/>
      <c r="T216" s="393"/>
      <c r="U216" s="393"/>
      <c r="V216" s="393"/>
      <c r="W216" s="393"/>
      <c r="X216" s="393"/>
      <c r="Y216" s="397"/>
      <c r="Z216" s="393"/>
      <c r="AA216" s="393"/>
      <c r="AB216" s="401"/>
      <c r="AC216" s="401"/>
      <c r="AD216" s="401"/>
      <c r="AE216" s="401"/>
      <c r="AF216" s="401"/>
      <c r="AG216" s="401"/>
      <c r="AH216" s="401"/>
      <c r="AI216" s="401"/>
      <c r="AJ216" s="401"/>
      <c r="AK216" s="401"/>
      <c r="AL216" s="401"/>
    </row>
    <row r="217" spans="1:38" s="154" customFormat="1" ht="20.100000000000001" customHeight="1">
      <c r="A217" s="402"/>
      <c r="B217" s="393"/>
      <c r="C217" s="394"/>
      <c r="D217" s="393"/>
      <c r="E217" s="393"/>
      <c r="F217" s="393"/>
      <c r="G217" s="395"/>
      <c r="H217" s="396"/>
      <c r="I217" s="393"/>
      <c r="J217" s="393"/>
      <c r="K217" s="393"/>
      <c r="L217" s="393"/>
      <c r="M217" s="382"/>
      <c r="N217" s="393"/>
      <c r="O217" s="393"/>
      <c r="P217" s="396"/>
      <c r="Q217" s="393"/>
      <c r="R217" s="393"/>
      <c r="S217" s="393"/>
      <c r="T217" s="393"/>
      <c r="U217" s="393"/>
      <c r="V217" s="393"/>
      <c r="W217" s="393"/>
      <c r="X217" s="393"/>
      <c r="Y217" s="397"/>
      <c r="Z217" s="393"/>
      <c r="AA217" s="393"/>
      <c r="AB217" s="401"/>
      <c r="AC217" s="401"/>
      <c r="AD217" s="401"/>
      <c r="AE217" s="401"/>
      <c r="AF217" s="401"/>
      <c r="AG217" s="401"/>
      <c r="AH217" s="401"/>
      <c r="AI217" s="401"/>
      <c r="AJ217" s="401"/>
      <c r="AK217" s="401"/>
      <c r="AL217" s="401"/>
    </row>
    <row r="218" spans="1:38" s="154" customFormat="1" ht="20.100000000000001" customHeight="1">
      <c r="A218" s="402"/>
      <c r="B218" s="393"/>
      <c r="C218" s="394"/>
      <c r="D218" s="393"/>
      <c r="E218" s="393"/>
      <c r="F218" s="393"/>
      <c r="G218" s="395"/>
      <c r="H218" s="396"/>
      <c r="I218" s="393"/>
      <c r="J218" s="393"/>
      <c r="K218" s="393"/>
      <c r="L218" s="393"/>
      <c r="M218" s="382"/>
      <c r="N218" s="393"/>
      <c r="O218" s="393"/>
      <c r="P218" s="396"/>
      <c r="Q218" s="393"/>
      <c r="R218" s="393"/>
      <c r="S218" s="393"/>
      <c r="T218" s="393"/>
      <c r="U218" s="393"/>
      <c r="V218" s="393"/>
      <c r="W218" s="393"/>
      <c r="X218" s="393"/>
      <c r="Y218" s="397"/>
      <c r="Z218" s="393"/>
      <c r="AA218" s="393"/>
      <c r="AB218" s="401"/>
      <c r="AC218" s="401"/>
      <c r="AD218" s="401"/>
      <c r="AE218" s="401"/>
      <c r="AF218" s="401"/>
      <c r="AG218" s="401"/>
      <c r="AH218" s="401"/>
      <c r="AI218" s="401"/>
      <c r="AJ218" s="401"/>
      <c r="AK218" s="401"/>
      <c r="AL218" s="401"/>
    </row>
    <row r="219" spans="1:38" s="154" customFormat="1" ht="20.100000000000001" customHeight="1">
      <c r="A219" s="402"/>
      <c r="B219" s="393"/>
      <c r="C219" s="394"/>
      <c r="D219" s="393"/>
      <c r="E219" s="393"/>
      <c r="F219" s="393"/>
      <c r="G219" s="395"/>
      <c r="H219" s="396"/>
      <c r="I219" s="393"/>
      <c r="J219" s="393"/>
      <c r="K219" s="393"/>
      <c r="L219" s="393"/>
      <c r="M219" s="382"/>
      <c r="N219" s="393"/>
      <c r="O219" s="393"/>
      <c r="P219" s="396"/>
      <c r="Q219" s="393"/>
      <c r="R219" s="393"/>
      <c r="S219" s="393"/>
      <c r="T219" s="393"/>
      <c r="U219" s="393"/>
      <c r="V219" s="393"/>
      <c r="W219" s="393"/>
      <c r="X219" s="393"/>
      <c r="Y219" s="397"/>
      <c r="Z219" s="393"/>
      <c r="AA219" s="393"/>
      <c r="AB219" s="401"/>
      <c r="AC219" s="401"/>
      <c r="AD219" s="401"/>
      <c r="AE219" s="401"/>
      <c r="AF219" s="401"/>
      <c r="AG219" s="401"/>
      <c r="AH219" s="401"/>
      <c r="AI219" s="401"/>
      <c r="AJ219" s="401"/>
      <c r="AK219" s="401"/>
      <c r="AL219" s="401"/>
    </row>
    <row r="220" spans="1:38" s="154" customFormat="1" ht="20.100000000000001" customHeight="1">
      <c r="A220" s="402"/>
      <c r="B220" s="393"/>
      <c r="C220" s="394"/>
      <c r="D220" s="393"/>
      <c r="E220" s="393"/>
      <c r="F220" s="393"/>
      <c r="G220" s="395"/>
      <c r="H220" s="396"/>
      <c r="I220" s="393"/>
      <c r="J220" s="393"/>
      <c r="K220" s="393"/>
      <c r="L220" s="393"/>
      <c r="M220" s="382"/>
      <c r="N220" s="393"/>
      <c r="O220" s="393"/>
      <c r="P220" s="396"/>
      <c r="Q220" s="393"/>
      <c r="R220" s="393"/>
      <c r="S220" s="393"/>
      <c r="T220" s="393"/>
      <c r="U220" s="393"/>
      <c r="V220" s="393"/>
      <c r="W220" s="393"/>
      <c r="X220" s="393"/>
      <c r="Y220" s="397"/>
      <c r="Z220" s="393"/>
      <c r="AA220" s="393"/>
      <c r="AB220" s="401"/>
      <c r="AC220" s="401"/>
      <c r="AD220" s="401"/>
      <c r="AE220" s="401"/>
      <c r="AF220" s="401"/>
      <c r="AG220" s="401"/>
      <c r="AH220" s="401"/>
      <c r="AI220" s="401"/>
      <c r="AJ220" s="401"/>
      <c r="AK220" s="401"/>
      <c r="AL220" s="401"/>
    </row>
    <row r="221" spans="1:38" s="154" customFormat="1" ht="20.100000000000001" customHeight="1">
      <c r="A221" s="402"/>
      <c r="B221" s="393"/>
      <c r="C221" s="394"/>
      <c r="D221" s="393"/>
      <c r="E221" s="393"/>
      <c r="F221" s="393"/>
      <c r="G221" s="395"/>
      <c r="H221" s="396"/>
      <c r="I221" s="393"/>
      <c r="J221" s="393"/>
      <c r="K221" s="393"/>
      <c r="L221" s="393"/>
      <c r="M221" s="382"/>
      <c r="N221" s="393"/>
      <c r="O221" s="393"/>
      <c r="P221" s="396"/>
      <c r="Q221" s="393"/>
      <c r="R221" s="393"/>
      <c r="S221" s="393"/>
      <c r="T221" s="393"/>
      <c r="U221" s="393"/>
      <c r="V221" s="393"/>
      <c r="W221" s="393"/>
      <c r="X221" s="393"/>
      <c r="Y221" s="397"/>
      <c r="Z221" s="393"/>
      <c r="AA221" s="393"/>
      <c r="AB221" s="401"/>
      <c r="AC221" s="401"/>
      <c r="AD221" s="401"/>
      <c r="AE221" s="401"/>
      <c r="AF221" s="401"/>
      <c r="AG221" s="401"/>
      <c r="AH221" s="401"/>
      <c r="AI221" s="401"/>
      <c r="AJ221" s="401"/>
      <c r="AK221" s="401"/>
      <c r="AL221" s="401"/>
    </row>
    <row r="222" spans="1:38" s="154" customFormat="1" ht="20.100000000000001" customHeight="1">
      <c r="A222" s="402"/>
      <c r="B222" s="393"/>
      <c r="C222" s="394"/>
      <c r="D222" s="393"/>
      <c r="E222" s="393"/>
      <c r="F222" s="393"/>
      <c r="G222" s="395"/>
      <c r="H222" s="396"/>
      <c r="I222" s="393"/>
      <c r="J222" s="393"/>
      <c r="K222" s="393"/>
      <c r="L222" s="393"/>
      <c r="M222" s="382"/>
      <c r="N222" s="393"/>
      <c r="O222" s="393"/>
      <c r="P222" s="396"/>
      <c r="Q222" s="393"/>
      <c r="R222" s="393"/>
      <c r="S222" s="393"/>
      <c r="T222" s="393"/>
      <c r="U222" s="393"/>
      <c r="V222" s="393"/>
      <c r="W222" s="393"/>
      <c r="X222" s="393"/>
      <c r="Y222" s="397"/>
      <c r="Z222" s="393"/>
      <c r="AA222" s="393"/>
      <c r="AB222" s="401"/>
      <c r="AC222" s="401"/>
      <c r="AD222" s="401"/>
      <c r="AE222" s="401"/>
      <c r="AF222" s="401"/>
      <c r="AG222" s="401"/>
      <c r="AH222" s="401"/>
      <c r="AI222" s="401"/>
      <c r="AJ222" s="401"/>
      <c r="AK222" s="401"/>
      <c r="AL222" s="401"/>
    </row>
    <row r="223" spans="1:38" s="154" customFormat="1" ht="20.100000000000001" customHeight="1">
      <c r="A223" s="402"/>
      <c r="B223" s="393"/>
      <c r="C223" s="394"/>
      <c r="D223" s="393"/>
      <c r="E223" s="393"/>
      <c r="F223" s="393"/>
      <c r="G223" s="395"/>
      <c r="H223" s="396"/>
      <c r="I223" s="393"/>
      <c r="J223" s="393"/>
      <c r="K223" s="393"/>
      <c r="L223" s="393"/>
      <c r="M223" s="382"/>
      <c r="N223" s="393"/>
      <c r="O223" s="393"/>
      <c r="P223" s="396"/>
      <c r="Q223" s="393"/>
      <c r="R223" s="393"/>
      <c r="S223" s="393"/>
      <c r="T223" s="393"/>
      <c r="U223" s="393"/>
      <c r="V223" s="393"/>
      <c r="W223" s="393"/>
      <c r="X223" s="393"/>
      <c r="Y223" s="397"/>
      <c r="Z223" s="393"/>
      <c r="AA223" s="393"/>
      <c r="AB223" s="401"/>
      <c r="AC223" s="401"/>
      <c r="AD223" s="401"/>
      <c r="AE223" s="401"/>
      <c r="AF223" s="401"/>
      <c r="AG223" s="401"/>
      <c r="AH223" s="401"/>
      <c r="AI223" s="401"/>
      <c r="AJ223" s="401"/>
      <c r="AK223" s="401"/>
      <c r="AL223" s="401"/>
    </row>
    <row r="224" spans="1:38" s="154" customFormat="1" ht="20.100000000000001" customHeight="1">
      <c r="A224" s="402"/>
      <c r="B224" s="393"/>
      <c r="C224" s="394"/>
      <c r="D224" s="393"/>
      <c r="E224" s="393"/>
      <c r="F224" s="393"/>
      <c r="G224" s="395"/>
      <c r="H224" s="396"/>
      <c r="I224" s="393"/>
      <c r="J224" s="393"/>
      <c r="K224" s="393"/>
      <c r="L224" s="393"/>
      <c r="M224" s="382"/>
      <c r="N224" s="393"/>
      <c r="O224" s="393"/>
      <c r="P224" s="396"/>
      <c r="Q224" s="393"/>
      <c r="R224" s="393"/>
      <c r="S224" s="393"/>
      <c r="T224" s="393"/>
      <c r="U224" s="393"/>
      <c r="V224" s="393"/>
      <c r="W224" s="393"/>
      <c r="X224" s="393"/>
      <c r="Y224" s="397"/>
      <c r="Z224" s="393"/>
      <c r="AA224" s="393"/>
      <c r="AB224" s="401"/>
      <c r="AC224" s="401"/>
      <c r="AD224" s="401"/>
      <c r="AE224" s="401"/>
      <c r="AF224" s="401"/>
      <c r="AG224" s="401"/>
      <c r="AH224" s="401"/>
      <c r="AI224" s="401"/>
      <c r="AJ224" s="401"/>
      <c r="AK224" s="401"/>
      <c r="AL224" s="401"/>
    </row>
    <row r="225" spans="1:38" s="154" customFormat="1" ht="20.100000000000001" customHeight="1">
      <c r="A225" s="402"/>
      <c r="B225" s="393"/>
      <c r="C225" s="394"/>
      <c r="D225" s="393"/>
      <c r="E225" s="393"/>
      <c r="F225" s="393"/>
      <c r="G225" s="395"/>
      <c r="H225" s="396"/>
      <c r="I225" s="393"/>
      <c r="J225" s="393"/>
      <c r="K225" s="393"/>
      <c r="L225" s="393"/>
      <c r="M225" s="382"/>
      <c r="N225" s="393"/>
      <c r="O225" s="393"/>
      <c r="P225" s="396"/>
      <c r="Q225" s="393"/>
      <c r="R225" s="393"/>
      <c r="S225" s="393"/>
      <c r="T225" s="393"/>
      <c r="U225" s="393"/>
      <c r="V225" s="393"/>
      <c r="W225" s="393"/>
      <c r="X225" s="393"/>
      <c r="Y225" s="397"/>
      <c r="Z225" s="393"/>
      <c r="AA225" s="393"/>
      <c r="AB225" s="401"/>
      <c r="AC225" s="401"/>
      <c r="AD225" s="401"/>
      <c r="AE225" s="401"/>
      <c r="AF225" s="401"/>
      <c r="AG225" s="401"/>
      <c r="AH225" s="401"/>
      <c r="AI225" s="401"/>
      <c r="AJ225" s="401"/>
      <c r="AK225" s="401"/>
      <c r="AL225" s="401"/>
    </row>
    <row r="226" spans="1:38" s="154" customFormat="1" ht="20.100000000000001" customHeight="1">
      <c r="A226" s="402"/>
      <c r="B226" s="393"/>
      <c r="C226" s="394"/>
      <c r="D226" s="393"/>
      <c r="E226" s="393"/>
      <c r="F226" s="393"/>
      <c r="G226" s="395"/>
      <c r="H226" s="396"/>
      <c r="I226" s="393"/>
      <c r="J226" s="393"/>
      <c r="K226" s="393"/>
      <c r="L226" s="393"/>
      <c r="M226" s="382"/>
      <c r="N226" s="393"/>
      <c r="O226" s="393"/>
      <c r="P226" s="396"/>
      <c r="Q226" s="393"/>
      <c r="R226" s="393"/>
      <c r="S226" s="393"/>
      <c r="T226" s="393"/>
      <c r="U226" s="393"/>
      <c r="V226" s="393"/>
      <c r="W226" s="393"/>
      <c r="X226" s="393"/>
      <c r="Y226" s="397"/>
      <c r="Z226" s="393"/>
      <c r="AA226" s="393"/>
      <c r="AB226" s="401"/>
      <c r="AC226" s="401"/>
      <c r="AD226" s="401"/>
      <c r="AE226" s="401"/>
      <c r="AF226" s="401"/>
      <c r="AG226" s="401"/>
      <c r="AH226" s="401"/>
      <c r="AI226" s="401"/>
      <c r="AJ226" s="401"/>
      <c r="AK226" s="401"/>
      <c r="AL226" s="401"/>
    </row>
    <row r="227" spans="1:38" s="154" customFormat="1" ht="20.100000000000001" customHeight="1">
      <c r="A227" s="402"/>
      <c r="B227" s="393"/>
      <c r="C227" s="394"/>
      <c r="D227" s="393"/>
      <c r="E227" s="393"/>
      <c r="F227" s="393"/>
      <c r="G227" s="395"/>
      <c r="H227" s="396"/>
      <c r="I227" s="393"/>
      <c r="J227" s="393"/>
      <c r="K227" s="393"/>
      <c r="L227" s="393"/>
      <c r="M227" s="382"/>
      <c r="N227" s="393"/>
      <c r="O227" s="393"/>
      <c r="P227" s="396"/>
      <c r="Q227" s="393"/>
      <c r="R227" s="393"/>
      <c r="S227" s="393"/>
      <c r="T227" s="393"/>
      <c r="U227" s="393"/>
      <c r="V227" s="393"/>
      <c r="W227" s="393"/>
      <c r="X227" s="393"/>
      <c r="Y227" s="397"/>
      <c r="Z227" s="393"/>
      <c r="AA227" s="393"/>
      <c r="AB227" s="401"/>
      <c r="AC227" s="401"/>
      <c r="AD227" s="401"/>
      <c r="AE227" s="401"/>
      <c r="AF227" s="401"/>
      <c r="AG227" s="401"/>
      <c r="AH227" s="401"/>
      <c r="AI227" s="401"/>
      <c r="AJ227" s="401"/>
      <c r="AK227" s="401"/>
      <c r="AL227" s="401"/>
    </row>
    <row r="228" spans="1:38" s="154" customFormat="1" ht="20.100000000000001" customHeight="1">
      <c r="A228" s="402"/>
      <c r="B228" s="393"/>
      <c r="C228" s="394"/>
      <c r="D228" s="393"/>
      <c r="E228" s="393"/>
      <c r="F228" s="393"/>
      <c r="G228" s="395"/>
      <c r="H228" s="396"/>
      <c r="I228" s="393"/>
      <c r="J228" s="393"/>
      <c r="K228" s="393"/>
      <c r="L228" s="393"/>
      <c r="M228" s="382"/>
      <c r="N228" s="393"/>
      <c r="O228" s="393"/>
      <c r="P228" s="396"/>
      <c r="Q228" s="393"/>
      <c r="R228" s="393"/>
      <c r="S228" s="393"/>
      <c r="T228" s="393"/>
      <c r="U228" s="393"/>
      <c r="V228" s="393"/>
      <c r="W228" s="393"/>
      <c r="X228" s="393"/>
      <c r="Y228" s="397"/>
      <c r="Z228" s="393"/>
      <c r="AA228" s="393"/>
      <c r="AB228" s="401"/>
      <c r="AC228" s="401"/>
      <c r="AD228" s="401"/>
      <c r="AE228" s="401"/>
      <c r="AF228" s="401"/>
      <c r="AG228" s="401"/>
      <c r="AH228" s="401"/>
      <c r="AI228" s="401"/>
      <c r="AJ228" s="401"/>
      <c r="AK228" s="401"/>
      <c r="AL228" s="401"/>
    </row>
    <row r="229" spans="1:38" s="154" customFormat="1" ht="20.100000000000001" customHeight="1">
      <c r="A229" s="402"/>
      <c r="B229" s="393"/>
      <c r="C229" s="394"/>
      <c r="D229" s="393"/>
      <c r="E229" s="393"/>
      <c r="F229" s="393"/>
      <c r="G229" s="395"/>
      <c r="H229" s="396"/>
      <c r="I229" s="393"/>
      <c r="J229" s="393"/>
      <c r="K229" s="393"/>
      <c r="L229" s="393"/>
      <c r="M229" s="382"/>
      <c r="N229" s="393"/>
      <c r="O229" s="393"/>
      <c r="P229" s="396"/>
      <c r="Q229" s="393"/>
      <c r="R229" s="393"/>
      <c r="S229" s="393"/>
      <c r="T229" s="393"/>
      <c r="U229" s="393"/>
      <c r="V229" s="393"/>
      <c r="W229" s="393"/>
      <c r="X229" s="393"/>
      <c r="Y229" s="397"/>
      <c r="Z229" s="393"/>
      <c r="AA229" s="393"/>
      <c r="AB229" s="401"/>
      <c r="AC229" s="401"/>
      <c r="AD229" s="401"/>
      <c r="AE229" s="401"/>
      <c r="AF229" s="401"/>
      <c r="AG229" s="401"/>
      <c r="AH229" s="401"/>
      <c r="AI229" s="401"/>
      <c r="AJ229" s="401"/>
      <c r="AK229" s="401"/>
      <c r="AL229" s="401"/>
    </row>
    <row r="230" spans="1:38" s="154" customFormat="1" ht="20.100000000000001" customHeight="1">
      <c r="A230" s="402"/>
      <c r="B230" s="393"/>
      <c r="C230" s="394"/>
      <c r="D230" s="393"/>
      <c r="E230" s="393"/>
      <c r="F230" s="393"/>
      <c r="G230" s="395"/>
      <c r="H230" s="396"/>
      <c r="I230" s="393"/>
      <c r="J230" s="393"/>
      <c r="K230" s="393"/>
      <c r="L230" s="393"/>
      <c r="M230" s="382"/>
      <c r="N230" s="393"/>
      <c r="O230" s="393"/>
      <c r="P230" s="396"/>
      <c r="Q230" s="393"/>
      <c r="R230" s="393"/>
      <c r="S230" s="393"/>
      <c r="T230" s="393"/>
      <c r="U230" s="393"/>
      <c r="V230" s="393"/>
      <c r="W230" s="393"/>
      <c r="X230" s="393"/>
      <c r="Y230" s="397"/>
      <c r="Z230" s="393"/>
      <c r="AA230" s="393"/>
      <c r="AB230" s="401"/>
      <c r="AC230" s="401"/>
      <c r="AD230" s="401"/>
      <c r="AE230" s="401"/>
      <c r="AF230" s="401"/>
      <c r="AG230" s="401"/>
      <c r="AH230" s="401"/>
      <c r="AI230" s="401"/>
      <c r="AJ230" s="401"/>
      <c r="AK230" s="401"/>
      <c r="AL230" s="401"/>
    </row>
    <row r="231" spans="1:38" s="154" customFormat="1" ht="20.100000000000001" customHeight="1">
      <c r="A231" s="402"/>
      <c r="B231" s="393"/>
      <c r="C231" s="394"/>
      <c r="D231" s="393"/>
      <c r="E231" s="393"/>
      <c r="F231" s="393"/>
      <c r="G231" s="395"/>
      <c r="H231" s="396"/>
      <c r="I231" s="393"/>
      <c r="J231" s="393"/>
      <c r="K231" s="393"/>
      <c r="L231" s="393"/>
      <c r="M231" s="382"/>
      <c r="N231" s="393"/>
      <c r="O231" s="393"/>
      <c r="P231" s="396"/>
      <c r="Q231" s="393"/>
      <c r="R231" s="393"/>
      <c r="S231" s="393"/>
      <c r="T231" s="393"/>
      <c r="U231" s="393"/>
      <c r="V231" s="393"/>
      <c r="W231" s="393"/>
      <c r="X231" s="393"/>
      <c r="Y231" s="397"/>
      <c r="Z231" s="393"/>
      <c r="AA231" s="393"/>
      <c r="AB231" s="401"/>
      <c r="AC231" s="401"/>
      <c r="AD231" s="401"/>
      <c r="AE231" s="401"/>
      <c r="AF231" s="401"/>
      <c r="AG231" s="401"/>
      <c r="AH231" s="401"/>
      <c r="AI231" s="401"/>
      <c r="AJ231" s="401"/>
      <c r="AK231" s="401"/>
      <c r="AL231" s="401"/>
    </row>
    <row r="232" spans="1:38" s="154" customFormat="1" ht="20.100000000000001" customHeight="1">
      <c r="A232" s="402"/>
      <c r="B232" s="393"/>
      <c r="C232" s="394"/>
      <c r="D232" s="393"/>
      <c r="E232" s="393"/>
      <c r="F232" s="393"/>
      <c r="G232" s="395"/>
      <c r="H232" s="396"/>
      <c r="I232" s="393"/>
      <c r="J232" s="393"/>
      <c r="K232" s="393"/>
      <c r="L232" s="393"/>
      <c r="M232" s="382"/>
      <c r="N232" s="393"/>
      <c r="O232" s="393"/>
      <c r="P232" s="396"/>
      <c r="Q232" s="393"/>
      <c r="R232" s="393"/>
      <c r="S232" s="393"/>
      <c r="T232" s="393"/>
      <c r="U232" s="393"/>
      <c r="V232" s="393"/>
      <c r="W232" s="393"/>
      <c r="X232" s="393"/>
      <c r="Y232" s="397"/>
      <c r="Z232" s="393"/>
      <c r="AA232" s="393"/>
      <c r="AB232" s="401"/>
      <c r="AC232" s="401"/>
      <c r="AD232" s="401"/>
      <c r="AE232" s="401"/>
      <c r="AF232" s="401"/>
      <c r="AG232" s="401"/>
      <c r="AH232" s="401"/>
      <c r="AI232" s="401"/>
      <c r="AJ232" s="401"/>
      <c r="AK232" s="401"/>
      <c r="AL232" s="401"/>
    </row>
    <row r="233" spans="1:38" s="154" customFormat="1" ht="20.100000000000001" customHeight="1">
      <c r="A233" s="402"/>
      <c r="B233" s="393"/>
      <c r="C233" s="394"/>
      <c r="D233" s="393"/>
      <c r="E233" s="393"/>
      <c r="F233" s="393"/>
      <c r="G233" s="395"/>
      <c r="H233" s="396"/>
      <c r="I233" s="393"/>
      <c r="J233" s="393"/>
      <c r="K233" s="393"/>
      <c r="L233" s="393"/>
      <c r="M233" s="382"/>
      <c r="N233" s="393"/>
      <c r="O233" s="393"/>
      <c r="P233" s="396"/>
      <c r="Q233" s="393"/>
      <c r="R233" s="393"/>
      <c r="S233" s="393"/>
      <c r="T233" s="393"/>
      <c r="U233" s="393"/>
      <c r="V233" s="393"/>
      <c r="W233" s="393"/>
      <c r="X233" s="393"/>
      <c r="Y233" s="397"/>
      <c r="Z233" s="393"/>
      <c r="AA233" s="393"/>
      <c r="AB233" s="401"/>
      <c r="AC233" s="401"/>
      <c r="AD233" s="401"/>
      <c r="AE233" s="401"/>
      <c r="AF233" s="401"/>
      <c r="AG233" s="401"/>
      <c r="AH233" s="401"/>
      <c r="AI233" s="401"/>
      <c r="AJ233" s="401"/>
      <c r="AK233" s="401"/>
      <c r="AL233" s="401"/>
    </row>
    <row r="234" spans="1:38" s="154" customFormat="1" ht="20.100000000000001" customHeight="1">
      <c r="A234" s="402"/>
      <c r="B234" s="393"/>
      <c r="C234" s="394"/>
      <c r="D234" s="393"/>
      <c r="E234" s="393"/>
      <c r="F234" s="393"/>
      <c r="G234" s="395"/>
      <c r="H234" s="396"/>
      <c r="I234" s="393"/>
      <c r="J234" s="393"/>
      <c r="K234" s="393"/>
      <c r="L234" s="393"/>
      <c r="M234" s="382"/>
      <c r="N234" s="393"/>
      <c r="O234" s="393"/>
      <c r="P234" s="396"/>
      <c r="Q234" s="393"/>
      <c r="R234" s="393"/>
      <c r="S234" s="393"/>
      <c r="T234" s="393"/>
      <c r="U234" s="393"/>
      <c r="V234" s="393"/>
      <c r="W234" s="393"/>
      <c r="X234" s="393"/>
      <c r="Y234" s="397"/>
      <c r="Z234" s="393"/>
      <c r="AA234" s="393"/>
      <c r="AB234" s="401"/>
      <c r="AC234" s="401"/>
      <c r="AD234" s="401"/>
      <c r="AE234" s="401"/>
      <c r="AF234" s="401"/>
      <c r="AG234" s="401"/>
      <c r="AH234" s="401"/>
      <c r="AI234" s="401"/>
      <c r="AJ234" s="401"/>
      <c r="AK234" s="401"/>
      <c r="AL234" s="401"/>
    </row>
    <row r="235" spans="1:38" s="154" customFormat="1" ht="20.100000000000001" customHeight="1">
      <c r="A235" s="402"/>
      <c r="B235" s="393"/>
      <c r="C235" s="394"/>
      <c r="D235" s="393"/>
      <c r="E235" s="393"/>
      <c r="F235" s="393"/>
      <c r="G235" s="395"/>
      <c r="H235" s="396"/>
      <c r="I235" s="393"/>
      <c r="J235" s="393"/>
      <c r="K235" s="393"/>
      <c r="L235" s="393"/>
      <c r="M235" s="382"/>
      <c r="N235" s="393"/>
      <c r="O235" s="393"/>
      <c r="P235" s="396"/>
      <c r="Q235" s="393"/>
      <c r="R235" s="393"/>
      <c r="S235" s="393"/>
      <c r="T235" s="393"/>
      <c r="U235" s="393"/>
      <c r="V235" s="393"/>
      <c r="W235" s="393"/>
      <c r="X235" s="393"/>
      <c r="Y235" s="397"/>
      <c r="Z235" s="393"/>
      <c r="AA235" s="393"/>
      <c r="AB235" s="401"/>
      <c r="AC235" s="401"/>
      <c r="AD235" s="401"/>
      <c r="AE235" s="401"/>
      <c r="AF235" s="401"/>
      <c r="AG235" s="401"/>
      <c r="AH235" s="401"/>
      <c r="AI235" s="401"/>
      <c r="AJ235" s="401"/>
      <c r="AK235" s="401"/>
      <c r="AL235" s="401"/>
    </row>
    <row r="236" spans="1:38" s="154" customFormat="1" ht="20.100000000000001" customHeight="1">
      <c r="A236" s="402"/>
      <c r="B236" s="393"/>
      <c r="C236" s="394"/>
      <c r="D236" s="393"/>
      <c r="E236" s="393"/>
      <c r="F236" s="393"/>
      <c r="G236" s="395"/>
      <c r="H236" s="396"/>
      <c r="I236" s="393"/>
      <c r="J236" s="393"/>
      <c r="K236" s="393"/>
      <c r="L236" s="393"/>
      <c r="M236" s="382"/>
      <c r="N236" s="393"/>
      <c r="O236" s="393"/>
      <c r="P236" s="396"/>
      <c r="Q236" s="393"/>
      <c r="R236" s="393"/>
      <c r="S236" s="393"/>
      <c r="T236" s="393"/>
      <c r="U236" s="393"/>
      <c r="V236" s="393"/>
      <c r="W236" s="393"/>
      <c r="X236" s="393"/>
      <c r="Y236" s="397"/>
      <c r="Z236" s="393"/>
      <c r="AA236" s="393"/>
      <c r="AB236" s="401"/>
      <c r="AC236" s="401"/>
      <c r="AD236" s="401"/>
      <c r="AE236" s="401"/>
      <c r="AF236" s="401"/>
      <c r="AG236" s="401"/>
      <c r="AH236" s="401"/>
      <c r="AI236" s="401"/>
      <c r="AJ236" s="401"/>
      <c r="AK236" s="401"/>
      <c r="AL236" s="401"/>
    </row>
    <row r="237" spans="1:38" s="154" customFormat="1" ht="20.100000000000001" customHeight="1">
      <c r="A237" s="402"/>
      <c r="B237" s="393"/>
      <c r="C237" s="394"/>
      <c r="D237" s="393"/>
      <c r="E237" s="393"/>
      <c r="F237" s="393"/>
      <c r="G237" s="395"/>
      <c r="H237" s="396"/>
      <c r="I237" s="393"/>
      <c r="J237" s="393"/>
      <c r="K237" s="393"/>
      <c r="L237" s="393"/>
      <c r="M237" s="382"/>
      <c r="N237" s="393"/>
      <c r="O237" s="393"/>
      <c r="P237" s="396"/>
      <c r="Q237" s="393"/>
      <c r="R237" s="393"/>
      <c r="S237" s="393"/>
      <c r="T237" s="393"/>
      <c r="U237" s="393"/>
      <c r="V237" s="393"/>
      <c r="W237" s="393"/>
      <c r="X237" s="393"/>
      <c r="Y237" s="397"/>
      <c r="Z237" s="393"/>
      <c r="AA237" s="393"/>
      <c r="AB237" s="401"/>
      <c r="AC237" s="401"/>
      <c r="AD237" s="401"/>
      <c r="AE237" s="401"/>
      <c r="AF237" s="401"/>
      <c r="AG237" s="401"/>
      <c r="AH237" s="401"/>
      <c r="AI237" s="401"/>
      <c r="AJ237" s="401"/>
      <c r="AK237" s="401"/>
      <c r="AL237" s="401"/>
    </row>
    <row r="238" spans="1:38" s="154" customFormat="1" ht="20.100000000000001" customHeight="1">
      <c r="A238" s="402"/>
      <c r="B238" s="393"/>
      <c r="C238" s="394"/>
      <c r="D238" s="393"/>
      <c r="E238" s="393"/>
      <c r="F238" s="393"/>
      <c r="G238" s="395"/>
      <c r="H238" s="396"/>
      <c r="I238" s="393"/>
      <c r="J238" s="393"/>
      <c r="K238" s="393"/>
      <c r="L238" s="393"/>
      <c r="M238" s="382"/>
      <c r="N238" s="393"/>
      <c r="O238" s="393"/>
      <c r="P238" s="396"/>
      <c r="Q238" s="393"/>
      <c r="R238" s="393"/>
      <c r="S238" s="393"/>
      <c r="T238" s="393"/>
      <c r="U238" s="393"/>
      <c r="V238" s="393"/>
      <c r="W238" s="393"/>
      <c r="X238" s="393"/>
      <c r="Y238" s="397"/>
      <c r="Z238" s="393"/>
      <c r="AA238" s="393"/>
      <c r="AB238" s="401"/>
      <c r="AC238" s="401"/>
      <c r="AD238" s="401"/>
      <c r="AE238" s="401"/>
      <c r="AF238" s="401"/>
      <c r="AG238" s="401"/>
      <c r="AH238" s="401"/>
      <c r="AI238" s="401"/>
      <c r="AJ238" s="401"/>
      <c r="AK238" s="401"/>
      <c r="AL238" s="401"/>
    </row>
    <row r="239" spans="1:38" s="154" customFormat="1" ht="20.100000000000001" customHeight="1">
      <c r="A239" s="402"/>
      <c r="B239" s="393"/>
      <c r="C239" s="394"/>
      <c r="D239" s="393"/>
      <c r="E239" s="393"/>
      <c r="F239" s="393"/>
      <c r="G239" s="395"/>
      <c r="H239" s="396"/>
      <c r="I239" s="393"/>
      <c r="J239" s="393"/>
      <c r="K239" s="393"/>
      <c r="L239" s="393"/>
      <c r="M239" s="382"/>
      <c r="N239" s="393"/>
      <c r="O239" s="393"/>
      <c r="P239" s="396"/>
      <c r="Q239" s="393"/>
      <c r="R239" s="393"/>
      <c r="S239" s="393"/>
      <c r="T239" s="393"/>
      <c r="U239" s="393"/>
      <c r="V239" s="393"/>
      <c r="W239" s="393"/>
      <c r="X239" s="393"/>
      <c r="Y239" s="397"/>
      <c r="Z239" s="393"/>
      <c r="AA239" s="393"/>
      <c r="AB239" s="401"/>
      <c r="AC239" s="401"/>
      <c r="AD239" s="401"/>
      <c r="AE239" s="401"/>
      <c r="AF239" s="401"/>
      <c r="AG239" s="401"/>
      <c r="AH239" s="401"/>
      <c r="AI239" s="401"/>
      <c r="AJ239" s="401"/>
      <c r="AK239" s="401"/>
      <c r="AL239" s="401"/>
    </row>
    <row r="240" spans="1:38" s="154" customFormat="1" ht="20.100000000000001" customHeight="1">
      <c r="A240" s="402"/>
      <c r="B240" s="393"/>
      <c r="C240" s="394"/>
      <c r="D240" s="393"/>
      <c r="E240" s="393"/>
      <c r="F240" s="393"/>
      <c r="G240" s="395"/>
      <c r="H240" s="396"/>
      <c r="I240" s="393"/>
      <c r="J240" s="393"/>
      <c r="K240" s="393"/>
      <c r="L240" s="393"/>
      <c r="M240" s="382"/>
      <c r="N240" s="393"/>
      <c r="O240" s="393"/>
      <c r="P240" s="396"/>
      <c r="Q240" s="393"/>
      <c r="R240" s="393"/>
      <c r="S240" s="393"/>
      <c r="T240" s="393"/>
      <c r="U240" s="393"/>
      <c r="V240" s="393"/>
      <c r="W240" s="393"/>
      <c r="X240" s="393"/>
      <c r="Y240" s="397"/>
      <c r="Z240" s="393"/>
      <c r="AA240" s="393"/>
      <c r="AB240" s="401"/>
      <c r="AC240" s="401"/>
      <c r="AD240" s="401"/>
      <c r="AE240" s="401"/>
      <c r="AF240" s="401"/>
      <c r="AG240" s="401"/>
      <c r="AH240" s="401"/>
      <c r="AI240" s="401"/>
      <c r="AJ240" s="401"/>
      <c r="AK240" s="401"/>
      <c r="AL240" s="401"/>
    </row>
    <row r="241" spans="1:38" s="154" customFormat="1" ht="20.100000000000001" customHeight="1">
      <c r="A241" s="402"/>
      <c r="B241" s="393"/>
      <c r="C241" s="394"/>
      <c r="D241" s="393"/>
      <c r="E241" s="393"/>
      <c r="F241" s="393"/>
      <c r="G241" s="395"/>
      <c r="H241" s="396"/>
      <c r="I241" s="393"/>
      <c r="J241" s="393"/>
      <c r="K241" s="393"/>
      <c r="L241" s="393"/>
      <c r="M241" s="382"/>
      <c r="N241" s="393"/>
      <c r="O241" s="393"/>
      <c r="P241" s="396"/>
      <c r="Q241" s="393"/>
      <c r="R241" s="393"/>
      <c r="S241" s="393"/>
      <c r="T241" s="393"/>
      <c r="U241" s="393"/>
      <c r="V241" s="393"/>
      <c r="W241" s="393"/>
      <c r="X241" s="393"/>
      <c r="Y241" s="397"/>
      <c r="Z241" s="393"/>
      <c r="AA241" s="393"/>
      <c r="AB241" s="401"/>
      <c r="AC241" s="401"/>
      <c r="AD241" s="401"/>
      <c r="AE241" s="401"/>
      <c r="AF241" s="401"/>
      <c r="AG241" s="401"/>
      <c r="AH241" s="401"/>
      <c r="AI241" s="401"/>
      <c r="AJ241" s="401"/>
      <c r="AK241" s="401"/>
      <c r="AL241" s="401"/>
    </row>
    <row r="242" spans="1:38" s="154" customFormat="1" ht="20.100000000000001" customHeight="1">
      <c r="A242" s="402"/>
      <c r="B242" s="393"/>
      <c r="C242" s="394"/>
      <c r="D242" s="393"/>
      <c r="E242" s="393"/>
      <c r="F242" s="393"/>
      <c r="G242" s="395"/>
      <c r="H242" s="396"/>
      <c r="I242" s="393"/>
      <c r="J242" s="393"/>
      <c r="K242" s="393"/>
      <c r="L242" s="393"/>
      <c r="M242" s="382"/>
      <c r="N242" s="393"/>
      <c r="O242" s="393"/>
      <c r="P242" s="396"/>
      <c r="Q242" s="393"/>
      <c r="R242" s="393"/>
      <c r="S242" s="393"/>
      <c r="T242" s="393"/>
      <c r="U242" s="393"/>
      <c r="V242" s="393"/>
      <c r="W242" s="393"/>
      <c r="X242" s="393"/>
      <c r="Y242" s="397"/>
      <c r="Z242" s="393"/>
      <c r="AA242" s="393"/>
      <c r="AB242" s="401"/>
      <c r="AC242" s="401"/>
      <c r="AD242" s="401"/>
      <c r="AE242" s="401"/>
      <c r="AF242" s="401"/>
      <c r="AG242" s="401"/>
      <c r="AH242" s="401"/>
      <c r="AI242" s="401"/>
      <c r="AJ242" s="401"/>
      <c r="AK242" s="401"/>
      <c r="AL242" s="401"/>
    </row>
    <row r="243" spans="1:38" s="154" customFormat="1" ht="20.100000000000001" customHeight="1">
      <c r="A243" s="402"/>
      <c r="B243" s="393"/>
      <c r="C243" s="394"/>
      <c r="D243" s="393"/>
      <c r="E243" s="393"/>
      <c r="F243" s="393"/>
      <c r="G243" s="395"/>
      <c r="H243" s="396"/>
      <c r="I243" s="393"/>
      <c r="J243" s="393"/>
      <c r="K243" s="393"/>
      <c r="L243" s="393"/>
      <c r="M243" s="382"/>
      <c r="N243" s="393"/>
      <c r="O243" s="393"/>
      <c r="P243" s="396"/>
      <c r="Q243" s="393"/>
      <c r="R243" s="393"/>
      <c r="S243" s="393"/>
      <c r="T243" s="393"/>
      <c r="U243" s="393"/>
      <c r="V243" s="393"/>
      <c r="W243" s="393"/>
      <c r="X243" s="393"/>
      <c r="Y243" s="397"/>
      <c r="Z243" s="393"/>
      <c r="AA243" s="393"/>
      <c r="AB243" s="401"/>
      <c r="AC243" s="401"/>
      <c r="AD243" s="401"/>
      <c r="AE243" s="401"/>
      <c r="AF243" s="401"/>
      <c r="AG243" s="401"/>
      <c r="AH243" s="401"/>
      <c r="AI243" s="401"/>
      <c r="AJ243" s="401"/>
      <c r="AK243" s="401"/>
      <c r="AL243" s="401"/>
    </row>
    <row r="244" spans="1:38" s="154" customFormat="1" ht="20.100000000000001" customHeight="1">
      <c r="A244" s="402"/>
      <c r="B244" s="393"/>
      <c r="C244" s="394"/>
      <c r="D244" s="393"/>
      <c r="E244" s="393"/>
      <c r="F244" s="393"/>
      <c r="G244" s="395"/>
      <c r="H244" s="396"/>
      <c r="I244" s="393"/>
      <c r="J244" s="393"/>
      <c r="K244" s="393"/>
      <c r="L244" s="393"/>
      <c r="M244" s="382"/>
      <c r="N244" s="393"/>
      <c r="O244" s="393"/>
      <c r="P244" s="396"/>
      <c r="Q244" s="393"/>
      <c r="R244" s="393"/>
      <c r="S244" s="393"/>
      <c r="T244" s="393"/>
      <c r="U244" s="393"/>
      <c r="V244" s="393"/>
      <c r="W244" s="393"/>
      <c r="X244" s="393"/>
      <c r="Y244" s="397"/>
      <c r="Z244" s="393"/>
      <c r="AA244" s="393"/>
      <c r="AB244" s="401"/>
      <c r="AC244" s="401"/>
      <c r="AD244" s="401"/>
      <c r="AE244" s="401"/>
      <c r="AF244" s="401"/>
      <c r="AG244" s="401"/>
      <c r="AH244" s="401"/>
      <c r="AI244" s="401"/>
      <c r="AJ244" s="401"/>
      <c r="AK244" s="401"/>
      <c r="AL244" s="401"/>
    </row>
    <row r="245" spans="1:38" s="154" customFormat="1" ht="20.100000000000001" customHeight="1">
      <c r="A245" s="402"/>
      <c r="B245" s="393"/>
      <c r="C245" s="394"/>
      <c r="D245" s="393"/>
      <c r="E245" s="393"/>
      <c r="F245" s="393"/>
      <c r="G245" s="395"/>
      <c r="H245" s="396"/>
      <c r="I245" s="393"/>
      <c r="J245" s="393"/>
      <c r="K245" s="393"/>
      <c r="L245" s="393"/>
      <c r="M245" s="382"/>
      <c r="N245" s="393"/>
      <c r="O245" s="393"/>
      <c r="P245" s="396"/>
      <c r="Q245" s="393"/>
      <c r="R245" s="393"/>
      <c r="S245" s="393"/>
      <c r="T245" s="393"/>
      <c r="U245" s="393"/>
      <c r="V245" s="393"/>
      <c r="W245" s="393"/>
      <c r="X245" s="393"/>
      <c r="Y245" s="397"/>
      <c r="Z245" s="393"/>
      <c r="AA245" s="393"/>
      <c r="AB245" s="401"/>
      <c r="AC245" s="401"/>
      <c r="AD245" s="401"/>
      <c r="AE245" s="401"/>
      <c r="AF245" s="401"/>
      <c r="AG245" s="401"/>
      <c r="AH245" s="401"/>
      <c r="AI245" s="401"/>
      <c r="AJ245" s="401"/>
      <c r="AK245" s="401"/>
      <c r="AL245" s="401"/>
    </row>
    <row r="246" spans="1:38" s="154" customFormat="1" ht="20.100000000000001" customHeight="1">
      <c r="A246" s="402"/>
      <c r="B246" s="393"/>
      <c r="C246" s="394"/>
      <c r="D246" s="393"/>
      <c r="E246" s="393"/>
      <c r="F246" s="393"/>
      <c r="G246" s="395"/>
      <c r="H246" s="396"/>
      <c r="I246" s="393"/>
      <c r="J246" s="393"/>
      <c r="K246" s="393"/>
      <c r="L246" s="393"/>
      <c r="M246" s="382"/>
      <c r="N246" s="393"/>
      <c r="O246" s="393"/>
      <c r="P246" s="396"/>
      <c r="Q246" s="393"/>
      <c r="R246" s="393"/>
      <c r="S246" s="393"/>
      <c r="T246" s="393"/>
      <c r="U246" s="393"/>
      <c r="V246" s="393"/>
      <c r="W246" s="393"/>
      <c r="X246" s="393"/>
      <c r="Y246" s="397"/>
      <c r="Z246" s="393"/>
      <c r="AA246" s="393"/>
      <c r="AB246" s="401"/>
      <c r="AC246" s="401"/>
      <c r="AD246" s="401"/>
      <c r="AE246" s="401"/>
      <c r="AF246" s="401"/>
      <c r="AG246" s="401"/>
      <c r="AH246" s="401"/>
      <c r="AI246" s="401"/>
      <c r="AJ246" s="401"/>
      <c r="AK246" s="401"/>
      <c r="AL246" s="401"/>
    </row>
    <row r="247" spans="1:38" s="154" customFormat="1" ht="20.100000000000001" customHeight="1">
      <c r="A247" s="402"/>
      <c r="B247" s="393"/>
      <c r="C247" s="394"/>
      <c r="D247" s="393"/>
      <c r="E247" s="393"/>
      <c r="F247" s="393"/>
      <c r="G247" s="395"/>
      <c r="H247" s="396"/>
      <c r="I247" s="393"/>
      <c r="J247" s="393"/>
      <c r="K247" s="393"/>
      <c r="L247" s="393"/>
      <c r="M247" s="382"/>
      <c r="N247" s="393"/>
      <c r="O247" s="393"/>
      <c r="P247" s="396"/>
      <c r="Q247" s="393"/>
      <c r="R247" s="393"/>
      <c r="S247" s="393"/>
      <c r="T247" s="393"/>
      <c r="U247" s="393"/>
      <c r="V247" s="393"/>
      <c r="W247" s="393"/>
      <c r="X247" s="393"/>
      <c r="Y247" s="397"/>
      <c r="Z247" s="393"/>
      <c r="AA247" s="393"/>
      <c r="AB247" s="401"/>
      <c r="AC247" s="401"/>
      <c r="AD247" s="401"/>
      <c r="AE247" s="401"/>
      <c r="AF247" s="401"/>
      <c r="AG247" s="401"/>
      <c r="AH247" s="401"/>
      <c r="AI247" s="401"/>
      <c r="AJ247" s="401"/>
      <c r="AK247" s="401"/>
      <c r="AL247" s="401"/>
    </row>
    <row r="248" spans="1:38" s="154" customFormat="1" ht="20.100000000000001" customHeight="1">
      <c r="A248" s="402"/>
      <c r="B248" s="393"/>
      <c r="C248" s="394"/>
      <c r="D248" s="393"/>
      <c r="E248" s="393"/>
      <c r="F248" s="393"/>
      <c r="G248" s="395"/>
      <c r="H248" s="396"/>
      <c r="I248" s="393"/>
      <c r="J248" s="393"/>
      <c r="K248" s="393"/>
      <c r="L248" s="393"/>
      <c r="M248" s="382"/>
      <c r="N248" s="393"/>
      <c r="O248" s="393"/>
      <c r="P248" s="396"/>
      <c r="Q248" s="393"/>
      <c r="R248" s="393"/>
      <c r="S248" s="393"/>
      <c r="T248" s="393"/>
      <c r="U248" s="393"/>
      <c r="V248" s="393"/>
      <c r="W248" s="393"/>
      <c r="X248" s="393"/>
      <c r="Y248" s="397"/>
      <c r="Z248" s="393"/>
      <c r="AA248" s="393"/>
      <c r="AB248" s="401"/>
      <c r="AC248" s="401"/>
      <c r="AD248" s="401"/>
      <c r="AE248" s="401"/>
      <c r="AF248" s="401"/>
      <c r="AG248" s="401"/>
      <c r="AH248" s="401"/>
      <c r="AI248" s="401"/>
      <c r="AJ248" s="401"/>
      <c r="AK248" s="401"/>
      <c r="AL248" s="401"/>
    </row>
    <row r="249" spans="1:38" s="154" customFormat="1" ht="20.100000000000001" customHeight="1">
      <c r="A249" s="402"/>
      <c r="B249" s="393"/>
      <c r="C249" s="394"/>
      <c r="D249" s="393"/>
      <c r="E249" s="393"/>
      <c r="F249" s="393"/>
      <c r="G249" s="395"/>
      <c r="H249" s="396"/>
      <c r="I249" s="393"/>
      <c r="J249" s="393"/>
      <c r="K249" s="393"/>
      <c r="L249" s="393"/>
      <c r="M249" s="382"/>
      <c r="N249" s="393"/>
      <c r="O249" s="393"/>
      <c r="P249" s="396"/>
      <c r="Q249" s="393"/>
      <c r="R249" s="393"/>
      <c r="S249" s="393"/>
      <c r="T249" s="393"/>
      <c r="U249" s="393"/>
      <c r="V249" s="393"/>
      <c r="W249" s="393"/>
      <c r="X249" s="393"/>
      <c r="Y249" s="397"/>
      <c r="Z249" s="393"/>
      <c r="AA249" s="393"/>
      <c r="AB249" s="401"/>
      <c r="AC249" s="401"/>
      <c r="AD249" s="401"/>
      <c r="AE249" s="401"/>
      <c r="AF249" s="401"/>
      <c r="AG249" s="401"/>
      <c r="AH249" s="401"/>
      <c r="AI249" s="401"/>
      <c r="AJ249" s="401"/>
      <c r="AK249" s="401"/>
      <c r="AL249" s="401"/>
    </row>
    <row r="250" spans="1:38" s="154" customFormat="1" ht="20.100000000000001" customHeight="1">
      <c r="A250" s="402"/>
      <c r="B250" s="393"/>
      <c r="C250" s="394"/>
      <c r="D250" s="393"/>
      <c r="E250" s="393"/>
      <c r="F250" s="393"/>
      <c r="G250" s="395"/>
      <c r="H250" s="396"/>
      <c r="I250" s="393"/>
      <c r="J250" s="393"/>
      <c r="K250" s="393"/>
      <c r="L250" s="393"/>
      <c r="M250" s="382"/>
      <c r="N250" s="393"/>
      <c r="O250" s="393"/>
      <c r="P250" s="396"/>
      <c r="Q250" s="393"/>
      <c r="R250" s="393"/>
      <c r="S250" s="393"/>
      <c r="T250" s="393"/>
      <c r="U250" s="393"/>
      <c r="V250" s="393"/>
      <c r="W250" s="393"/>
      <c r="X250" s="393"/>
      <c r="Y250" s="397"/>
      <c r="Z250" s="393"/>
      <c r="AA250" s="393"/>
      <c r="AB250" s="401"/>
      <c r="AC250" s="401"/>
      <c r="AD250" s="401"/>
      <c r="AE250" s="401"/>
      <c r="AF250" s="401"/>
      <c r="AG250" s="401"/>
      <c r="AH250" s="401"/>
      <c r="AI250" s="401"/>
      <c r="AJ250" s="401"/>
      <c r="AK250" s="401"/>
      <c r="AL250" s="401"/>
    </row>
    <row r="251" spans="1:38" s="154" customFormat="1" ht="20.100000000000001" customHeight="1">
      <c r="A251" s="402"/>
      <c r="B251" s="393"/>
      <c r="C251" s="394"/>
      <c r="D251" s="393"/>
      <c r="E251" s="393"/>
      <c r="F251" s="393"/>
      <c r="G251" s="395"/>
      <c r="H251" s="396"/>
      <c r="I251" s="393"/>
      <c r="J251" s="393"/>
      <c r="K251" s="393"/>
      <c r="L251" s="393"/>
      <c r="M251" s="382"/>
      <c r="N251" s="393"/>
      <c r="O251" s="393"/>
      <c r="P251" s="396"/>
      <c r="Q251" s="393"/>
      <c r="R251" s="393"/>
      <c r="S251" s="393"/>
      <c r="T251" s="393"/>
      <c r="U251" s="393"/>
      <c r="V251" s="393"/>
      <c r="W251" s="393"/>
      <c r="X251" s="393"/>
      <c r="Y251" s="397"/>
      <c r="Z251" s="393"/>
      <c r="AA251" s="393"/>
      <c r="AB251" s="401"/>
      <c r="AC251" s="401"/>
      <c r="AD251" s="401"/>
      <c r="AE251" s="401"/>
      <c r="AF251" s="401"/>
      <c r="AG251" s="401"/>
      <c r="AH251" s="401"/>
      <c r="AI251" s="401"/>
      <c r="AJ251" s="401"/>
      <c r="AK251" s="401"/>
      <c r="AL251" s="401"/>
    </row>
    <row r="252" spans="1:38" s="154" customFormat="1" ht="20.100000000000001" customHeight="1">
      <c r="A252" s="402"/>
      <c r="B252" s="393"/>
      <c r="C252" s="394"/>
      <c r="D252" s="393"/>
      <c r="E252" s="393"/>
      <c r="F252" s="393"/>
      <c r="G252" s="395"/>
      <c r="H252" s="396"/>
      <c r="I252" s="393"/>
      <c r="J252" s="393"/>
      <c r="K252" s="393"/>
      <c r="L252" s="393"/>
      <c r="M252" s="382"/>
      <c r="N252" s="393"/>
      <c r="O252" s="393"/>
      <c r="P252" s="396"/>
      <c r="Q252" s="393"/>
      <c r="R252" s="393"/>
      <c r="S252" s="393"/>
      <c r="T252" s="393"/>
      <c r="U252" s="393"/>
      <c r="V252" s="393"/>
      <c r="W252" s="393"/>
      <c r="X252" s="393"/>
      <c r="Y252" s="397"/>
      <c r="Z252" s="393"/>
      <c r="AA252" s="393"/>
      <c r="AB252" s="401"/>
      <c r="AC252" s="401"/>
      <c r="AD252" s="401"/>
      <c r="AE252" s="401"/>
      <c r="AF252" s="401"/>
      <c r="AG252" s="401"/>
      <c r="AH252" s="401"/>
      <c r="AI252" s="401"/>
      <c r="AJ252" s="401"/>
      <c r="AK252" s="401"/>
      <c r="AL252" s="401"/>
    </row>
    <row r="253" spans="1:38" s="154" customFormat="1" ht="20.100000000000001" customHeight="1">
      <c r="A253" s="402"/>
      <c r="B253" s="393"/>
      <c r="C253" s="394"/>
      <c r="D253" s="393"/>
      <c r="E253" s="393"/>
      <c r="F253" s="393"/>
      <c r="G253" s="395"/>
      <c r="H253" s="396"/>
      <c r="I253" s="393"/>
      <c r="J253" s="393"/>
      <c r="K253" s="393"/>
      <c r="L253" s="393"/>
      <c r="M253" s="382"/>
      <c r="N253" s="393"/>
      <c r="O253" s="393"/>
      <c r="P253" s="396"/>
      <c r="Q253" s="393"/>
      <c r="R253" s="393"/>
      <c r="S253" s="393"/>
      <c r="T253" s="393"/>
      <c r="U253" s="393"/>
      <c r="V253" s="393"/>
      <c r="W253" s="393"/>
      <c r="X253" s="393"/>
      <c r="Y253" s="397"/>
      <c r="Z253" s="393"/>
      <c r="AA253" s="393"/>
      <c r="AB253" s="401"/>
      <c r="AC253" s="401"/>
      <c r="AD253" s="401"/>
      <c r="AE253" s="401"/>
      <c r="AF253" s="401"/>
      <c r="AG253" s="401"/>
      <c r="AH253" s="401"/>
      <c r="AI253" s="401"/>
      <c r="AJ253" s="401"/>
      <c r="AK253" s="401"/>
      <c r="AL253" s="401"/>
    </row>
    <row r="254" spans="1:38" s="154" customFormat="1" ht="20.100000000000001" customHeight="1">
      <c r="A254" s="402"/>
      <c r="B254" s="393"/>
      <c r="C254" s="394"/>
      <c r="D254" s="393"/>
      <c r="E254" s="393"/>
      <c r="F254" s="393"/>
      <c r="G254" s="395"/>
      <c r="H254" s="396"/>
      <c r="I254" s="393"/>
      <c r="J254" s="393"/>
      <c r="K254" s="393"/>
      <c r="L254" s="393"/>
      <c r="M254" s="382"/>
      <c r="N254" s="393"/>
      <c r="O254" s="393"/>
      <c r="P254" s="396"/>
      <c r="Q254" s="393"/>
      <c r="R254" s="393"/>
      <c r="S254" s="393"/>
      <c r="T254" s="393"/>
      <c r="U254" s="393"/>
      <c r="V254" s="393"/>
      <c r="W254" s="393"/>
      <c r="X254" s="393"/>
      <c r="Y254" s="397"/>
      <c r="Z254" s="393"/>
      <c r="AA254" s="393"/>
      <c r="AB254" s="401"/>
      <c r="AC254" s="401"/>
      <c r="AD254" s="401"/>
      <c r="AE254" s="401"/>
      <c r="AF254" s="401"/>
      <c r="AG254" s="401"/>
      <c r="AH254" s="401"/>
      <c r="AI254" s="401"/>
      <c r="AJ254" s="401"/>
      <c r="AK254" s="401"/>
      <c r="AL254" s="401"/>
    </row>
    <row r="255" spans="1:38" s="154" customFormat="1" ht="20.100000000000001" customHeight="1">
      <c r="A255" s="402"/>
      <c r="B255" s="393"/>
      <c r="C255" s="394"/>
      <c r="D255" s="393"/>
      <c r="E255" s="393"/>
      <c r="F255" s="393"/>
      <c r="G255" s="395"/>
      <c r="H255" s="396"/>
      <c r="I255" s="393"/>
      <c r="J255" s="393"/>
      <c r="K255" s="393"/>
      <c r="L255" s="393"/>
      <c r="M255" s="382"/>
      <c r="N255" s="393"/>
      <c r="O255" s="393"/>
      <c r="P255" s="396"/>
      <c r="Q255" s="393"/>
      <c r="R255" s="393"/>
      <c r="S255" s="393"/>
      <c r="T255" s="393"/>
      <c r="U255" s="393"/>
      <c r="V255" s="393"/>
      <c r="W255" s="393"/>
      <c r="X255" s="393"/>
      <c r="Y255" s="397"/>
      <c r="Z255" s="393"/>
      <c r="AA255" s="393"/>
      <c r="AB255" s="401"/>
      <c r="AC255" s="401"/>
      <c r="AD255" s="401"/>
      <c r="AE255" s="401"/>
      <c r="AF255" s="401"/>
      <c r="AG255" s="401"/>
      <c r="AH255" s="401"/>
      <c r="AI255" s="401"/>
      <c r="AJ255" s="401"/>
      <c r="AK255" s="401"/>
      <c r="AL255" s="401"/>
    </row>
    <row r="256" spans="1:38" s="154" customFormat="1" ht="20.100000000000001" customHeight="1">
      <c r="A256" s="402"/>
      <c r="B256" s="393"/>
      <c r="C256" s="394"/>
      <c r="D256" s="393"/>
      <c r="E256" s="393"/>
      <c r="F256" s="393"/>
      <c r="G256" s="395"/>
      <c r="H256" s="396"/>
      <c r="I256" s="393"/>
      <c r="J256" s="393"/>
      <c r="K256" s="393"/>
      <c r="L256" s="393"/>
      <c r="M256" s="382"/>
      <c r="N256" s="393"/>
      <c r="O256" s="393"/>
      <c r="P256" s="396"/>
      <c r="Q256" s="393"/>
      <c r="R256" s="393"/>
      <c r="S256" s="393"/>
      <c r="T256" s="393"/>
      <c r="U256" s="393"/>
      <c r="V256" s="393"/>
      <c r="W256" s="393"/>
      <c r="X256" s="393"/>
      <c r="Y256" s="397"/>
      <c r="Z256" s="393"/>
      <c r="AA256" s="393"/>
      <c r="AB256" s="401"/>
      <c r="AC256" s="401"/>
      <c r="AD256" s="401"/>
      <c r="AE256" s="401"/>
      <c r="AF256" s="401"/>
      <c r="AG256" s="401"/>
      <c r="AH256" s="401"/>
      <c r="AI256" s="401"/>
      <c r="AJ256" s="401"/>
      <c r="AK256" s="401"/>
      <c r="AL256" s="401"/>
    </row>
    <row r="257" spans="1:38" s="154" customFormat="1" ht="20.100000000000001" customHeight="1">
      <c r="A257" s="402"/>
      <c r="B257" s="393"/>
      <c r="C257" s="394"/>
      <c r="D257" s="393"/>
      <c r="E257" s="393"/>
      <c r="F257" s="393"/>
      <c r="G257" s="395"/>
      <c r="H257" s="396"/>
      <c r="I257" s="393"/>
      <c r="J257" s="393"/>
      <c r="K257" s="393"/>
      <c r="L257" s="393"/>
      <c r="M257" s="382"/>
      <c r="N257" s="393"/>
      <c r="O257" s="393"/>
      <c r="P257" s="396"/>
      <c r="Q257" s="393"/>
      <c r="R257" s="393"/>
      <c r="S257" s="393"/>
      <c r="T257" s="393"/>
      <c r="U257" s="393"/>
      <c r="V257" s="393"/>
      <c r="W257" s="393"/>
      <c r="X257" s="393"/>
      <c r="Y257" s="397"/>
      <c r="Z257" s="393"/>
      <c r="AA257" s="393"/>
      <c r="AB257" s="401"/>
      <c r="AC257" s="401"/>
      <c r="AD257" s="401"/>
      <c r="AE257" s="401"/>
      <c r="AF257" s="401"/>
      <c r="AG257" s="401"/>
      <c r="AH257" s="401"/>
      <c r="AI257" s="401"/>
      <c r="AJ257" s="401"/>
      <c r="AK257" s="401"/>
      <c r="AL257" s="401"/>
    </row>
    <row r="258" spans="1:38" s="154" customFormat="1" ht="20.100000000000001" customHeight="1">
      <c r="A258" s="402"/>
      <c r="B258" s="393"/>
      <c r="C258" s="394"/>
      <c r="D258" s="393"/>
      <c r="E258" s="393"/>
      <c r="F258" s="393"/>
      <c r="G258" s="395"/>
      <c r="H258" s="396"/>
      <c r="I258" s="393"/>
      <c r="J258" s="393"/>
      <c r="K258" s="393"/>
      <c r="L258" s="393"/>
      <c r="M258" s="382"/>
      <c r="N258" s="393"/>
      <c r="O258" s="393"/>
      <c r="P258" s="396"/>
      <c r="Q258" s="393"/>
      <c r="R258" s="393"/>
      <c r="S258" s="393"/>
      <c r="T258" s="393"/>
      <c r="U258" s="393"/>
      <c r="V258" s="393"/>
      <c r="W258" s="393"/>
      <c r="X258" s="393"/>
      <c r="Y258" s="397"/>
      <c r="Z258" s="393"/>
      <c r="AA258" s="393"/>
      <c r="AB258" s="401"/>
      <c r="AC258" s="401"/>
      <c r="AD258" s="401"/>
      <c r="AE258" s="401"/>
      <c r="AF258" s="401"/>
      <c r="AG258" s="401"/>
      <c r="AH258" s="401"/>
      <c r="AI258" s="401"/>
      <c r="AJ258" s="401"/>
      <c r="AK258" s="401"/>
      <c r="AL258" s="401"/>
    </row>
    <row r="259" spans="1:38" s="154" customFormat="1" ht="20.100000000000001" customHeight="1">
      <c r="A259" s="402"/>
      <c r="B259" s="393"/>
      <c r="C259" s="394"/>
      <c r="D259" s="393"/>
      <c r="E259" s="393"/>
      <c r="F259" s="393"/>
      <c r="G259" s="395"/>
      <c r="H259" s="396"/>
      <c r="I259" s="393"/>
      <c r="J259" s="393"/>
      <c r="K259" s="393"/>
      <c r="L259" s="393"/>
      <c r="M259" s="382"/>
      <c r="N259" s="393"/>
      <c r="O259" s="393"/>
      <c r="P259" s="396"/>
      <c r="Q259" s="393"/>
      <c r="R259" s="393"/>
      <c r="S259" s="393"/>
      <c r="T259" s="393"/>
      <c r="U259" s="393"/>
      <c r="V259" s="393"/>
      <c r="W259" s="393"/>
      <c r="X259" s="393"/>
      <c r="Y259" s="397"/>
      <c r="Z259" s="393"/>
      <c r="AA259" s="393"/>
      <c r="AB259" s="401"/>
      <c r="AC259" s="401"/>
      <c r="AD259" s="401"/>
      <c r="AE259" s="401"/>
      <c r="AF259" s="401"/>
      <c r="AG259" s="401"/>
      <c r="AH259" s="401"/>
      <c r="AI259" s="401"/>
      <c r="AJ259" s="401"/>
      <c r="AK259" s="401"/>
      <c r="AL259" s="401"/>
    </row>
    <row r="260" spans="1:38" s="154" customFormat="1" ht="20.100000000000001" customHeight="1">
      <c r="A260" s="402"/>
      <c r="B260" s="393"/>
      <c r="C260" s="394"/>
      <c r="D260" s="393"/>
      <c r="E260" s="393"/>
      <c r="F260" s="393"/>
      <c r="G260" s="395"/>
      <c r="H260" s="396"/>
      <c r="I260" s="393"/>
      <c r="J260" s="393"/>
      <c r="K260" s="393"/>
      <c r="L260" s="393"/>
      <c r="M260" s="382"/>
      <c r="N260" s="393"/>
      <c r="O260" s="393"/>
      <c r="P260" s="396"/>
      <c r="Q260" s="393"/>
      <c r="R260" s="393"/>
      <c r="S260" s="393"/>
      <c r="T260" s="393"/>
      <c r="U260" s="393"/>
      <c r="V260" s="393"/>
      <c r="W260" s="393"/>
      <c r="X260" s="393"/>
      <c r="Y260" s="397"/>
      <c r="Z260" s="393"/>
      <c r="AA260" s="393"/>
      <c r="AB260" s="401"/>
      <c r="AC260" s="401"/>
      <c r="AD260" s="401"/>
      <c r="AE260" s="401"/>
      <c r="AF260" s="401"/>
      <c r="AG260" s="401"/>
      <c r="AH260" s="401"/>
      <c r="AI260" s="401"/>
      <c r="AJ260" s="401"/>
      <c r="AK260" s="401"/>
      <c r="AL260" s="401"/>
    </row>
    <row r="261" spans="1:38" s="154" customFormat="1" ht="20.100000000000001" customHeight="1">
      <c r="A261" s="402"/>
      <c r="B261" s="393"/>
      <c r="C261" s="394"/>
      <c r="D261" s="393"/>
      <c r="E261" s="393"/>
      <c r="F261" s="393"/>
      <c r="G261" s="395"/>
      <c r="H261" s="396"/>
      <c r="I261" s="393"/>
      <c r="J261" s="393"/>
      <c r="K261" s="393"/>
      <c r="L261" s="393"/>
      <c r="M261" s="382"/>
      <c r="N261" s="393"/>
      <c r="O261" s="393"/>
      <c r="P261" s="396"/>
      <c r="Q261" s="393"/>
      <c r="R261" s="393"/>
      <c r="S261" s="393"/>
      <c r="T261" s="393"/>
      <c r="U261" s="393"/>
      <c r="V261" s="393"/>
      <c r="W261" s="393"/>
      <c r="X261" s="393"/>
      <c r="Y261" s="397"/>
      <c r="Z261" s="393"/>
      <c r="AA261" s="393"/>
      <c r="AB261" s="401"/>
      <c r="AC261" s="401"/>
      <c r="AD261" s="401"/>
      <c r="AE261" s="401"/>
      <c r="AF261" s="401"/>
      <c r="AG261" s="401"/>
      <c r="AH261" s="401"/>
      <c r="AI261" s="401"/>
      <c r="AJ261" s="401"/>
      <c r="AK261" s="401"/>
      <c r="AL261" s="401"/>
    </row>
    <row r="262" spans="1:38" s="154" customFormat="1" ht="20.100000000000001" customHeight="1">
      <c r="A262" s="402"/>
      <c r="B262" s="393"/>
      <c r="C262" s="394"/>
      <c r="D262" s="393"/>
      <c r="E262" s="393"/>
      <c r="F262" s="393"/>
      <c r="G262" s="395"/>
      <c r="H262" s="396"/>
      <c r="I262" s="393"/>
      <c r="J262" s="393"/>
      <c r="K262" s="393"/>
      <c r="L262" s="393"/>
      <c r="M262" s="382"/>
      <c r="N262" s="393"/>
      <c r="O262" s="393"/>
      <c r="P262" s="396"/>
      <c r="Q262" s="393"/>
      <c r="R262" s="393"/>
      <c r="S262" s="393"/>
      <c r="T262" s="393"/>
      <c r="U262" s="393"/>
      <c r="V262" s="393"/>
      <c r="W262" s="393"/>
      <c r="X262" s="393"/>
      <c r="Y262" s="397"/>
      <c r="Z262" s="393"/>
      <c r="AA262" s="393"/>
      <c r="AB262" s="401"/>
      <c r="AC262" s="401"/>
      <c r="AD262" s="401"/>
      <c r="AE262" s="401"/>
      <c r="AF262" s="401"/>
      <c r="AG262" s="401"/>
      <c r="AH262" s="401"/>
      <c r="AI262" s="401"/>
      <c r="AJ262" s="401"/>
      <c r="AK262" s="401"/>
      <c r="AL262" s="401"/>
    </row>
    <row r="263" spans="1:38" s="154" customFormat="1" ht="20.100000000000001" customHeight="1">
      <c r="A263" s="402"/>
      <c r="B263" s="393"/>
      <c r="C263" s="394"/>
      <c r="D263" s="393"/>
      <c r="E263" s="393"/>
      <c r="F263" s="393"/>
      <c r="G263" s="395"/>
      <c r="H263" s="396"/>
      <c r="I263" s="393"/>
      <c r="J263" s="393"/>
      <c r="K263" s="393"/>
      <c r="L263" s="393"/>
      <c r="M263" s="382"/>
      <c r="N263" s="393"/>
      <c r="O263" s="393"/>
      <c r="P263" s="396"/>
      <c r="Q263" s="393"/>
      <c r="R263" s="393"/>
      <c r="S263" s="393"/>
      <c r="T263" s="393"/>
      <c r="U263" s="393"/>
      <c r="V263" s="393"/>
      <c r="W263" s="393"/>
      <c r="X263" s="393"/>
      <c r="Y263" s="397"/>
      <c r="Z263" s="393"/>
      <c r="AA263" s="393"/>
      <c r="AB263" s="401"/>
      <c r="AC263" s="401"/>
      <c r="AD263" s="401"/>
      <c r="AE263" s="401"/>
      <c r="AF263" s="401"/>
      <c r="AG263" s="401"/>
      <c r="AH263" s="401"/>
      <c r="AI263" s="401"/>
      <c r="AJ263" s="401"/>
      <c r="AK263" s="401"/>
      <c r="AL263" s="401"/>
    </row>
    <row r="264" spans="1:38" s="154" customFormat="1" ht="20.100000000000001" customHeight="1">
      <c r="A264" s="402"/>
      <c r="B264" s="393"/>
      <c r="C264" s="394"/>
      <c r="D264" s="393"/>
      <c r="E264" s="393"/>
      <c r="F264" s="393"/>
      <c r="G264" s="395"/>
      <c r="H264" s="396"/>
      <c r="I264" s="393"/>
      <c r="J264" s="393"/>
      <c r="K264" s="393"/>
      <c r="L264" s="393"/>
      <c r="M264" s="382"/>
      <c r="N264" s="393"/>
      <c r="O264" s="393"/>
      <c r="P264" s="396"/>
      <c r="Q264" s="393"/>
      <c r="R264" s="393"/>
      <c r="S264" s="393"/>
      <c r="T264" s="393"/>
      <c r="U264" s="393"/>
      <c r="V264" s="393"/>
      <c r="W264" s="393"/>
      <c r="X264" s="393"/>
      <c r="Y264" s="397"/>
      <c r="Z264" s="393"/>
      <c r="AA264" s="393"/>
      <c r="AB264" s="401"/>
      <c r="AC264" s="401"/>
      <c r="AD264" s="401"/>
      <c r="AE264" s="401"/>
      <c r="AF264" s="401"/>
      <c r="AG264" s="401"/>
      <c r="AH264" s="401"/>
      <c r="AI264" s="401"/>
      <c r="AJ264" s="401"/>
      <c r="AK264" s="401"/>
      <c r="AL264" s="401"/>
    </row>
    <row r="265" spans="1:38" s="154" customFormat="1" ht="20.100000000000001" customHeight="1">
      <c r="A265" s="402"/>
      <c r="B265" s="393"/>
      <c r="C265" s="394"/>
      <c r="D265" s="393"/>
      <c r="E265" s="393"/>
      <c r="F265" s="393"/>
      <c r="G265" s="395"/>
      <c r="H265" s="396"/>
      <c r="I265" s="393"/>
      <c r="J265" s="393"/>
      <c r="K265" s="393"/>
      <c r="L265" s="393"/>
      <c r="M265" s="382"/>
      <c r="N265" s="393"/>
      <c r="O265" s="393"/>
      <c r="P265" s="396"/>
      <c r="Q265" s="393"/>
      <c r="R265" s="393"/>
      <c r="S265" s="393"/>
      <c r="T265" s="393"/>
      <c r="U265" s="393"/>
      <c r="V265" s="393"/>
      <c r="W265" s="393"/>
      <c r="X265" s="393"/>
      <c r="Y265" s="397"/>
      <c r="Z265" s="393"/>
      <c r="AA265" s="393"/>
      <c r="AB265" s="401"/>
      <c r="AC265" s="401"/>
      <c r="AD265" s="401"/>
      <c r="AE265" s="401"/>
      <c r="AF265" s="401"/>
      <c r="AG265" s="401"/>
      <c r="AH265" s="401"/>
      <c r="AI265" s="401"/>
      <c r="AJ265" s="401"/>
      <c r="AK265" s="401"/>
      <c r="AL265" s="401"/>
    </row>
    <row r="266" spans="1:38" s="154" customFormat="1" ht="20.100000000000001" customHeight="1">
      <c r="A266" s="402"/>
      <c r="B266" s="393"/>
      <c r="C266" s="394"/>
      <c r="D266" s="393"/>
      <c r="E266" s="393"/>
      <c r="F266" s="393"/>
      <c r="G266" s="395"/>
      <c r="H266" s="396"/>
      <c r="I266" s="393"/>
      <c r="J266" s="393"/>
      <c r="K266" s="393"/>
      <c r="L266" s="393"/>
      <c r="M266" s="382"/>
      <c r="N266" s="393"/>
      <c r="O266" s="393"/>
      <c r="P266" s="396"/>
      <c r="Q266" s="393"/>
      <c r="R266" s="393"/>
      <c r="S266" s="393"/>
      <c r="T266" s="393"/>
      <c r="U266" s="393"/>
      <c r="V266" s="393"/>
      <c r="W266" s="393"/>
      <c r="X266" s="393"/>
      <c r="Y266" s="397"/>
      <c r="Z266" s="393"/>
      <c r="AA266" s="393"/>
      <c r="AB266" s="401"/>
      <c r="AC266" s="401"/>
      <c r="AD266" s="401"/>
      <c r="AE266" s="401"/>
      <c r="AF266" s="401"/>
      <c r="AG266" s="401"/>
      <c r="AH266" s="401"/>
      <c r="AI266" s="401"/>
      <c r="AJ266" s="401"/>
      <c r="AK266" s="401"/>
      <c r="AL266" s="401"/>
    </row>
    <row r="267" spans="1:38" s="154" customFormat="1" ht="20.100000000000001" customHeight="1">
      <c r="A267" s="402"/>
      <c r="B267" s="393"/>
      <c r="C267" s="394"/>
      <c r="D267" s="393"/>
      <c r="E267" s="393"/>
      <c r="F267" s="393"/>
      <c r="G267" s="395"/>
      <c r="H267" s="396"/>
      <c r="I267" s="393"/>
      <c r="J267" s="393"/>
      <c r="K267" s="393"/>
      <c r="L267" s="393"/>
      <c r="M267" s="382"/>
      <c r="N267" s="393"/>
      <c r="O267" s="393"/>
      <c r="P267" s="396"/>
      <c r="Q267" s="393"/>
      <c r="R267" s="393"/>
      <c r="S267" s="393"/>
      <c r="T267" s="393"/>
      <c r="U267" s="393"/>
      <c r="V267" s="393"/>
      <c r="W267" s="393"/>
      <c r="X267" s="393"/>
      <c r="Y267" s="397"/>
      <c r="Z267" s="393"/>
      <c r="AA267" s="393"/>
      <c r="AB267" s="401"/>
      <c r="AC267" s="401"/>
      <c r="AD267" s="401"/>
      <c r="AE267" s="401"/>
      <c r="AF267" s="401"/>
      <c r="AG267" s="401"/>
      <c r="AH267" s="401"/>
      <c r="AI267" s="401"/>
      <c r="AJ267" s="401"/>
      <c r="AK267" s="401"/>
      <c r="AL267" s="401"/>
    </row>
    <row r="268" spans="1:38" s="154" customFormat="1" ht="20.100000000000001" customHeight="1">
      <c r="A268" s="402"/>
      <c r="B268" s="393"/>
      <c r="C268" s="394"/>
      <c r="D268" s="393"/>
      <c r="E268" s="393"/>
      <c r="F268" s="393"/>
      <c r="G268" s="395"/>
      <c r="H268" s="396"/>
      <c r="I268" s="393"/>
      <c r="J268" s="393"/>
      <c r="K268" s="393"/>
      <c r="L268" s="393"/>
      <c r="M268" s="382"/>
      <c r="N268" s="393"/>
      <c r="O268" s="393"/>
      <c r="P268" s="396"/>
      <c r="Q268" s="393"/>
      <c r="R268" s="393"/>
      <c r="S268" s="393"/>
      <c r="T268" s="393"/>
      <c r="U268" s="393"/>
      <c r="V268" s="393"/>
      <c r="W268" s="393"/>
      <c r="X268" s="393"/>
      <c r="Y268" s="397"/>
      <c r="Z268" s="393"/>
      <c r="AA268" s="393"/>
      <c r="AB268" s="401"/>
      <c r="AC268" s="401"/>
      <c r="AD268" s="401"/>
      <c r="AE268" s="401"/>
      <c r="AF268" s="401"/>
      <c r="AG268" s="401"/>
      <c r="AH268" s="401"/>
      <c r="AI268" s="401"/>
      <c r="AJ268" s="401"/>
      <c r="AK268" s="401"/>
      <c r="AL268" s="401"/>
    </row>
    <row r="269" spans="1:38" s="154" customFormat="1" ht="20.100000000000001" customHeight="1">
      <c r="A269" s="402"/>
      <c r="B269" s="393"/>
      <c r="C269" s="394"/>
      <c r="D269" s="393"/>
      <c r="E269" s="393"/>
      <c r="F269" s="393"/>
      <c r="G269" s="395"/>
      <c r="H269" s="396"/>
      <c r="I269" s="393"/>
      <c r="J269" s="393"/>
      <c r="K269" s="393"/>
      <c r="L269" s="393"/>
      <c r="M269" s="382"/>
      <c r="N269" s="393"/>
      <c r="O269" s="393"/>
      <c r="P269" s="396"/>
      <c r="Q269" s="393"/>
      <c r="R269" s="393"/>
      <c r="S269" s="393"/>
      <c r="T269" s="393"/>
      <c r="U269" s="393"/>
      <c r="V269" s="393"/>
      <c r="W269" s="393"/>
      <c r="X269" s="393"/>
      <c r="Y269" s="397"/>
      <c r="Z269" s="393"/>
      <c r="AA269" s="393"/>
      <c r="AB269" s="401"/>
      <c r="AC269" s="401"/>
      <c r="AD269" s="401"/>
      <c r="AE269" s="401"/>
      <c r="AF269" s="401"/>
      <c r="AG269" s="401"/>
      <c r="AH269" s="401"/>
      <c r="AI269" s="401"/>
      <c r="AJ269" s="401"/>
      <c r="AK269" s="401"/>
      <c r="AL269" s="401"/>
    </row>
    <row r="270" spans="1:38" s="154" customFormat="1" ht="20.100000000000001" customHeight="1">
      <c r="A270" s="402"/>
      <c r="B270" s="393"/>
      <c r="C270" s="394"/>
      <c r="D270" s="393"/>
      <c r="E270" s="393"/>
      <c r="F270" s="393"/>
      <c r="G270" s="395"/>
      <c r="H270" s="396"/>
      <c r="I270" s="393"/>
      <c r="J270" s="393"/>
      <c r="K270" s="393"/>
      <c r="L270" s="393"/>
      <c r="M270" s="382"/>
      <c r="N270" s="393"/>
      <c r="O270" s="393"/>
      <c r="P270" s="396"/>
      <c r="Q270" s="393"/>
      <c r="R270" s="393"/>
      <c r="S270" s="393"/>
      <c r="T270" s="393"/>
      <c r="U270" s="393"/>
      <c r="V270" s="393"/>
      <c r="W270" s="393"/>
      <c r="X270" s="393"/>
      <c r="Y270" s="397"/>
      <c r="Z270" s="393"/>
      <c r="AA270" s="393"/>
      <c r="AB270" s="401"/>
      <c r="AC270" s="401"/>
      <c r="AD270" s="401"/>
      <c r="AE270" s="401"/>
      <c r="AF270" s="401"/>
      <c r="AG270" s="401"/>
      <c r="AH270" s="401"/>
      <c r="AI270" s="401"/>
      <c r="AJ270" s="401"/>
      <c r="AK270" s="401"/>
      <c r="AL270" s="401"/>
    </row>
    <row r="271" spans="1:38" s="154" customFormat="1" ht="20.100000000000001" customHeight="1">
      <c r="A271" s="402"/>
      <c r="B271" s="393"/>
      <c r="C271" s="394"/>
      <c r="D271" s="393"/>
      <c r="E271" s="393"/>
      <c r="F271" s="393"/>
      <c r="G271" s="395"/>
      <c r="H271" s="396"/>
      <c r="I271" s="393"/>
      <c r="J271" s="393"/>
      <c r="K271" s="393"/>
      <c r="L271" s="393"/>
      <c r="M271" s="382"/>
      <c r="N271" s="393"/>
      <c r="O271" s="393"/>
      <c r="P271" s="396"/>
      <c r="Q271" s="393"/>
      <c r="R271" s="393"/>
      <c r="S271" s="393"/>
      <c r="T271" s="393"/>
      <c r="U271" s="393"/>
      <c r="V271" s="393"/>
      <c r="W271" s="393"/>
      <c r="X271" s="393"/>
      <c r="Y271" s="397"/>
      <c r="Z271" s="393"/>
      <c r="AA271" s="393"/>
      <c r="AB271" s="401"/>
      <c r="AC271" s="401"/>
      <c r="AD271" s="401"/>
      <c r="AE271" s="401"/>
      <c r="AF271" s="401"/>
      <c r="AG271" s="401"/>
      <c r="AH271" s="401"/>
      <c r="AI271" s="401"/>
      <c r="AJ271" s="401"/>
      <c r="AK271" s="401"/>
      <c r="AL271" s="401"/>
    </row>
    <row r="272" spans="1:38" s="154" customFormat="1" ht="20.100000000000001" customHeight="1">
      <c r="A272" s="402"/>
      <c r="B272" s="393"/>
      <c r="C272" s="394"/>
      <c r="D272" s="393"/>
      <c r="E272" s="393"/>
      <c r="F272" s="393"/>
      <c r="G272" s="395"/>
      <c r="H272" s="396"/>
      <c r="I272" s="393"/>
      <c r="J272" s="393"/>
      <c r="K272" s="393"/>
      <c r="L272" s="393"/>
      <c r="M272" s="382"/>
      <c r="N272" s="393"/>
      <c r="O272" s="393"/>
      <c r="P272" s="396"/>
      <c r="Q272" s="393"/>
      <c r="R272" s="393"/>
      <c r="S272" s="393"/>
      <c r="T272" s="393"/>
      <c r="U272" s="393"/>
      <c r="V272" s="393"/>
      <c r="W272" s="393"/>
      <c r="X272" s="393"/>
      <c r="Y272" s="397"/>
      <c r="Z272" s="393"/>
      <c r="AA272" s="393"/>
      <c r="AB272" s="401"/>
      <c r="AC272" s="401"/>
      <c r="AD272" s="401"/>
      <c r="AE272" s="401"/>
      <c r="AF272" s="401"/>
      <c r="AG272" s="401"/>
      <c r="AH272" s="401"/>
      <c r="AI272" s="401"/>
      <c r="AJ272" s="401"/>
      <c r="AK272" s="401"/>
      <c r="AL272" s="401"/>
    </row>
    <row r="273" spans="1:38" s="154" customFormat="1" ht="20.100000000000001" customHeight="1">
      <c r="A273" s="402"/>
      <c r="B273" s="393"/>
      <c r="C273" s="394"/>
      <c r="D273" s="393"/>
      <c r="E273" s="393"/>
      <c r="F273" s="393"/>
      <c r="G273" s="395"/>
      <c r="H273" s="396"/>
      <c r="I273" s="393"/>
      <c r="J273" s="393"/>
      <c r="K273" s="393"/>
      <c r="L273" s="393"/>
      <c r="M273" s="382"/>
      <c r="N273" s="393"/>
      <c r="O273" s="393"/>
      <c r="P273" s="396"/>
      <c r="Q273" s="393"/>
      <c r="R273" s="393"/>
      <c r="S273" s="393"/>
      <c r="T273" s="393"/>
      <c r="U273" s="393"/>
      <c r="V273" s="393"/>
      <c r="W273" s="393"/>
      <c r="X273" s="393"/>
      <c r="Y273" s="397"/>
      <c r="Z273" s="393"/>
      <c r="AA273" s="393"/>
      <c r="AB273" s="401"/>
      <c r="AC273" s="401"/>
      <c r="AD273" s="401"/>
      <c r="AE273" s="401"/>
      <c r="AF273" s="401"/>
      <c r="AG273" s="401"/>
      <c r="AH273" s="401"/>
      <c r="AI273" s="401"/>
      <c r="AJ273" s="401"/>
      <c r="AK273" s="401"/>
      <c r="AL273" s="401"/>
    </row>
    <row r="274" spans="1:38" s="154" customFormat="1" ht="20.100000000000001" customHeight="1">
      <c r="A274" s="402"/>
      <c r="B274" s="393"/>
      <c r="C274" s="394"/>
      <c r="D274" s="393"/>
      <c r="E274" s="393"/>
      <c r="F274" s="393"/>
      <c r="G274" s="395"/>
      <c r="H274" s="396"/>
      <c r="I274" s="393"/>
      <c r="J274" s="393"/>
      <c r="K274" s="393"/>
      <c r="L274" s="393"/>
      <c r="M274" s="382"/>
      <c r="N274" s="393"/>
      <c r="O274" s="393"/>
      <c r="P274" s="396"/>
      <c r="Q274" s="393"/>
      <c r="R274" s="393"/>
      <c r="S274" s="393"/>
      <c r="T274" s="393"/>
      <c r="U274" s="393"/>
      <c r="V274" s="393"/>
      <c r="W274" s="393"/>
      <c r="X274" s="393"/>
      <c r="Y274" s="397"/>
      <c r="Z274" s="393"/>
      <c r="AA274" s="393"/>
      <c r="AB274" s="401"/>
      <c r="AC274" s="401"/>
      <c r="AD274" s="401"/>
      <c r="AE274" s="401"/>
      <c r="AF274" s="401"/>
      <c r="AG274" s="401"/>
      <c r="AH274" s="401"/>
      <c r="AI274" s="401"/>
      <c r="AJ274" s="401"/>
      <c r="AK274" s="401"/>
      <c r="AL274" s="401"/>
    </row>
    <row r="275" spans="1:38" s="154" customFormat="1" ht="20.100000000000001" customHeight="1">
      <c r="A275" s="402"/>
      <c r="B275" s="393"/>
      <c r="C275" s="394"/>
      <c r="D275" s="393"/>
      <c r="E275" s="393"/>
      <c r="F275" s="393"/>
      <c r="G275" s="395"/>
      <c r="H275" s="396"/>
      <c r="I275" s="393"/>
      <c r="J275" s="393"/>
      <c r="K275" s="393"/>
      <c r="L275" s="393"/>
      <c r="M275" s="382"/>
      <c r="N275" s="393"/>
      <c r="O275" s="393"/>
      <c r="P275" s="396"/>
      <c r="Q275" s="393"/>
      <c r="R275" s="393"/>
      <c r="S275" s="393"/>
      <c r="T275" s="393"/>
      <c r="U275" s="393"/>
      <c r="V275" s="393"/>
      <c r="W275" s="393"/>
      <c r="X275" s="393"/>
      <c r="Y275" s="397"/>
      <c r="Z275" s="393"/>
      <c r="AA275" s="393"/>
      <c r="AB275" s="401"/>
      <c r="AC275" s="401"/>
      <c r="AD275" s="401"/>
      <c r="AE275" s="401"/>
      <c r="AF275" s="401"/>
      <c r="AG275" s="401"/>
      <c r="AH275" s="401"/>
      <c r="AI275" s="401"/>
      <c r="AJ275" s="401"/>
      <c r="AK275" s="401"/>
      <c r="AL275" s="401"/>
    </row>
    <row r="276" spans="1:38" s="154" customFormat="1" ht="20.100000000000001" customHeight="1">
      <c r="A276" s="402"/>
      <c r="B276" s="393"/>
      <c r="C276" s="394"/>
      <c r="D276" s="393"/>
      <c r="E276" s="393"/>
      <c r="F276" s="393"/>
      <c r="G276" s="395"/>
      <c r="H276" s="396"/>
      <c r="I276" s="393"/>
      <c r="J276" s="393"/>
      <c r="K276" s="393"/>
      <c r="L276" s="393"/>
      <c r="M276" s="382"/>
      <c r="N276" s="393"/>
      <c r="O276" s="393"/>
      <c r="P276" s="396"/>
      <c r="Q276" s="393"/>
      <c r="R276" s="393"/>
      <c r="S276" s="393"/>
      <c r="T276" s="393"/>
      <c r="U276" s="393"/>
      <c r="V276" s="393"/>
      <c r="W276" s="393"/>
      <c r="X276" s="393"/>
      <c r="Y276" s="397"/>
      <c r="Z276" s="393"/>
      <c r="AA276" s="393"/>
      <c r="AB276" s="401"/>
      <c r="AC276" s="401"/>
      <c r="AD276" s="401"/>
      <c r="AE276" s="401"/>
      <c r="AF276" s="401"/>
      <c r="AG276" s="401"/>
      <c r="AH276" s="401"/>
      <c r="AI276" s="401"/>
      <c r="AJ276" s="401"/>
      <c r="AK276" s="401"/>
      <c r="AL276" s="401"/>
    </row>
    <row r="277" spans="1:38" s="154" customFormat="1" ht="20.100000000000001" customHeight="1">
      <c r="A277" s="402"/>
      <c r="B277" s="393"/>
      <c r="C277" s="394"/>
      <c r="D277" s="393"/>
      <c r="E277" s="393"/>
      <c r="F277" s="393"/>
      <c r="G277" s="395"/>
      <c r="H277" s="396"/>
      <c r="I277" s="393"/>
      <c r="J277" s="393"/>
      <c r="K277" s="393"/>
      <c r="L277" s="393"/>
      <c r="M277" s="382"/>
      <c r="N277" s="393"/>
      <c r="O277" s="393"/>
      <c r="P277" s="396"/>
      <c r="Q277" s="393"/>
      <c r="R277" s="393"/>
      <c r="S277" s="393"/>
      <c r="T277" s="393"/>
      <c r="U277" s="393"/>
      <c r="V277" s="393"/>
      <c r="W277" s="393"/>
      <c r="X277" s="393"/>
      <c r="Y277" s="397"/>
      <c r="Z277" s="393"/>
      <c r="AA277" s="393"/>
      <c r="AB277" s="401"/>
      <c r="AC277" s="401"/>
      <c r="AD277" s="401"/>
      <c r="AE277" s="401"/>
      <c r="AF277" s="401"/>
      <c r="AG277" s="401"/>
      <c r="AH277" s="401"/>
      <c r="AI277" s="401"/>
      <c r="AJ277" s="401"/>
      <c r="AK277" s="401"/>
      <c r="AL277" s="401"/>
    </row>
    <row r="278" spans="1:38" s="154" customFormat="1" ht="20.100000000000001" customHeight="1">
      <c r="A278" s="402"/>
      <c r="B278" s="393"/>
      <c r="C278" s="394"/>
      <c r="D278" s="393"/>
      <c r="E278" s="393"/>
      <c r="F278" s="393"/>
      <c r="G278" s="395"/>
      <c r="H278" s="396"/>
      <c r="I278" s="393"/>
      <c r="J278" s="393"/>
      <c r="K278" s="393"/>
      <c r="L278" s="393"/>
      <c r="M278" s="382"/>
      <c r="N278" s="393"/>
      <c r="O278" s="393"/>
      <c r="P278" s="396"/>
      <c r="Q278" s="393"/>
      <c r="R278" s="393"/>
      <c r="S278" s="393"/>
      <c r="T278" s="393"/>
      <c r="U278" s="393"/>
      <c r="V278" s="393"/>
      <c r="W278" s="393"/>
      <c r="X278" s="393"/>
      <c r="Y278" s="397"/>
      <c r="Z278" s="393"/>
      <c r="AA278" s="393"/>
      <c r="AB278" s="401"/>
      <c r="AC278" s="401"/>
      <c r="AD278" s="401"/>
      <c r="AE278" s="401"/>
      <c r="AF278" s="401"/>
      <c r="AG278" s="401"/>
      <c r="AH278" s="401"/>
      <c r="AI278" s="401"/>
      <c r="AJ278" s="401"/>
      <c r="AK278" s="401"/>
      <c r="AL278" s="401"/>
    </row>
    <row r="279" spans="1:38" s="154" customFormat="1" ht="20.100000000000001" customHeight="1">
      <c r="A279" s="402"/>
      <c r="B279" s="393"/>
      <c r="C279" s="394"/>
      <c r="D279" s="393"/>
      <c r="E279" s="393"/>
      <c r="F279" s="393"/>
      <c r="G279" s="395"/>
      <c r="H279" s="396"/>
      <c r="I279" s="393"/>
      <c r="J279" s="393"/>
      <c r="K279" s="393"/>
      <c r="L279" s="393"/>
      <c r="M279" s="382"/>
      <c r="N279" s="393"/>
      <c r="O279" s="393"/>
      <c r="P279" s="396"/>
      <c r="Q279" s="393"/>
      <c r="R279" s="393"/>
      <c r="S279" s="393"/>
      <c r="T279" s="393"/>
      <c r="U279" s="393"/>
      <c r="V279" s="393"/>
      <c r="W279" s="393"/>
      <c r="X279" s="393"/>
      <c r="Y279" s="397"/>
      <c r="Z279" s="393"/>
      <c r="AA279" s="393"/>
      <c r="AB279" s="401"/>
      <c r="AC279" s="401"/>
      <c r="AD279" s="401"/>
      <c r="AE279" s="401"/>
      <c r="AF279" s="401"/>
      <c r="AG279" s="401"/>
      <c r="AH279" s="401"/>
      <c r="AI279" s="401"/>
      <c r="AJ279" s="401"/>
      <c r="AK279" s="401"/>
      <c r="AL279" s="401"/>
    </row>
    <row r="280" spans="1:38" s="154" customFormat="1" ht="20.100000000000001" customHeight="1">
      <c r="A280" s="402"/>
      <c r="B280" s="393"/>
      <c r="C280" s="394"/>
      <c r="D280" s="393"/>
      <c r="E280" s="393"/>
      <c r="F280" s="393"/>
      <c r="G280" s="395"/>
      <c r="H280" s="396"/>
      <c r="I280" s="393"/>
      <c r="J280" s="393"/>
      <c r="K280" s="393"/>
      <c r="L280" s="393"/>
      <c r="M280" s="382"/>
      <c r="N280" s="393"/>
      <c r="O280" s="393"/>
      <c r="P280" s="396"/>
      <c r="Q280" s="393"/>
      <c r="R280" s="393"/>
      <c r="S280" s="393"/>
      <c r="T280" s="393"/>
      <c r="U280" s="393"/>
      <c r="V280" s="393"/>
      <c r="W280" s="393"/>
      <c r="X280" s="393"/>
      <c r="Y280" s="397"/>
      <c r="Z280" s="393"/>
      <c r="AA280" s="393"/>
      <c r="AB280" s="401"/>
      <c r="AC280" s="401"/>
      <c r="AD280" s="401"/>
      <c r="AE280" s="401"/>
      <c r="AF280" s="401"/>
      <c r="AG280" s="401"/>
      <c r="AH280" s="401"/>
      <c r="AI280" s="401"/>
      <c r="AJ280" s="401"/>
      <c r="AK280" s="401"/>
      <c r="AL280" s="401"/>
    </row>
    <row r="281" spans="1:38" s="154" customFormat="1" ht="20.100000000000001" customHeight="1">
      <c r="A281" s="402"/>
      <c r="B281" s="393"/>
      <c r="C281" s="394"/>
      <c r="D281" s="393"/>
      <c r="E281" s="393"/>
      <c r="F281" s="393"/>
      <c r="G281" s="395"/>
      <c r="H281" s="396"/>
      <c r="I281" s="393"/>
      <c r="J281" s="393"/>
      <c r="K281" s="393"/>
      <c r="L281" s="393"/>
      <c r="M281" s="382"/>
      <c r="N281" s="393"/>
      <c r="O281" s="393"/>
      <c r="P281" s="396"/>
      <c r="Q281" s="393"/>
      <c r="R281" s="393"/>
      <c r="S281" s="393"/>
      <c r="T281" s="393"/>
      <c r="U281" s="393"/>
      <c r="V281" s="393"/>
      <c r="W281" s="393"/>
      <c r="X281" s="393"/>
      <c r="Y281" s="397"/>
      <c r="Z281" s="393"/>
      <c r="AA281" s="393"/>
      <c r="AB281" s="401"/>
      <c r="AC281" s="401"/>
      <c r="AD281" s="401"/>
      <c r="AE281" s="401"/>
      <c r="AF281" s="401"/>
      <c r="AG281" s="401"/>
      <c r="AH281" s="401"/>
      <c r="AI281" s="401"/>
      <c r="AJ281" s="401"/>
      <c r="AK281" s="401"/>
      <c r="AL281" s="401"/>
    </row>
    <row r="282" spans="1:38" s="154" customFormat="1" ht="20.100000000000001" customHeight="1">
      <c r="A282" s="402"/>
      <c r="B282" s="393"/>
      <c r="C282" s="394"/>
      <c r="D282" s="393"/>
      <c r="E282" s="393"/>
      <c r="F282" s="393"/>
      <c r="G282" s="395"/>
      <c r="H282" s="396"/>
      <c r="I282" s="393"/>
      <c r="J282" s="393"/>
      <c r="K282" s="393"/>
      <c r="L282" s="393"/>
      <c r="M282" s="382"/>
      <c r="N282" s="393"/>
      <c r="O282" s="393"/>
      <c r="P282" s="396"/>
      <c r="Q282" s="393"/>
      <c r="R282" s="393"/>
      <c r="S282" s="393"/>
      <c r="T282" s="393"/>
      <c r="U282" s="393"/>
      <c r="V282" s="393"/>
      <c r="W282" s="393"/>
      <c r="X282" s="393"/>
      <c r="Y282" s="397"/>
      <c r="Z282" s="393"/>
      <c r="AA282" s="393"/>
      <c r="AB282" s="401"/>
      <c r="AC282" s="401"/>
      <c r="AD282" s="401"/>
      <c r="AE282" s="401"/>
      <c r="AF282" s="401"/>
      <c r="AG282" s="401"/>
      <c r="AH282" s="401"/>
      <c r="AI282" s="401"/>
      <c r="AJ282" s="401"/>
      <c r="AK282" s="401"/>
      <c r="AL282" s="401"/>
    </row>
    <row r="283" spans="1:38" s="154" customFormat="1" ht="20.100000000000001" customHeight="1">
      <c r="A283" s="402"/>
      <c r="B283" s="393"/>
      <c r="C283" s="394"/>
      <c r="D283" s="393"/>
      <c r="E283" s="393"/>
      <c r="F283" s="393"/>
      <c r="G283" s="395"/>
      <c r="H283" s="396"/>
      <c r="I283" s="393"/>
      <c r="J283" s="393"/>
      <c r="K283" s="393"/>
      <c r="L283" s="393"/>
      <c r="M283" s="382"/>
      <c r="N283" s="393"/>
      <c r="O283" s="393"/>
      <c r="P283" s="396"/>
      <c r="Q283" s="393"/>
      <c r="R283" s="393"/>
      <c r="S283" s="393"/>
      <c r="T283" s="393"/>
      <c r="U283" s="393"/>
      <c r="V283" s="393"/>
      <c r="W283" s="393"/>
      <c r="X283" s="393"/>
      <c r="Y283" s="397"/>
      <c r="Z283" s="393"/>
      <c r="AA283" s="393"/>
      <c r="AB283" s="401"/>
      <c r="AC283" s="401"/>
      <c r="AD283" s="401"/>
      <c r="AE283" s="401"/>
      <c r="AF283" s="401"/>
      <c r="AG283" s="401"/>
      <c r="AH283" s="401"/>
      <c r="AI283" s="401"/>
      <c r="AJ283" s="401"/>
      <c r="AK283" s="401"/>
      <c r="AL283" s="401"/>
    </row>
    <row r="284" spans="1:38" s="154" customFormat="1" ht="20.100000000000001" customHeight="1">
      <c r="A284" s="402"/>
      <c r="B284" s="393"/>
      <c r="C284" s="394"/>
      <c r="D284" s="393"/>
      <c r="E284" s="393"/>
      <c r="F284" s="393"/>
      <c r="G284" s="395"/>
      <c r="H284" s="396"/>
      <c r="I284" s="393"/>
      <c r="J284" s="393"/>
      <c r="K284" s="393"/>
      <c r="L284" s="393"/>
      <c r="M284" s="382"/>
      <c r="N284" s="393"/>
      <c r="O284" s="393"/>
      <c r="P284" s="396"/>
      <c r="Q284" s="393"/>
      <c r="R284" s="393"/>
      <c r="S284" s="393"/>
      <c r="T284" s="393"/>
      <c r="U284" s="393"/>
      <c r="V284" s="393"/>
      <c r="W284" s="393"/>
      <c r="X284" s="393"/>
      <c r="Y284" s="397"/>
      <c r="Z284" s="393"/>
      <c r="AA284" s="393"/>
      <c r="AB284" s="401"/>
      <c r="AC284" s="401"/>
      <c r="AD284" s="401"/>
      <c r="AE284" s="401"/>
      <c r="AF284" s="401"/>
      <c r="AG284" s="401"/>
      <c r="AH284" s="401"/>
      <c r="AI284" s="401"/>
      <c r="AJ284" s="401"/>
      <c r="AK284" s="401"/>
      <c r="AL284" s="401"/>
    </row>
    <row r="285" spans="1:38" s="154" customFormat="1" ht="20.100000000000001" customHeight="1">
      <c r="A285" s="402"/>
      <c r="B285" s="393"/>
      <c r="C285" s="394"/>
      <c r="D285" s="393"/>
      <c r="E285" s="393"/>
      <c r="F285" s="393"/>
      <c r="G285" s="395"/>
      <c r="H285" s="396"/>
      <c r="I285" s="393"/>
      <c r="J285" s="393"/>
      <c r="K285" s="393"/>
      <c r="L285" s="393"/>
      <c r="M285" s="382"/>
      <c r="N285" s="393"/>
      <c r="O285" s="393"/>
      <c r="P285" s="396"/>
      <c r="Q285" s="393"/>
      <c r="R285" s="393"/>
      <c r="S285" s="393"/>
      <c r="T285" s="393"/>
      <c r="U285" s="393"/>
      <c r="V285" s="393"/>
      <c r="W285" s="393"/>
      <c r="X285" s="393"/>
      <c r="Y285" s="397"/>
      <c r="Z285" s="393"/>
      <c r="AA285" s="393"/>
      <c r="AB285" s="401"/>
      <c r="AC285" s="401"/>
      <c r="AD285" s="401"/>
      <c r="AE285" s="401"/>
      <c r="AF285" s="401"/>
      <c r="AG285" s="401"/>
      <c r="AH285" s="401"/>
      <c r="AI285" s="401"/>
      <c r="AJ285" s="401"/>
      <c r="AK285" s="401"/>
      <c r="AL285" s="401"/>
    </row>
    <row r="286" spans="1:38" s="154" customFormat="1" ht="20.100000000000001" customHeight="1">
      <c r="A286" s="402"/>
      <c r="B286" s="393"/>
      <c r="C286" s="394"/>
      <c r="D286" s="393"/>
      <c r="E286" s="393"/>
      <c r="F286" s="393"/>
      <c r="G286" s="395"/>
      <c r="H286" s="396"/>
      <c r="I286" s="393"/>
      <c r="J286" s="393"/>
      <c r="K286" s="393"/>
      <c r="L286" s="393"/>
      <c r="M286" s="382"/>
      <c r="N286" s="393"/>
      <c r="O286" s="393"/>
      <c r="P286" s="396"/>
      <c r="Q286" s="393"/>
      <c r="R286" s="393"/>
      <c r="S286" s="393"/>
      <c r="T286" s="393"/>
      <c r="U286" s="393"/>
      <c r="V286" s="393"/>
      <c r="W286" s="393"/>
      <c r="X286" s="393"/>
      <c r="Y286" s="397"/>
      <c r="Z286" s="393"/>
      <c r="AA286" s="393"/>
      <c r="AB286" s="401"/>
      <c r="AC286" s="401"/>
      <c r="AD286" s="401"/>
      <c r="AE286" s="401"/>
      <c r="AF286" s="401"/>
      <c r="AG286" s="401"/>
      <c r="AH286" s="401"/>
      <c r="AI286" s="401"/>
      <c r="AJ286" s="401"/>
      <c r="AK286" s="401"/>
      <c r="AL286" s="401"/>
    </row>
    <row r="287" spans="1:38" s="154" customFormat="1" ht="20.100000000000001" customHeight="1">
      <c r="A287" s="402"/>
      <c r="B287" s="393"/>
      <c r="C287" s="394"/>
      <c r="D287" s="393"/>
      <c r="E287" s="393"/>
      <c r="F287" s="393"/>
      <c r="G287" s="395"/>
      <c r="H287" s="396"/>
      <c r="I287" s="393"/>
      <c r="J287" s="393"/>
      <c r="K287" s="393"/>
      <c r="L287" s="393"/>
      <c r="M287" s="382"/>
      <c r="N287" s="393"/>
      <c r="O287" s="393"/>
      <c r="P287" s="396"/>
      <c r="Q287" s="393"/>
      <c r="R287" s="393"/>
      <c r="S287" s="393"/>
      <c r="T287" s="393"/>
      <c r="U287" s="393"/>
      <c r="V287" s="393"/>
      <c r="W287" s="393"/>
      <c r="X287" s="393"/>
      <c r="Y287" s="397"/>
      <c r="Z287" s="393"/>
      <c r="AA287" s="393"/>
      <c r="AB287" s="401"/>
      <c r="AC287" s="401"/>
      <c r="AD287" s="401"/>
      <c r="AE287" s="401"/>
      <c r="AF287" s="401"/>
      <c r="AG287" s="401"/>
      <c r="AH287" s="401"/>
      <c r="AI287" s="401"/>
      <c r="AJ287" s="401"/>
      <c r="AK287" s="401"/>
      <c r="AL287" s="401"/>
    </row>
    <row r="288" spans="1:38" s="154" customFormat="1" ht="20.100000000000001" customHeight="1">
      <c r="A288" s="402"/>
      <c r="B288" s="393"/>
      <c r="C288" s="394"/>
      <c r="D288" s="393"/>
      <c r="E288" s="393"/>
      <c r="F288" s="393"/>
      <c r="G288" s="395"/>
      <c r="H288" s="396"/>
      <c r="I288" s="393"/>
      <c r="J288" s="393"/>
      <c r="K288" s="393"/>
      <c r="L288" s="393"/>
      <c r="M288" s="382"/>
      <c r="N288" s="393"/>
      <c r="O288" s="393"/>
      <c r="P288" s="396"/>
      <c r="Q288" s="393"/>
      <c r="R288" s="393"/>
      <c r="S288" s="393"/>
      <c r="T288" s="393"/>
      <c r="U288" s="393"/>
      <c r="V288" s="393"/>
      <c r="W288" s="393"/>
      <c r="X288" s="393"/>
      <c r="Y288" s="397"/>
      <c r="Z288" s="393"/>
      <c r="AA288" s="393"/>
      <c r="AB288" s="401"/>
      <c r="AC288" s="401"/>
      <c r="AD288" s="401"/>
      <c r="AE288" s="401"/>
      <c r="AF288" s="401"/>
      <c r="AG288" s="401"/>
      <c r="AH288" s="401"/>
      <c r="AI288" s="401"/>
      <c r="AJ288" s="401"/>
      <c r="AK288" s="401"/>
      <c r="AL288" s="401"/>
    </row>
    <row r="289" spans="1:38" s="154" customFormat="1" ht="20.100000000000001" customHeight="1">
      <c r="A289" s="402"/>
      <c r="B289" s="393"/>
      <c r="C289" s="394"/>
      <c r="D289" s="393"/>
      <c r="E289" s="393"/>
      <c r="F289" s="393"/>
      <c r="G289" s="395"/>
      <c r="H289" s="396"/>
      <c r="I289" s="393"/>
      <c r="J289" s="393"/>
      <c r="K289" s="393"/>
      <c r="L289" s="393"/>
      <c r="M289" s="382"/>
      <c r="N289" s="393"/>
      <c r="O289" s="393"/>
      <c r="P289" s="396"/>
      <c r="Q289" s="393"/>
      <c r="R289" s="393"/>
      <c r="S289" s="393"/>
      <c r="T289" s="393"/>
      <c r="U289" s="393"/>
      <c r="V289" s="393"/>
      <c r="W289" s="393"/>
      <c r="X289" s="393"/>
      <c r="Y289" s="397"/>
      <c r="Z289" s="393"/>
      <c r="AA289" s="393"/>
      <c r="AB289" s="401"/>
      <c r="AC289" s="401"/>
      <c r="AD289" s="401"/>
      <c r="AE289" s="401"/>
      <c r="AF289" s="401"/>
      <c r="AG289" s="401"/>
      <c r="AH289" s="401"/>
      <c r="AI289" s="401"/>
      <c r="AJ289" s="401"/>
      <c r="AK289" s="401"/>
      <c r="AL289" s="401"/>
    </row>
    <row r="290" spans="1:38" s="154" customFormat="1" ht="20.100000000000001" customHeight="1">
      <c r="A290" s="402"/>
      <c r="B290" s="393"/>
      <c r="C290" s="394"/>
      <c r="D290" s="393"/>
      <c r="E290" s="393"/>
      <c r="F290" s="393"/>
      <c r="G290" s="395"/>
      <c r="H290" s="396"/>
      <c r="I290" s="393"/>
      <c r="J290" s="393"/>
      <c r="K290" s="393"/>
      <c r="L290" s="393"/>
      <c r="M290" s="382"/>
      <c r="N290" s="393"/>
      <c r="O290" s="393"/>
      <c r="P290" s="396"/>
      <c r="Q290" s="393"/>
      <c r="R290" s="393"/>
      <c r="S290" s="393"/>
      <c r="T290" s="393"/>
      <c r="U290" s="393"/>
      <c r="V290" s="393"/>
      <c r="W290" s="393"/>
      <c r="X290" s="393"/>
      <c r="Y290" s="397"/>
      <c r="Z290" s="393"/>
      <c r="AA290" s="393"/>
      <c r="AB290" s="401"/>
      <c r="AC290" s="401"/>
      <c r="AD290" s="401"/>
      <c r="AE290" s="401"/>
      <c r="AF290" s="401"/>
      <c r="AG290" s="401"/>
      <c r="AH290" s="401"/>
      <c r="AI290" s="401"/>
      <c r="AJ290" s="401"/>
      <c r="AK290" s="401"/>
      <c r="AL290" s="401"/>
    </row>
    <row r="291" spans="1:38" s="154" customFormat="1" ht="20.100000000000001" customHeight="1">
      <c r="A291" s="402"/>
      <c r="B291" s="393"/>
      <c r="C291" s="394"/>
      <c r="D291" s="393"/>
      <c r="E291" s="393"/>
      <c r="F291" s="393"/>
      <c r="G291" s="395"/>
      <c r="H291" s="396"/>
      <c r="I291" s="393"/>
      <c r="J291" s="393"/>
      <c r="K291" s="393"/>
      <c r="L291" s="393"/>
      <c r="M291" s="382"/>
      <c r="N291" s="393"/>
      <c r="O291" s="393"/>
      <c r="P291" s="396"/>
      <c r="Q291" s="393"/>
      <c r="R291" s="393"/>
      <c r="S291" s="393"/>
      <c r="T291" s="393"/>
      <c r="U291" s="393"/>
      <c r="V291" s="393"/>
      <c r="W291" s="393"/>
      <c r="X291" s="393"/>
      <c r="Y291" s="397"/>
      <c r="Z291" s="393"/>
      <c r="AA291" s="393"/>
      <c r="AB291" s="401"/>
      <c r="AC291" s="401"/>
      <c r="AD291" s="401"/>
      <c r="AE291" s="401"/>
      <c r="AF291" s="401"/>
      <c r="AG291" s="401"/>
      <c r="AH291" s="401"/>
      <c r="AI291" s="401"/>
      <c r="AJ291" s="401"/>
      <c r="AK291" s="401"/>
      <c r="AL291" s="401"/>
    </row>
    <row r="292" spans="1:38" s="154" customFormat="1" ht="20.100000000000001" customHeight="1">
      <c r="A292" s="402"/>
      <c r="B292" s="393"/>
      <c r="C292" s="394"/>
      <c r="D292" s="393"/>
      <c r="E292" s="393"/>
      <c r="F292" s="393"/>
      <c r="G292" s="395"/>
      <c r="H292" s="396"/>
      <c r="I292" s="393"/>
      <c r="J292" s="393"/>
      <c r="K292" s="393"/>
      <c r="L292" s="393"/>
      <c r="M292" s="382"/>
      <c r="N292" s="393"/>
      <c r="O292" s="393"/>
      <c r="P292" s="396"/>
      <c r="Q292" s="393"/>
      <c r="R292" s="393"/>
      <c r="S292" s="393"/>
      <c r="T292" s="393"/>
      <c r="U292" s="393"/>
      <c r="V292" s="393"/>
      <c r="W292" s="393"/>
      <c r="X292" s="393"/>
      <c r="Y292" s="397"/>
      <c r="Z292" s="393"/>
      <c r="AA292" s="393"/>
      <c r="AB292" s="401"/>
      <c r="AC292" s="401"/>
      <c r="AD292" s="401"/>
      <c r="AE292" s="401"/>
      <c r="AF292" s="401"/>
      <c r="AG292" s="401"/>
      <c r="AH292" s="401"/>
      <c r="AI292" s="401"/>
      <c r="AJ292" s="401"/>
      <c r="AK292" s="401"/>
      <c r="AL292" s="401"/>
    </row>
    <row r="293" spans="1:38" s="154" customFormat="1" ht="20.100000000000001" customHeight="1">
      <c r="A293" s="402"/>
      <c r="B293" s="393"/>
      <c r="C293" s="394"/>
      <c r="D293" s="393"/>
      <c r="E293" s="393"/>
      <c r="F293" s="393"/>
      <c r="G293" s="395"/>
      <c r="H293" s="396"/>
      <c r="I293" s="393"/>
      <c r="J293" s="393"/>
      <c r="K293" s="393"/>
      <c r="L293" s="393"/>
      <c r="M293" s="382"/>
      <c r="N293" s="393"/>
      <c r="O293" s="393"/>
      <c r="P293" s="396"/>
      <c r="Q293" s="393"/>
      <c r="R293" s="393"/>
      <c r="S293" s="393"/>
      <c r="T293" s="393"/>
      <c r="U293" s="393"/>
      <c r="V293" s="393"/>
      <c r="W293" s="393"/>
      <c r="X293" s="393"/>
      <c r="Y293" s="397"/>
      <c r="Z293" s="393"/>
      <c r="AA293" s="393"/>
      <c r="AB293" s="401"/>
      <c r="AC293" s="401"/>
      <c r="AD293" s="401"/>
      <c r="AE293" s="401"/>
      <c r="AF293" s="401"/>
      <c r="AG293" s="401"/>
      <c r="AH293" s="401"/>
      <c r="AI293" s="401"/>
      <c r="AJ293" s="401"/>
      <c r="AK293" s="401"/>
      <c r="AL293" s="401"/>
    </row>
    <row r="294" spans="1:38" s="154" customFormat="1" ht="20.100000000000001" customHeight="1">
      <c r="A294" s="402"/>
      <c r="B294" s="393"/>
      <c r="C294" s="394"/>
      <c r="D294" s="393"/>
      <c r="E294" s="393"/>
      <c r="F294" s="393"/>
      <c r="G294" s="395"/>
      <c r="H294" s="396"/>
      <c r="I294" s="393"/>
      <c r="J294" s="393"/>
      <c r="K294" s="393"/>
      <c r="L294" s="393"/>
      <c r="M294" s="382"/>
      <c r="N294" s="393"/>
      <c r="O294" s="393"/>
      <c r="P294" s="396"/>
      <c r="Q294" s="393"/>
      <c r="R294" s="393"/>
      <c r="S294" s="393"/>
      <c r="T294" s="393"/>
      <c r="U294" s="393"/>
      <c r="V294" s="393"/>
      <c r="W294" s="393"/>
      <c r="X294" s="393"/>
      <c r="Y294" s="397"/>
      <c r="Z294" s="393"/>
      <c r="AA294" s="393"/>
      <c r="AB294" s="401"/>
      <c r="AC294" s="401"/>
      <c r="AD294" s="401"/>
      <c r="AE294" s="401"/>
      <c r="AF294" s="401"/>
      <c r="AG294" s="401"/>
      <c r="AH294" s="401"/>
      <c r="AI294" s="401"/>
      <c r="AJ294" s="401"/>
      <c r="AK294" s="401"/>
      <c r="AL294" s="401"/>
    </row>
    <row r="295" spans="1:38" s="154" customFormat="1" ht="20.100000000000001" customHeight="1">
      <c r="A295" s="402"/>
      <c r="B295" s="393"/>
      <c r="C295" s="394"/>
      <c r="D295" s="393"/>
      <c r="E295" s="393"/>
      <c r="F295" s="393"/>
      <c r="G295" s="395"/>
      <c r="H295" s="396"/>
      <c r="I295" s="393"/>
      <c r="J295" s="393"/>
      <c r="K295" s="393"/>
      <c r="L295" s="393"/>
      <c r="M295" s="382"/>
      <c r="N295" s="393"/>
      <c r="O295" s="393"/>
      <c r="P295" s="396"/>
      <c r="Q295" s="393"/>
      <c r="R295" s="393"/>
      <c r="S295" s="393"/>
      <c r="T295" s="393"/>
      <c r="U295" s="393"/>
      <c r="V295" s="393"/>
      <c r="W295" s="393"/>
      <c r="X295" s="393"/>
      <c r="Y295" s="397"/>
      <c r="Z295" s="393"/>
      <c r="AA295" s="393"/>
      <c r="AB295" s="401"/>
      <c r="AC295" s="401"/>
      <c r="AD295" s="401"/>
      <c r="AE295" s="401"/>
      <c r="AF295" s="401"/>
      <c r="AG295" s="401"/>
      <c r="AH295" s="401"/>
      <c r="AI295" s="401"/>
      <c r="AJ295" s="401"/>
      <c r="AK295" s="401"/>
      <c r="AL295" s="401"/>
    </row>
    <row r="296" spans="1:38" s="154" customFormat="1" ht="20.100000000000001" customHeight="1">
      <c r="A296" s="402"/>
      <c r="B296" s="393"/>
      <c r="C296" s="394"/>
      <c r="D296" s="393"/>
      <c r="E296" s="393"/>
      <c r="F296" s="393"/>
      <c r="G296" s="395"/>
      <c r="H296" s="396"/>
      <c r="I296" s="393"/>
      <c r="J296" s="393"/>
      <c r="K296" s="393"/>
      <c r="L296" s="393"/>
      <c r="M296" s="382"/>
      <c r="N296" s="393"/>
      <c r="O296" s="393"/>
      <c r="P296" s="396"/>
      <c r="Q296" s="393"/>
      <c r="R296" s="393"/>
      <c r="S296" s="393"/>
      <c r="T296" s="393"/>
      <c r="U296" s="393"/>
      <c r="V296" s="393"/>
      <c r="W296" s="393"/>
      <c r="X296" s="393"/>
      <c r="Y296" s="397"/>
      <c r="Z296" s="393"/>
      <c r="AA296" s="393"/>
      <c r="AB296" s="401"/>
      <c r="AC296" s="401"/>
      <c r="AD296" s="401"/>
      <c r="AE296" s="401"/>
      <c r="AF296" s="401"/>
      <c r="AG296" s="401"/>
      <c r="AH296" s="401"/>
      <c r="AI296" s="401"/>
      <c r="AJ296" s="401"/>
      <c r="AK296" s="401"/>
      <c r="AL296" s="401"/>
    </row>
    <row r="297" spans="1:38" s="154" customFormat="1" ht="20.100000000000001" customHeight="1">
      <c r="A297" s="402"/>
      <c r="B297" s="393"/>
      <c r="C297" s="394"/>
      <c r="D297" s="393"/>
      <c r="E297" s="393"/>
      <c r="F297" s="393"/>
      <c r="G297" s="395"/>
      <c r="H297" s="396"/>
      <c r="I297" s="393"/>
      <c r="J297" s="393"/>
      <c r="K297" s="393"/>
      <c r="L297" s="393"/>
      <c r="M297" s="382"/>
      <c r="N297" s="393"/>
      <c r="O297" s="393"/>
      <c r="P297" s="396"/>
      <c r="Q297" s="393"/>
      <c r="R297" s="393"/>
      <c r="S297" s="393"/>
      <c r="T297" s="393"/>
      <c r="U297" s="393"/>
      <c r="V297" s="393"/>
      <c r="W297" s="393"/>
      <c r="X297" s="393"/>
      <c r="Y297" s="397"/>
      <c r="Z297" s="393"/>
      <c r="AA297" s="393"/>
      <c r="AB297" s="401"/>
      <c r="AC297" s="401"/>
      <c r="AD297" s="401"/>
      <c r="AE297" s="401"/>
      <c r="AF297" s="401"/>
      <c r="AG297" s="401"/>
      <c r="AH297" s="401"/>
      <c r="AI297" s="401"/>
      <c r="AJ297" s="401"/>
      <c r="AK297" s="401"/>
      <c r="AL297" s="401"/>
    </row>
    <row r="298" spans="1:38" s="154" customFormat="1" ht="20.100000000000001" customHeight="1">
      <c r="A298" s="402"/>
      <c r="B298" s="393"/>
      <c r="C298" s="394"/>
      <c r="D298" s="393"/>
      <c r="E298" s="393"/>
      <c r="F298" s="393"/>
      <c r="G298" s="395"/>
      <c r="H298" s="396"/>
      <c r="I298" s="393"/>
      <c r="J298" s="393"/>
      <c r="K298" s="393"/>
      <c r="L298" s="393"/>
      <c r="M298" s="382"/>
      <c r="N298" s="393"/>
      <c r="O298" s="393"/>
      <c r="P298" s="396"/>
      <c r="Q298" s="393"/>
      <c r="R298" s="393"/>
      <c r="S298" s="393"/>
      <c r="T298" s="393"/>
      <c r="U298" s="393"/>
      <c r="V298" s="393"/>
      <c r="W298" s="393"/>
      <c r="X298" s="393"/>
      <c r="Y298" s="397"/>
      <c r="Z298" s="393"/>
      <c r="AA298" s="393"/>
      <c r="AB298" s="401"/>
      <c r="AC298" s="401"/>
      <c r="AD298" s="401"/>
      <c r="AE298" s="401"/>
      <c r="AF298" s="401"/>
      <c r="AG298" s="401"/>
      <c r="AH298" s="401"/>
      <c r="AI298" s="401"/>
      <c r="AJ298" s="401"/>
      <c r="AK298" s="401"/>
      <c r="AL298" s="401"/>
    </row>
    <row r="299" spans="1:38" s="154" customFormat="1" ht="20.100000000000001" customHeight="1">
      <c r="A299" s="402"/>
      <c r="B299" s="393"/>
      <c r="C299" s="394"/>
      <c r="D299" s="393"/>
      <c r="E299" s="393"/>
      <c r="F299" s="393"/>
      <c r="G299" s="395"/>
      <c r="H299" s="396"/>
      <c r="I299" s="393"/>
      <c r="J299" s="393"/>
      <c r="K299" s="393"/>
      <c r="L299" s="393"/>
      <c r="M299" s="382"/>
      <c r="N299" s="393"/>
      <c r="O299" s="393"/>
      <c r="P299" s="396"/>
      <c r="Q299" s="393"/>
      <c r="R299" s="393"/>
      <c r="S299" s="393"/>
      <c r="T299" s="393"/>
      <c r="U299" s="393"/>
      <c r="V299" s="393"/>
      <c r="W299" s="393"/>
      <c r="X299" s="393"/>
      <c r="Y299" s="397"/>
      <c r="Z299" s="393"/>
      <c r="AA299" s="393"/>
      <c r="AB299" s="401"/>
      <c r="AC299" s="401"/>
      <c r="AD299" s="401"/>
      <c r="AE299" s="401"/>
      <c r="AF299" s="401"/>
      <c r="AG299" s="401"/>
      <c r="AH299" s="401"/>
      <c r="AI299" s="401"/>
      <c r="AJ299" s="401"/>
      <c r="AK299" s="401"/>
      <c r="AL299" s="401"/>
    </row>
    <row r="300" spans="1:38" s="154" customFormat="1" ht="20.100000000000001" customHeight="1">
      <c r="A300" s="402"/>
      <c r="B300" s="393"/>
      <c r="C300" s="394"/>
      <c r="D300" s="393"/>
      <c r="E300" s="393"/>
      <c r="F300" s="393"/>
      <c r="G300" s="395"/>
      <c r="H300" s="396"/>
      <c r="I300" s="393"/>
      <c r="J300" s="393"/>
      <c r="K300" s="393"/>
      <c r="L300" s="393"/>
      <c r="M300" s="382"/>
      <c r="N300" s="393"/>
      <c r="O300" s="393"/>
      <c r="P300" s="396"/>
      <c r="Q300" s="393"/>
      <c r="R300" s="393"/>
      <c r="S300" s="393"/>
      <c r="T300" s="393"/>
      <c r="U300" s="393"/>
      <c r="V300" s="393"/>
      <c r="W300" s="393"/>
      <c r="X300" s="393"/>
      <c r="Y300" s="397"/>
      <c r="Z300" s="393"/>
      <c r="AA300" s="393"/>
      <c r="AB300" s="401"/>
      <c r="AC300" s="401"/>
      <c r="AD300" s="401"/>
      <c r="AE300" s="401"/>
      <c r="AF300" s="401"/>
      <c r="AG300" s="401"/>
      <c r="AH300" s="401"/>
      <c r="AI300" s="401"/>
      <c r="AJ300" s="401"/>
      <c r="AK300" s="401"/>
      <c r="AL300" s="401"/>
    </row>
    <row r="301" spans="1:38" s="154" customFormat="1" ht="20.100000000000001" customHeight="1">
      <c r="A301" s="402"/>
      <c r="B301" s="393"/>
      <c r="C301" s="394"/>
      <c r="D301" s="393"/>
      <c r="E301" s="393"/>
      <c r="F301" s="393"/>
      <c r="G301" s="395"/>
      <c r="H301" s="396"/>
      <c r="I301" s="393"/>
      <c r="J301" s="393"/>
      <c r="K301" s="393"/>
      <c r="L301" s="393"/>
      <c r="M301" s="382"/>
      <c r="N301" s="393"/>
      <c r="O301" s="393"/>
      <c r="P301" s="396"/>
      <c r="Q301" s="393"/>
      <c r="R301" s="393"/>
      <c r="S301" s="393"/>
      <c r="T301" s="393"/>
      <c r="U301" s="393"/>
      <c r="V301" s="393"/>
      <c r="W301" s="393"/>
      <c r="X301" s="393"/>
      <c r="Y301" s="397"/>
      <c r="Z301" s="393"/>
      <c r="AA301" s="393"/>
      <c r="AB301" s="401"/>
      <c r="AC301" s="401"/>
      <c r="AD301" s="401"/>
      <c r="AE301" s="401"/>
      <c r="AF301" s="401"/>
      <c r="AG301" s="401"/>
      <c r="AH301" s="401"/>
      <c r="AI301" s="401"/>
      <c r="AJ301" s="401"/>
      <c r="AK301" s="401"/>
      <c r="AL301" s="401"/>
    </row>
    <row r="302" spans="1:38" s="154" customFormat="1" ht="20.100000000000001" customHeight="1">
      <c r="A302" s="402"/>
      <c r="B302" s="393"/>
      <c r="C302" s="394"/>
      <c r="D302" s="393"/>
      <c r="E302" s="393"/>
      <c r="F302" s="393"/>
      <c r="G302" s="395"/>
      <c r="H302" s="396"/>
      <c r="I302" s="393"/>
      <c r="J302" s="393"/>
      <c r="K302" s="393"/>
      <c r="L302" s="393"/>
      <c r="M302" s="382"/>
      <c r="N302" s="393"/>
      <c r="O302" s="393"/>
      <c r="P302" s="396"/>
      <c r="Q302" s="393"/>
      <c r="R302" s="393"/>
      <c r="S302" s="393"/>
      <c r="T302" s="393"/>
      <c r="U302" s="393"/>
      <c r="V302" s="393"/>
      <c r="W302" s="393"/>
      <c r="X302" s="393"/>
      <c r="Y302" s="397"/>
      <c r="Z302" s="393"/>
      <c r="AA302" s="393"/>
      <c r="AB302" s="401"/>
      <c r="AC302" s="401"/>
      <c r="AD302" s="401"/>
      <c r="AE302" s="401"/>
      <c r="AF302" s="401"/>
      <c r="AG302" s="401"/>
      <c r="AH302" s="401"/>
      <c r="AI302" s="401"/>
      <c r="AJ302" s="401"/>
      <c r="AK302" s="401"/>
      <c r="AL302" s="401"/>
    </row>
    <row r="303" spans="1:38" s="154" customFormat="1" ht="20.100000000000001" customHeight="1">
      <c r="A303" s="402"/>
      <c r="B303" s="393"/>
      <c r="C303" s="394"/>
      <c r="D303" s="393"/>
      <c r="E303" s="393"/>
      <c r="F303" s="393"/>
      <c r="G303" s="395"/>
      <c r="H303" s="396"/>
      <c r="I303" s="393"/>
      <c r="J303" s="393"/>
      <c r="K303" s="393"/>
      <c r="L303" s="393"/>
      <c r="M303" s="382"/>
      <c r="N303" s="393"/>
      <c r="O303" s="393"/>
      <c r="P303" s="396"/>
      <c r="Q303" s="393"/>
      <c r="R303" s="393"/>
      <c r="S303" s="393"/>
      <c r="T303" s="393"/>
      <c r="U303" s="393"/>
      <c r="V303" s="393"/>
      <c r="W303" s="393"/>
      <c r="X303" s="393"/>
      <c r="Y303" s="397"/>
      <c r="Z303" s="393"/>
      <c r="AA303" s="393"/>
      <c r="AB303" s="401"/>
      <c r="AC303" s="401"/>
      <c r="AD303" s="401"/>
      <c r="AE303" s="401"/>
      <c r="AF303" s="401"/>
      <c r="AG303" s="401"/>
      <c r="AH303" s="401"/>
      <c r="AI303" s="401"/>
      <c r="AJ303" s="401"/>
      <c r="AK303" s="401"/>
      <c r="AL303" s="401"/>
    </row>
    <row r="304" spans="1:38" s="154" customFormat="1" ht="20.100000000000001" customHeight="1">
      <c r="A304" s="402"/>
      <c r="B304" s="393"/>
      <c r="C304" s="394"/>
      <c r="D304" s="393"/>
      <c r="E304" s="393"/>
      <c r="F304" s="393"/>
      <c r="G304" s="395"/>
      <c r="H304" s="396"/>
      <c r="I304" s="393"/>
      <c r="J304" s="393"/>
      <c r="K304" s="393"/>
      <c r="L304" s="393"/>
      <c r="M304" s="382"/>
      <c r="N304" s="393"/>
      <c r="O304" s="393"/>
      <c r="P304" s="396"/>
      <c r="Q304" s="393"/>
      <c r="R304" s="393"/>
      <c r="S304" s="393"/>
      <c r="T304" s="393"/>
      <c r="U304" s="393"/>
      <c r="V304" s="393"/>
      <c r="W304" s="393"/>
      <c r="X304" s="393"/>
      <c r="Y304" s="397"/>
      <c r="Z304" s="393"/>
      <c r="AA304" s="393"/>
      <c r="AB304" s="401"/>
      <c r="AC304" s="401"/>
      <c r="AD304" s="401"/>
      <c r="AE304" s="401"/>
      <c r="AF304" s="401"/>
      <c r="AG304" s="401"/>
      <c r="AH304" s="401"/>
      <c r="AI304" s="401"/>
      <c r="AJ304" s="401"/>
      <c r="AK304" s="401"/>
      <c r="AL304" s="401"/>
    </row>
    <row r="305" spans="1:38" s="154" customFormat="1" ht="20.100000000000001" customHeight="1">
      <c r="A305" s="402"/>
      <c r="B305" s="393"/>
      <c r="C305" s="394"/>
      <c r="D305" s="393"/>
      <c r="E305" s="393"/>
      <c r="F305" s="393"/>
      <c r="G305" s="395"/>
      <c r="H305" s="396"/>
      <c r="I305" s="393"/>
      <c r="J305" s="393"/>
      <c r="K305" s="393"/>
      <c r="L305" s="393"/>
      <c r="M305" s="382"/>
      <c r="N305" s="393"/>
      <c r="O305" s="393"/>
      <c r="P305" s="396"/>
      <c r="Q305" s="393"/>
      <c r="R305" s="393"/>
      <c r="S305" s="393"/>
      <c r="T305" s="393"/>
      <c r="U305" s="393"/>
      <c r="V305" s="393"/>
      <c r="W305" s="393"/>
      <c r="X305" s="393"/>
      <c r="Y305" s="397"/>
      <c r="Z305" s="393"/>
      <c r="AA305" s="393"/>
      <c r="AB305" s="401"/>
      <c r="AC305" s="401"/>
      <c r="AD305" s="401"/>
      <c r="AE305" s="401"/>
      <c r="AF305" s="401"/>
      <c r="AG305" s="401"/>
      <c r="AH305" s="401"/>
      <c r="AI305" s="401"/>
      <c r="AJ305" s="401"/>
      <c r="AK305" s="401"/>
      <c r="AL305" s="401"/>
    </row>
    <row r="306" spans="1:38" s="154" customFormat="1" ht="20.100000000000001" customHeight="1">
      <c r="A306" s="402"/>
      <c r="B306" s="393"/>
      <c r="C306" s="394"/>
      <c r="D306" s="393"/>
      <c r="E306" s="393"/>
      <c r="F306" s="393"/>
      <c r="G306" s="395"/>
      <c r="H306" s="396"/>
      <c r="I306" s="393"/>
      <c r="J306" s="393"/>
      <c r="K306" s="393"/>
      <c r="L306" s="393"/>
      <c r="M306" s="382"/>
      <c r="N306" s="393"/>
      <c r="O306" s="393"/>
      <c r="P306" s="396"/>
      <c r="Q306" s="393"/>
      <c r="R306" s="393"/>
      <c r="S306" s="393"/>
      <c r="T306" s="393"/>
      <c r="U306" s="393"/>
      <c r="V306" s="393"/>
      <c r="W306" s="393"/>
      <c r="X306" s="393"/>
      <c r="Y306" s="397"/>
      <c r="Z306" s="393"/>
      <c r="AA306" s="393"/>
      <c r="AB306" s="401"/>
      <c r="AC306" s="401"/>
      <c r="AD306" s="401"/>
      <c r="AE306" s="401"/>
      <c r="AF306" s="401"/>
      <c r="AG306" s="401"/>
      <c r="AH306" s="401"/>
      <c r="AI306" s="401"/>
      <c r="AJ306" s="401"/>
      <c r="AK306" s="401"/>
      <c r="AL306" s="401"/>
    </row>
    <row r="307" spans="1:38" s="154" customFormat="1" ht="20.100000000000001" customHeight="1">
      <c r="A307" s="402"/>
      <c r="B307" s="393"/>
      <c r="C307" s="394"/>
      <c r="D307" s="393"/>
      <c r="E307" s="393"/>
      <c r="F307" s="393"/>
      <c r="G307" s="395"/>
      <c r="H307" s="396"/>
      <c r="I307" s="393"/>
      <c r="J307" s="393"/>
      <c r="K307" s="393"/>
      <c r="L307" s="393"/>
      <c r="M307" s="382"/>
      <c r="N307" s="393"/>
      <c r="O307" s="393"/>
      <c r="P307" s="396"/>
      <c r="Q307" s="393"/>
      <c r="R307" s="393"/>
      <c r="S307" s="393"/>
      <c r="T307" s="393"/>
      <c r="U307" s="393"/>
      <c r="V307" s="393"/>
      <c r="W307" s="393"/>
      <c r="X307" s="393"/>
      <c r="Y307" s="397"/>
      <c r="Z307" s="393"/>
      <c r="AA307" s="393"/>
      <c r="AB307" s="401"/>
      <c r="AC307" s="401"/>
      <c r="AD307" s="401"/>
      <c r="AE307" s="401"/>
      <c r="AF307" s="401"/>
      <c r="AG307" s="401"/>
      <c r="AH307" s="401"/>
      <c r="AI307" s="401"/>
      <c r="AJ307" s="401"/>
      <c r="AK307" s="401"/>
      <c r="AL307" s="401"/>
    </row>
    <row r="308" spans="1:38" s="154" customFormat="1" ht="20.100000000000001" customHeight="1">
      <c r="A308" s="402"/>
      <c r="B308" s="393"/>
      <c r="C308" s="394"/>
      <c r="D308" s="393"/>
      <c r="E308" s="393"/>
      <c r="F308" s="393"/>
      <c r="G308" s="395"/>
      <c r="H308" s="396"/>
      <c r="I308" s="393"/>
      <c r="J308" s="393"/>
      <c r="K308" s="393"/>
      <c r="L308" s="393"/>
      <c r="M308" s="382"/>
      <c r="N308" s="393"/>
      <c r="O308" s="393"/>
      <c r="P308" s="396"/>
      <c r="Q308" s="393"/>
      <c r="R308" s="393"/>
      <c r="S308" s="393"/>
      <c r="T308" s="393"/>
      <c r="U308" s="393"/>
      <c r="V308" s="393"/>
      <c r="W308" s="393"/>
      <c r="X308" s="393"/>
      <c r="Y308" s="397"/>
      <c r="Z308" s="393"/>
      <c r="AA308" s="393"/>
      <c r="AB308" s="401"/>
      <c r="AC308" s="401"/>
      <c r="AD308" s="401"/>
      <c r="AE308" s="401"/>
      <c r="AF308" s="401"/>
      <c r="AG308" s="401"/>
      <c r="AH308" s="401"/>
      <c r="AI308" s="401"/>
      <c r="AJ308" s="401"/>
      <c r="AK308" s="401"/>
      <c r="AL308" s="401"/>
    </row>
    <row r="309" spans="1:38" s="154" customFormat="1" ht="20.100000000000001" customHeight="1">
      <c r="A309" s="402"/>
      <c r="B309" s="393"/>
      <c r="C309" s="394"/>
      <c r="D309" s="393"/>
      <c r="E309" s="393"/>
      <c r="F309" s="393"/>
      <c r="G309" s="395"/>
      <c r="H309" s="396"/>
      <c r="I309" s="393"/>
      <c r="J309" s="393"/>
      <c r="K309" s="393"/>
      <c r="L309" s="393"/>
      <c r="M309" s="382"/>
      <c r="N309" s="393"/>
      <c r="O309" s="393"/>
      <c r="P309" s="396"/>
      <c r="Q309" s="393"/>
      <c r="R309" s="393"/>
      <c r="S309" s="393"/>
      <c r="T309" s="393"/>
      <c r="U309" s="393"/>
      <c r="V309" s="393"/>
      <c r="W309" s="393"/>
      <c r="X309" s="393"/>
      <c r="Y309" s="397"/>
      <c r="Z309" s="393"/>
      <c r="AA309" s="393"/>
      <c r="AB309" s="401"/>
      <c r="AC309" s="401"/>
      <c r="AD309" s="401"/>
      <c r="AE309" s="401"/>
      <c r="AF309" s="401"/>
      <c r="AG309" s="401"/>
      <c r="AH309" s="401"/>
      <c r="AI309" s="401"/>
      <c r="AJ309" s="401"/>
      <c r="AK309" s="401"/>
      <c r="AL309" s="401"/>
    </row>
    <row r="310" spans="1:38" s="154" customFormat="1" ht="20.100000000000001" customHeight="1">
      <c r="A310" s="402"/>
      <c r="B310" s="393"/>
      <c r="C310" s="394"/>
      <c r="D310" s="393"/>
      <c r="E310" s="393"/>
      <c r="F310" s="393"/>
      <c r="G310" s="395"/>
      <c r="H310" s="396"/>
      <c r="I310" s="393"/>
      <c r="J310" s="393"/>
      <c r="K310" s="393"/>
      <c r="L310" s="393"/>
      <c r="M310" s="382"/>
      <c r="N310" s="393"/>
      <c r="O310" s="393"/>
      <c r="P310" s="396"/>
      <c r="Q310" s="393"/>
      <c r="R310" s="393"/>
      <c r="S310" s="393"/>
      <c r="T310" s="393"/>
      <c r="U310" s="393"/>
      <c r="V310" s="393"/>
      <c r="W310" s="393"/>
      <c r="X310" s="393"/>
      <c r="Y310" s="397"/>
      <c r="Z310" s="393"/>
      <c r="AA310" s="393"/>
      <c r="AB310" s="401"/>
      <c r="AC310" s="401"/>
      <c r="AD310" s="401"/>
      <c r="AE310" s="401"/>
      <c r="AF310" s="401"/>
      <c r="AG310" s="401"/>
      <c r="AH310" s="401"/>
      <c r="AI310" s="401"/>
      <c r="AJ310" s="401"/>
      <c r="AK310" s="401"/>
      <c r="AL310" s="401"/>
    </row>
    <row r="311" spans="1:38" s="154" customFormat="1" ht="20.100000000000001" customHeight="1">
      <c r="A311" s="402"/>
      <c r="B311" s="393"/>
      <c r="C311" s="394"/>
      <c r="D311" s="393"/>
      <c r="E311" s="393"/>
      <c r="F311" s="393"/>
      <c r="G311" s="395"/>
      <c r="H311" s="396"/>
      <c r="I311" s="393"/>
      <c r="J311" s="393"/>
      <c r="K311" s="393"/>
      <c r="L311" s="393"/>
      <c r="M311" s="382"/>
      <c r="N311" s="393"/>
      <c r="O311" s="393"/>
      <c r="P311" s="396"/>
      <c r="Q311" s="393"/>
      <c r="R311" s="393"/>
      <c r="S311" s="393"/>
      <c r="T311" s="393"/>
      <c r="U311" s="393"/>
      <c r="V311" s="393"/>
      <c r="W311" s="393"/>
      <c r="X311" s="393"/>
      <c r="Y311" s="397"/>
      <c r="Z311" s="393"/>
      <c r="AA311" s="393"/>
      <c r="AB311" s="401"/>
      <c r="AC311" s="401"/>
      <c r="AD311" s="401"/>
      <c r="AE311" s="401"/>
      <c r="AF311" s="401"/>
      <c r="AG311" s="401"/>
      <c r="AH311" s="401"/>
      <c r="AI311" s="401"/>
      <c r="AJ311" s="401"/>
      <c r="AK311" s="401"/>
      <c r="AL311" s="401"/>
    </row>
    <row r="312" spans="1:38" s="154" customFormat="1" ht="20.100000000000001" customHeight="1">
      <c r="A312" s="402"/>
      <c r="B312" s="393"/>
      <c r="C312" s="394"/>
      <c r="D312" s="393"/>
      <c r="E312" s="393"/>
      <c r="F312" s="393"/>
      <c r="G312" s="395"/>
      <c r="H312" s="396"/>
      <c r="I312" s="393"/>
      <c r="J312" s="393"/>
      <c r="K312" s="393"/>
      <c r="L312" s="393"/>
      <c r="M312" s="382"/>
      <c r="N312" s="393"/>
      <c r="O312" s="393"/>
      <c r="P312" s="396"/>
      <c r="Q312" s="393"/>
      <c r="R312" s="393"/>
      <c r="S312" s="393"/>
      <c r="T312" s="393"/>
      <c r="U312" s="393"/>
      <c r="V312" s="393"/>
      <c r="W312" s="393"/>
      <c r="X312" s="393"/>
      <c r="Y312" s="397"/>
      <c r="Z312" s="393"/>
      <c r="AA312" s="393"/>
      <c r="AB312" s="401"/>
      <c r="AC312" s="401"/>
      <c r="AD312" s="401"/>
      <c r="AE312" s="401"/>
      <c r="AF312" s="401"/>
      <c r="AG312" s="401"/>
      <c r="AH312" s="401"/>
      <c r="AI312" s="401"/>
      <c r="AJ312" s="401"/>
      <c r="AK312" s="401"/>
      <c r="AL312" s="401"/>
    </row>
    <row r="313" spans="1:38" s="154" customFormat="1" ht="20.100000000000001" customHeight="1">
      <c r="A313" s="402"/>
      <c r="B313" s="393"/>
      <c r="C313" s="394"/>
      <c r="D313" s="393"/>
      <c r="E313" s="393"/>
      <c r="F313" s="393"/>
      <c r="G313" s="395"/>
      <c r="H313" s="396"/>
      <c r="I313" s="393"/>
      <c r="J313" s="393"/>
      <c r="K313" s="393"/>
      <c r="L313" s="393"/>
      <c r="M313" s="382"/>
      <c r="N313" s="393"/>
      <c r="O313" s="393"/>
      <c r="P313" s="396"/>
      <c r="Q313" s="393"/>
      <c r="R313" s="393"/>
      <c r="S313" s="393"/>
      <c r="T313" s="393"/>
      <c r="U313" s="393"/>
      <c r="V313" s="393"/>
      <c r="W313" s="393"/>
      <c r="X313" s="393"/>
      <c r="Y313" s="397"/>
      <c r="Z313" s="393"/>
      <c r="AA313" s="393"/>
      <c r="AB313" s="401"/>
      <c r="AC313" s="401"/>
      <c r="AD313" s="401"/>
      <c r="AE313" s="401"/>
      <c r="AF313" s="401"/>
      <c r="AG313" s="401"/>
      <c r="AH313" s="401"/>
      <c r="AI313" s="401"/>
      <c r="AJ313" s="401"/>
      <c r="AK313" s="401"/>
      <c r="AL313" s="401"/>
    </row>
    <row r="314" spans="1:38" s="154" customFormat="1" ht="20.100000000000001" customHeight="1">
      <c r="A314" s="402"/>
      <c r="B314" s="393"/>
      <c r="C314" s="394"/>
      <c r="D314" s="393"/>
      <c r="E314" s="393"/>
      <c r="F314" s="393"/>
      <c r="G314" s="395"/>
      <c r="H314" s="396"/>
      <c r="I314" s="393"/>
      <c r="J314" s="393"/>
      <c r="K314" s="393"/>
      <c r="L314" s="393"/>
      <c r="M314" s="382"/>
      <c r="N314" s="393"/>
      <c r="O314" s="393"/>
      <c r="P314" s="396"/>
      <c r="Q314" s="393"/>
      <c r="R314" s="393"/>
      <c r="S314" s="393"/>
      <c r="T314" s="393"/>
      <c r="U314" s="393"/>
      <c r="V314" s="393"/>
      <c r="W314" s="393"/>
      <c r="X314" s="393"/>
      <c r="Y314" s="397"/>
      <c r="Z314" s="393"/>
      <c r="AA314" s="393"/>
      <c r="AB314" s="401"/>
      <c r="AC314" s="401"/>
      <c r="AD314" s="401"/>
      <c r="AE314" s="401"/>
      <c r="AF314" s="401"/>
      <c r="AG314" s="401"/>
      <c r="AH314" s="401"/>
      <c r="AI314" s="401"/>
      <c r="AJ314" s="401"/>
      <c r="AK314" s="401"/>
      <c r="AL314" s="401"/>
    </row>
    <row r="315" spans="1:38" s="154" customFormat="1" ht="20.100000000000001" customHeight="1">
      <c r="A315" s="402"/>
      <c r="B315" s="393"/>
      <c r="C315" s="394"/>
      <c r="D315" s="393"/>
      <c r="E315" s="393"/>
      <c r="F315" s="393"/>
      <c r="G315" s="395"/>
      <c r="H315" s="396"/>
      <c r="I315" s="393"/>
      <c r="J315" s="393"/>
      <c r="K315" s="393"/>
      <c r="L315" s="393"/>
      <c r="M315" s="382"/>
      <c r="N315" s="393"/>
      <c r="O315" s="393"/>
      <c r="P315" s="396"/>
      <c r="Q315" s="393"/>
      <c r="R315" s="393"/>
      <c r="S315" s="393"/>
      <c r="T315" s="393"/>
      <c r="U315" s="393"/>
      <c r="V315" s="393"/>
      <c r="W315" s="393"/>
      <c r="X315" s="393"/>
      <c r="Y315" s="397"/>
      <c r="Z315" s="393"/>
      <c r="AA315" s="393"/>
      <c r="AB315" s="401"/>
      <c r="AC315" s="401"/>
      <c r="AD315" s="401"/>
      <c r="AE315" s="401"/>
      <c r="AF315" s="401"/>
      <c r="AG315" s="401"/>
      <c r="AH315" s="401"/>
      <c r="AI315" s="401"/>
      <c r="AJ315" s="401"/>
      <c r="AK315" s="401"/>
      <c r="AL315" s="401"/>
    </row>
    <row r="316" spans="1:38" s="154" customFormat="1" ht="20.100000000000001" customHeight="1">
      <c r="A316" s="402"/>
      <c r="B316" s="393"/>
      <c r="C316" s="394"/>
      <c r="D316" s="393"/>
      <c r="E316" s="393"/>
      <c r="F316" s="393"/>
      <c r="G316" s="395"/>
      <c r="H316" s="396"/>
      <c r="I316" s="393"/>
      <c r="J316" s="393"/>
      <c r="K316" s="393"/>
      <c r="L316" s="393"/>
      <c r="M316" s="382"/>
      <c r="N316" s="393"/>
      <c r="O316" s="393"/>
      <c r="P316" s="396"/>
      <c r="Q316" s="393"/>
      <c r="R316" s="393"/>
      <c r="S316" s="393"/>
      <c r="T316" s="393"/>
      <c r="U316" s="393"/>
      <c r="V316" s="393"/>
      <c r="W316" s="393"/>
      <c r="X316" s="393"/>
      <c r="Y316" s="397"/>
      <c r="Z316" s="393"/>
      <c r="AA316" s="393"/>
      <c r="AB316" s="401"/>
      <c r="AC316" s="401"/>
      <c r="AD316" s="401"/>
      <c r="AE316" s="401"/>
      <c r="AF316" s="401"/>
      <c r="AG316" s="401"/>
      <c r="AH316" s="401"/>
      <c r="AI316" s="401"/>
      <c r="AJ316" s="401"/>
      <c r="AK316" s="401"/>
      <c r="AL316" s="401"/>
    </row>
    <row r="317" spans="1:38" s="154" customFormat="1" ht="20.100000000000001" customHeight="1">
      <c r="A317" s="402"/>
      <c r="B317" s="393"/>
      <c r="C317" s="394"/>
      <c r="D317" s="393"/>
      <c r="E317" s="393"/>
      <c r="F317" s="393"/>
      <c r="G317" s="395"/>
      <c r="H317" s="396"/>
      <c r="I317" s="393"/>
      <c r="J317" s="393"/>
      <c r="K317" s="393"/>
      <c r="L317" s="393"/>
      <c r="M317" s="382"/>
      <c r="N317" s="393"/>
      <c r="O317" s="393"/>
      <c r="P317" s="396"/>
      <c r="Q317" s="393"/>
      <c r="R317" s="393"/>
      <c r="S317" s="393"/>
      <c r="T317" s="393"/>
      <c r="U317" s="393"/>
      <c r="V317" s="393"/>
      <c r="W317" s="393"/>
      <c r="X317" s="393"/>
      <c r="Y317" s="397"/>
      <c r="Z317" s="393"/>
      <c r="AA317" s="393"/>
      <c r="AB317" s="401"/>
      <c r="AC317" s="401"/>
      <c r="AD317" s="401"/>
      <c r="AE317" s="401"/>
      <c r="AF317" s="401"/>
      <c r="AG317" s="401"/>
      <c r="AH317" s="401"/>
      <c r="AI317" s="401"/>
      <c r="AJ317" s="401"/>
      <c r="AK317" s="401"/>
      <c r="AL317" s="401"/>
    </row>
    <row r="318" spans="1:38" s="154" customFormat="1" ht="20.100000000000001" customHeight="1">
      <c r="A318" s="402"/>
      <c r="B318" s="393"/>
      <c r="C318" s="394"/>
      <c r="D318" s="393"/>
      <c r="E318" s="393"/>
      <c r="F318" s="393"/>
      <c r="G318" s="395"/>
      <c r="H318" s="396"/>
      <c r="I318" s="393"/>
      <c r="J318" s="393"/>
      <c r="K318" s="393"/>
      <c r="L318" s="393"/>
      <c r="M318" s="382"/>
      <c r="N318" s="393"/>
      <c r="O318" s="393"/>
      <c r="P318" s="396"/>
      <c r="Q318" s="393"/>
      <c r="R318" s="393"/>
      <c r="S318" s="393"/>
      <c r="T318" s="393"/>
      <c r="U318" s="393"/>
      <c r="V318" s="393"/>
      <c r="W318" s="393"/>
      <c r="X318" s="393"/>
      <c r="Y318" s="397"/>
      <c r="Z318" s="393"/>
      <c r="AA318" s="393"/>
      <c r="AB318" s="401"/>
      <c r="AC318" s="401"/>
      <c r="AD318" s="401"/>
      <c r="AE318" s="401"/>
      <c r="AF318" s="401"/>
      <c r="AG318" s="401"/>
      <c r="AH318" s="401"/>
      <c r="AI318" s="401"/>
      <c r="AJ318" s="401"/>
      <c r="AK318" s="401"/>
      <c r="AL318" s="401"/>
    </row>
    <row r="319" spans="1:38" s="154" customFormat="1" ht="20.100000000000001" customHeight="1">
      <c r="A319" s="402"/>
      <c r="B319" s="393"/>
      <c r="C319" s="394"/>
      <c r="D319" s="393"/>
      <c r="E319" s="393"/>
      <c r="F319" s="393"/>
      <c r="G319" s="395"/>
      <c r="H319" s="396"/>
      <c r="I319" s="393"/>
      <c r="J319" s="393"/>
      <c r="K319" s="393"/>
      <c r="L319" s="393"/>
      <c r="M319" s="382"/>
      <c r="N319" s="393"/>
      <c r="O319" s="393"/>
      <c r="P319" s="396"/>
      <c r="Q319" s="393"/>
      <c r="R319" s="393"/>
      <c r="S319" s="393"/>
      <c r="T319" s="393"/>
      <c r="U319" s="393"/>
      <c r="V319" s="393"/>
      <c r="W319" s="393"/>
      <c r="X319" s="393"/>
      <c r="Y319" s="397"/>
      <c r="Z319" s="393"/>
      <c r="AA319" s="393"/>
      <c r="AB319" s="401"/>
      <c r="AC319" s="401"/>
      <c r="AD319" s="401"/>
      <c r="AE319" s="401"/>
      <c r="AF319" s="401"/>
      <c r="AG319" s="401"/>
      <c r="AH319" s="401"/>
      <c r="AI319" s="401"/>
      <c r="AJ319" s="401"/>
      <c r="AK319" s="401"/>
      <c r="AL319" s="401"/>
    </row>
    <row r="320" spans="1:38" s="154" customFormat="1" ht="20.100000000000001" customHeight="1">
      <c r="A320" s="402"/>
      <c r="B320" s="393"/>
      <c r="C320" s="394"/>
      <c r="D320" s="393"/>
      <c r="E320" s="393"/>
      <c r="F320" s="393"/>
      <c r="G320" s="395"/>
      <c r="H320" s="396"/>
      <c r="I320" s="393"/>
      <c r="J320" s="393"/>
      <c r="K320" s="393"/>
      <c r="L320" s="393"/>
      <c r="M320" s="382"/>
      <c r="N320" s="393"/>
      <c r="O320" s="393"/>
      <c r="P320" s="396"/>
      <c r="Q320" s="393"/>
      <c r="R320" s="393"/>
      <c r="S320" s="393"/>
      <c r="T320" s="393"/>
      <c r="U320" s="393"/>
      <c r="V320" s="393"/>
      <c r="W320" s="393"/>
      <c r="X320" s="393"/>
      <c r="Y320" s="397"/>
      <c r="Z320" s="393"/>
      <c r="AA320" s="393"/>
      <c r="AB320" s="401"/>
      <c r="AC320" s="401"/>
      <c r="AD320" s="401"/>
      <c r="AE320" s="401"/>
      <c r="AF320" s="401"/>
      <c r="AG320" s="401"/>
      <c r="AH320" s="401"/>
      <c r="AI320" s="401"/>
      <c r="AJ320" s="401"/>
      <c r="AK320" s="401"/>
      <c r="AL320" s="401"/>
    </row>
    <row r="321" spans="1:38" s="154" customFormat="1" ht="20.100000000000001" customHeight="1">
      <c r="A321" s="402"/>
      <c r="B321" s="393"/>
      <c r="C321" s="394"/>
      <c r="D321" s="393"/>
      <c r="E321" s="393"/>
      <c r="F321" s="393"/>
      <c r="G321" s="395"/>
      <c r="H321" s="396"/>
      <c r="I321" s="393"/>
      <c r="J321" s="393"/>
      <c r="K321" s="393"/>
      <c r="L321" s="393"/>
      <c r="M321" s="382"/>
      <c r="N321" s="393"/>
      <c r="O321" s="393"/>
      <c r="P321" s="396"/>
      <c r="Q321" s="393"/>
      <c r="R321" s="393"/>
      <c r="S321" s="393"/>
      <c r="T321" s="393"/>
      <c r="U321" s="393"/>
      <c r="V321" s="393"/>
      <c r="W321" s="393"/>
      <c r="X321" s="393"/>
      <c r="Y321" s="397"/>
      <c r="Z321" s="393"/>
      <c r="AA321" s="393"/>
      <c r="AB321" s="401"/>
      <c r="AC321" s="401"/>
      <c r="AD321" s="401"/>
      <c r="AE321" s="401"/>
      <c r="AF321" s="401"/>
      <c r="AG321" s="401"/>
      <c r="AH321" s="401"/>
      <c r="AI321" s="401"/>
      <c r="AJ321" s="401"/>
      <c r="AK321" s="401"/>
      <c r="AL321" s="401"/>
    </row>
    <row r="322" spans="1:38" s="154" customFormat="1" ht="20.100000000000001" customHeight="1">
      <c r="A322" s="402"/>
      <c r="B322" s="393"/>
      <c r="C322" s="394"/>
      <c r="D322" s="393"/>
      <c r="E322" s="393"/>
      <c r="F322" s="393"/>
      <c r="G322" s="395"/>
      <c r="H322" s="396"/>
      <c r="I322" s="393"/>
      <c r="J322" s="393"/>
      <c r="K322" s="393"/>
      <c r="L322" s="393"/>
      <c r="M322" s="382"/>
      <c r="N322" s="393"/>
      <c r="O322" s="393"/>
      <c r="P322" s="396"/>
      <c r="Q322" s="393"/>
      <c r="R322" s="393"/>
      <c r="S322" s="393"/>
      <c r="T322" s="393"/>
      <c r="U322" s="393"/>
      <c r="V322" s="393"/>
      <c r="W322" s="393"/>
      <c r="X322" s="393"/>
      <c r="Y322" s="397"/>
      <c r="Z322" s="393"/>
      <c r="AA322" s="393"/>
      <c r="AB322" s="401"/>
      <c r="AC322" s="401"/>
      <c r="AD322" s="401"/>
      <c r="AE322" s="401"/>
      <c r="AF322" s="401"/>
      <c r="AG322" s="401"/>
      <c r="AH322" s="401"/>
      <c r="AI322" s="401"/>
      <c r="AJ322" s="401"/>
      <c r="AK322" s="401"/>
      <c r="AL322" s="401"/>
    </row>
    <row r="323" spans="1:38" s="154" customFormat="1" ht="20.100000000000001" customHeight="1">
      <c r="A323" s="402"/>
      <c r="B323" s="393"/>
      <c r="C323" s="394"/>
      <c r="D323" s="393"/>
      <c r="E323" s="393"/>
      <c r="F323" s="393"/>
      <c r="G323" s="395"/>
      <c r="H323" s="396"/>
      <c r="I323" s="393"/>
      <c r="J323" s="393"/>
      <c r="K323" s="393"/>
      <c r="L323" s="393"/>
      <c r="M323" s="382"/>
      <c r="N323" s="393"/>
      <c r="O323" s="393"/>
      <c r="P323" s="396"/>
      <c r="Q323" s="393"/>
      <c r="R323" s="393"/>
      <c r="S323" s="393"/>
      <c r="T323" s="393"/>
      <c r="U323" s="393"/>
      <c r="V323" s="393"/>
      <c r="W323" s="393"/>
      <c r="X323" s="393"/>
      <c r="Y323" s="397"/>
      <c r="Z323" s="393"/>
      <c r="AA323" s="393"/>
      <c r="AB323" s="401"/>
      <c r="AC323" s="401"/>
      <c r="AD323" s="401"/>
      <c r="AE323" s="401"/>
      <c r="AF323" s="401"/>
      <c r="AG323" s="401"/>
      <c r="AH323" s="401"/>
      <c r="AI323" s="401"/>
      <c r="AJ323" s="401"/>
      <c r="AK323" s="401"/>
      <c r="AL323" s="401"/>
    </row>
    <row r="324" spans="1:38" s="154" customFormat="1" ht="20.100000000000001" customHeight="1">
      <c r="A324" s="402"/>
      <c r="B324" s="393"/>
      <c r="C324" s="394"/>
      <c r="D324" s="393"/>
      <c r="E324" s="393"/>
      <c r="F324" s="393"/>
      <c r="G324" s="395"/>
      <c r="H324" s="396"/>
      <c r="I324" s="393"/>
      <c r="J324" s="393"/>
      <c r="K324" s="393"/>
      <c r="L324" s="393"/>
      <c r="M324" s="382"/>
      <c r="N324" s="393"/>
      <c r="O324" s="393"/>
      <c r="P324" s="396"/>
      <c r="Q324" s="393"/>
      <c r="R324" s="393"/>
      <c r="S324" s="393"/>
      <c r="T324" s="393"/>
      <c r="U324" s="393"/>
      <c r="V324" s="393"/>
      <c r="W324" s="393"/>
      <c r="X324" s="393"/>
      <c r="Y324" s="397"/>
      <c r="Z324" s="393"/>
      <c r="AA324" s="393"/>
      <c r="AB324" s="401"/>
      <c r="AC324" s="401"/>
      <c r="AD324" s="401"/>
      <c r="AE324" s="401"/>
      <c r="AF324" s="401"/>
      <c r="AG324" s="401"/>
      <c r="AH324" s="401"/>
      <c r="AI324" s="401"/>
      <c r="AJ324" s="401"/>
      <c r="AK324" s="401"/>
      <c r="AL324" s="401"/>
    </row>
    <row r="325" spans="1:38" s="154" customFormat="1" ht="20.100000000000001" customHeight="1">
      <c r="A325" s="402"/>
      <c r="B325" s="393"/>
      <c r="C325" s="394"/>
      <c r="D325" s="393"/>
      <c r="E325" s="393"/>
      <c r="F325" s="393"/>
      <c r="G325" s="395"/>
      <c r="H325" s="396"/>
      <c r="I325" s="393"/>
      <c r="J325" s="393"/>
      <c r="K325" s="393"/>
      <c r="L325" s="393"/>
      <c r="M325" s="382"/>
      <c r="N325" s="393"/>
      <c r="O325" s="393"/>
      <c r="P325" s="396"/>
      <c r="Q325" s="393"/>
      <c r="R325" s="393"/>
      <c r="S325" s="393"/>
      <c r="T325" s="393"/>
      <c r="U325" s="393"/>
      <c r="V325" s="393"/>
      <c r="W325" s="393"/>
      <c r="X325" s="393"/>
      <c r="Y325" s="397"/>
      <c r="Z325" s="393"/>
      <c r="AA325" s="393"/>
      <c r="AB325" s="401"/>
      <c r="AC325" s="401"/>
      <c r="AD325" s="401"/>
      <c r="AE325" s="401"/>
      <c r="AF325" s="401"/>
      <c r="AG325" s="401"/>
      <c r="AH325" s="401"/>
      <c r="AI325" s="401"/>
      <c r="AJ325" s="401"/>
      <c r="AK325" s="401"/>
      <c r="AL325" s="401"/>
    </row>
    <row r="326" spans="1:38" s="154" customFormat="1" ht="20.100000000000001" customHeight="1">
      <c r="A326" s="402"/>
      <c r="B326" s="393"/>
      <c r="C326" s="394"/>
      <c r="D326" s="393"/>
      <c r="E326" s="393"/>
      <c r="F326" s="393"/>
      <c r="G326" s="395"/>
      <c r="H326" s="396"/>
      <c r="I326" s="393"/>
      <c r="J326" s="393"/>
      <c r="K326" s="393"/>
      <c r="L326" s="393"/>
      <c r="M326" s="382"/>
      <c r="N326" s="393"/>
      <c r="O326" s="393"/>
      <c r="P326" s="396"/>
      <c r="Q326" s="393"/>
      <c r="R326" s="393"/>
      <c r="S326" s="393"/>
      <c r="T326" s="393"/>
      <c r="U326" s="393"/>
      <c r="V326" s="393"/>
      <c r="W326" s="393"/>
      <c r="X326" s="393"/>
      <c r="Y326" s="397"/>
      <c r="Z326" s="393"/>
      <c r="AA326" s="393"/>
      <c r="AB326" s="401"/>
      <c r="AC326" s="401"/>
      <c r="AD326" s="401"/>
      <c r="AE326" s="401"/>
      <c r="AF326" s="401"/>
      <c r="AG326" s="401"/>
      <c r="AH326" s="401"/>
      <c r="AI326" s="401"/>
      <c r="AJ326" s="401"/>
      <c r="AK326" s="401"/>
      <c r="AL326" s="401"/>
    </row>
    <row r="327" spans="1:38" s="154" customFormat="1" ht="20.100000000000001" customHeight="1">
      <c r="A327" s="402"/>
      <c r="B327" s="393"/>
      <c r="C327" s="394"/>
      <c r="D327" s="393"/>
      <c r="E327" s="393"/>
      <c r="F327" s="393"/>
      <c r="G327" s="395"/>
      <c r="H327" s="396"/>
      <c r="I327" s="393"/>
      <c r="J327" s="393"/>
      <c r="K327" s="393"/>
      <c r="L327" s="393"/>
      <c r="M327" s="382"/>
      <c r="N327" s="393"/>
      <c r="O327" s="393"/>
      <c r="P327" s="396"/>
      <c r="Q327" s="393"/>
      <c r="R327" s="393"/>
      <c r="S327" s="393"/>
      <c r="T327" s="393"/>
      <c r="U327" s="393"/>
      <c r="V327" s="393"/>
      <c r="W327" s="393"/>
      <c r="X327" s="393"/>
      <c r="Y327" s="397"/>
      <c r="Z327" s="393"/>
      <c r="AA327" s="393"/>
      <c r="AB327" s="401"/>
      <c r="AC327" s="401"/>
      <c r="AD327" s="401"/>
      <c r="AE327" s="401"/>
      <c r="AF327" s="401"/>
      <c r="AG327" s="401"/>
      <c r="AH327" s="401"/>
      <c r="AI327" s="401"/>
      <c r="AJ327" s="401"/>
      <c r="AK327" s="401"/>
      <c r="AL327" s="401"/>
    </row>
    <row r="328" spans="1:38" s="154" customFormat="1" ht="20.100000000000001" customHeight="1">
      <c r="A328" s="402"/>
      <c r="B328" s="393"/>
      <c r="C328" s="394"/>
      <c r="D328" s="393"/>
      <c r="E328" s="393"/>
      <c r="F328" s="393"/>
      <c r="G328" s="395"/>
      <c r="H328" s="396"/>
      <c r="I328" s="393"/>
      <c r="J328" s="393"/>
      <c r="K328" s="393"/>
      <c r="L328" s="393"/>
      <c r="M328" s="382"/>
      <c r="N328" s="393"/>
      <c r="O328" s="393"/>
      <c r="P328" s="396"/>
      <c r="Q328" s="393"/>
      <c r="R328" s="393"/>
      <c r="S328" s="393"/>
      <c r="T328" s="393"/>
      <c r="U328" s="393"/>
      <c r="V328" s="393"/>
      <c r="W328" s="393"/>
      <c r="X328" s="393"/>
      <c r="Y328" s="397"/>
      <c r="Z328" s="393"/>
      <c r="AA328" s="393"/>
      <c r="AB328" s="401"/>
      <c r="AC328" s="401"/>
      <c r="AD328" s="401"/>
      <c r="AE328" s="401"/>
      <c r="AF328" s="401"/>
      <c r="AG328" s="401"/>
      <c r="AH328" s="401"/>
      <c r="AI328" s="401"/>
      <c r="AJ328" s="401"/>
      <c r="AK328" s="401"/>
      <c r="AL328" s="401"/>
    </row>
    <row r="329" spans="1:38" s="154" customFormat="1" ht="20.100000000000001" customHeight="1">
      <c r="A329" s="402"/>
      <c r="B329" s="393"/>
      <c r="C329" s="394"/>
      <c r="D329" s="393"/>
      <c r="E329" s="393"/>
      <c r="F329" s="393"/>
      <c r="G329" s="395"/>
      <c r="H329" s="396"/>
      <c r="I329" s="393"/>
      <c r="J329" s="393"/>
      <c r="K329" s="393"/>
      <c r="L329" s="393"/>
      <c r="M329" s="382"/>
      <c r="N329" s="393"/>
      <c r="O329" s="393"/>
      <c r="P329" s="396"/>
      <c r="Q329" s="393"/>
      <c r="R329" s="393"/>
      <c r="S329" s="393"/>
      <c r="T329" s="393"/>
      <c r="U329" s="393"/>
      <c r="V329" s="393"/>
      <c r="W329" s="393"/>
      <c r="X329" s="393"/>
      <c r="Y329" s="397"/>
      <c r="Z329" s="393"/>
      <c r="AA329" s="393"/>
      <c r="AB329" s="401"/>
      <c r="AC329" s="401"/>
      <c r="AD329" s="401"/>
      <c r="AE329" s="401"/>
      <c r="AF329" s="401"/>
      <c r="AG329" s="401"/>
      <c r="AH329" s="401"/>
      <c r="AI329" s="401"/>
      <c r="AJ329" s="401"/>
      <c r="AK329" s="401"/>
      <c r="AL329" s="401"/>
    </row>
    <row r="330" spans="1:38" s="154" customFormat="1" ht="20.100000000000001" customHeight="1">
      <c r="A330" s="402"/>
      <c r="B330" s="393"/>
      <c r="C330" s="394"/>
      <c r="D330" s="393"/>
      <c r="E330" s="393"/>
      <c r="F330" s="393"/>
      <c r="G330" s="395"/>
      <c r="H330" s="396"/>
      <c r="I330" s="393"/>
      <c r="J330" s="393"/>
      <c r="K330" s="393"/>
      <c r="L330" s="393"/>
      <c r="M330" s="382"/>
      <c r="N330" s="393"/>
      <c r="O330" s="393"/>
      <c r="P330" s="396"/>
      <c r="Q330" s="393"/>
      <c r="R330" s="393"/>
      <c r="S330" s="393"/>
      <c r="T330" s="393"/>
      <c r="U330" s="393"/>
      <c r="V330" s="393"/>
      <c r="W330" s="393"/>
      <c r="X330" s="393"/>
      <c r="Y330" s="397"/>
      <c r="Z330" s="393"/>
      <c r="AA330" s="393"/>
      <c r="AB330" s="401"/>
      <c r="AC330" s="401"/>
      <c r="AD330" s="401"/>
      <c r="AE330" s="401"/>
      <c r="AF330" s="401"/>
      <c r="AG330" s="401"/>
      <c r="AH330" s="401"/>
      <c r="AI330" s="401"/>
      <c r="AJ330" s="401"/>
      <c r="AK330" s="401"/>
      <c r="AL330" s="401"/>
    </row>
    <row r="331" spans="1:38" s="154" customFormat="1" ht="20.100000000000001" customHeight="1">
      <c r="A331" s="402"/>
      <c r="B331" s="393"/>
      <c r="C331" s="394"/>
      <c r="D331" s="393"/>
      <c r="E331" s="393"/>
      <c r="F331" s="393"/>
      <c r="G331" s="395"/>
      <c r="H331" s="396"/>
      <c r="I331" s="393"/>
      <c r="J331" s="393"/>
      <c r="K331" s="393"/>
      <c r="L331" s="393"/>
      <c r="M331" s="382"/>
      <c r="N331" s="393"/>
      <c r="O331" s="393"/>
      <c r="P331" s="396"/>
      <c r="Q331" s="393"/>
      <c r="R331" s="393"/>
      <c r="S331" s="393"/>
      <c r="T331" s="393"/>
      <c r="U331" s="393"/>
      <c r="V331" s="393"/>
      <c r="W331" s="393"/>
      <c r="X331" s="393"/>
      <c r="Y331" s="397"/>
      <c r="Z331" s="393"/>
      <c r="AA331" s="393"/>
      <c r="AB331" s="401"/>
      <c r="AC331" s="401"/>
      <c r="AD331" s="401"/>
      <c r="AE331" s="401"/>
      <c r="AF331" s="401"/>
      <c r="AG331" s="401"/>
      <c r="AH331" s="401"/>
      <c r="AI331" s="401"/>
      <c r="AJ331" s="401"/>
      <c r="AK331" s="401"/>
      <c r="AL331" s="401"/>
    </row>
    <row r="332" spans="1:38" s="154" customFormat="1" ht="20.100000000000001" customHeight="1">
      <c r="A332" s="402"/>
      <c r="B332" s="393"/>
      <c r="C332" s="394"/>
      <c r="D332" s="393"/>
      <c r="E332" s="393"/>
      <c r="F332" s="393"/>
      <c r="G332" s="395"/>
      <c r="H332" s="396"/>
      <c r="I332" s="393"/>
      <c r="J332" s="393"/>
      <c r="K332" s="393"/>
      <c r="L332" s="393"/>
      <c r="M332" s="382"/>
      <c r="N332" s="393"/>
      <c r="O332" s="393"/>
      <c r="P332" s="396"/>
      <c r="Q332" s="393"/>
      <c r="R332" s="393"/>
      <c r="S332" s="393"/>
      <c r="T332" s="393"/>
      <c r="U332" s="393"/>
      <c r="V332" s="393"/>
      <c r="W332" s="393"/>
      <c r="X332" s="393"/>
      <c r="Y332" s="397"/>
      <c r="Z332" s="393"/>
      <c r="AA332" s="393"/>
      <c r="AB332" s="401"/>
      <c r="AC332" s="401"/>
      <c r="AD332" s="401"/>
      <c r="AE332" s="401"/>
      <c r="AF332" s="401"/>
      <c r="AG332" s="401"/>
      <c r="AH332" s="401"/>
      <c r="AI332" s="401"/>
      <c r="AJ332" s="401"/>
      <c r="AK332" s="401"/>
      <c r="AL332" s="401"/>
    </row>
    <row r="333" spans="1:38" s="154" customFormat="1" ht="20.100000000000001" customHeight="1">
      <c r="A333" s="402"/>
      <c r="B333" s="393"/>
      <c r="C333" s="394"/>
      <c r="D333" s="393"/>
      <c r="E333" s="393"/>
      <c r="F333" s="393"/>
      <c r="G333" s="395"/>
      <c r="H333" s="396"/>
      <c r="I333" s="393"/>
      <c r="J333" s="393"/>
      <c r="K333" s="393"/>
      <c r="L333" s="393"/>
      <c r="M333" s="382"/>
      <c r="N333" s="393"/>
      <c r="O333" s="393"/>
      <c r="P333" s="396"/>
      <c r="Q333" s="393"/>
      <c r="R333" s="393"/>
      <c r="S333" s="393"/>
      <c r="T333" s="393"/>
      <c r="U333" s="393"/>
      <c r="V333" s="393"/>
      <c r="W333" s="393"/>
      <c r="X333" s="393"/>
      <c r="Y333" s="397"/>
      <c r="Z333" s="393"/>
      <c r="AA333" s="393"/>
      <c r="AB333" s="401"/>
      <c r="AC333" s="401"/>
      <c r="AD333" s="401"/>
      <c r="AE333" s="401"/>
      <c r="AF333" s="401"/>
      <c r="AG333" s="401"/>
      <c r="AH333" s="401"/>
      <c r="AI333" s="401"/>
      <c r="AJ333" s="401"/>
      <c r="AK333" s="401"/>
      <c r="AL333" s="401"/>
    </row>
    <row r="334" spans="1:38" s="154" customFormat="1" ht="20.100000000000001" customHeight="1">
      <c r="A334" s="402"/>
      <c r="B334" s="393"/>
      <c r="C334" s="394"/>
      <c r="D334" s="393"/>
      <c r="E334" s="393"/>
      <c r="F334" s="393"/>
      <c r="G334" s="395"/>
      <c r="H334" s="396"/>
      <c r="I334" s="393"/>
      <c r="J334" s="393"/>
      <c r="K334" s="393"/>
      <c r="L334" s="393"/>
      <c r="M334" s="382"/>
      <c r="N334" s="393"/>
      <c r="O334" s="393"/>
      <c r="P334" s="396"/>
      <c r="Q334" s="393"/>
      <c r="R334" s="393"/>
      <c r="S334" s="393"/>
      <c r="T334" s="393"/>
      <c r="U334" s="393"/>
      <c r="V334" s="393"/>
      <c r="W334" s="393"/>
      <c r="X334" s="393"/>
      <c r="Y334" s="397"/>
      <c r="Z334" s="393"/>
      <c r="AA334" s="393"/>
      <c r="AB334" s="401"/>
      <c r="AC334" s="401"/>
      <c r="AD334" s="401"/>
      <c r="AE334" s="401"/>
      <c r="AF334" s="401"/>
      <c r="AG334" s="401"/>
      <c r="AH334" s="401"/>
      <c r="AI334" s="401"/>
      <c r="AJ334" s="401"/>
      <c r="AK334" s="401"/>
      <c r="AL334" s="401"/>
    </row>
    <row r="335" spans="1:38" s="154" customFormat="1" ht="20.100000000000001" customHeight="1">
      <c r="A335" s="402"/>
      <c r="B335" s="393"/>
      <c r="C335" s="394"/>
      <c r="D335" s="393"/>
      <c r="E335" s="393"/>
      <c r="F335" s="393"/>
      <c r="G335" s="395"/>
      <c r="H335" s="396"/>
      <c r="I335" s="393"/>
      <c r="J335" s="393"/>
      <c r="K335" s="393"/>
      <c r="L335" s="393"/>
      <c r="M335" s="382"/>
      <c r="N335" s="393"/>
      <c r="O335" s="393"/>
      <c r="P335" s="396"/>
      <c r="Q335" s="393"/>
      <c r="R335" s="393"/>
      <c r="S335" s="393"/>
      <c r="T335" s="393"/>
      <c r="U335" s="393"/>
      <c r="V335" s="393"/>
      <c r="W335" s="393"/>
      <c r="X335" s="393"/>
      <c r="Y335" s="397"/>
      <c r="Z335" s="393"/>
      <c r="AA335" s="393"/>
      <c r="AB335" s="401"/>
      <c r="AC335" s="401"/>
      <c r="AD335" s="401"/>
      <c r="AE335" s="401"/>
      <c r="AF335" s="401"/>
      <c r="AG335" s="401"/>
      <c r="AH335" s="401"/>
      <c r="AI335" s="401"/>
      <c r="AJ335" s="401"/>
      <c r="AK335" s="401"/>
      <c r="AL335" s="401"/>
    </row>
    <row r="336" spans="1:38" s="154" customFormat="1" ht="20.100000000000001" customHeight="1">
      <c r="A336" s="402"/>
      <c r="B336" s="393"/>
      <c r="C336" s="394"/>
      <c r="D336" s="393"/>
      <c r="E336" s="393"/>
      <c r="F336" s="393"/>
      <c r="G336" s="395"/>
      <c r="H336" s="396"/>
      <c r="I336" s="393"/>
      <c r="J336" s="393"/>
      <c r="K336" s="393"/>
      <c r="L336" s="393"/>
      <c r="M336" s="382"/>
      <c r="N336" s="393"/>
      <c r="O336" s="393"/>
      <c r="P336" s="396"/>
      <c r="Q336" s="393"/>
      <c r="R336" s="393"/>
      <c r="S336" s="393"/>
      <c r="T336" s="393"/>
      <c r="U336" s="393"/>
      <c r="V336" s="393"/>
      <c r="W336" s="393"/>
      <c r="X336" s="393"/>
      <c r="Y336" s="397"/>
      <c r="Z336" s="393"/>
      <c r="AA336" s="393"/>
      <c r="AB336" s="401"/>
      <c r="AC336" s="401"/>
      <c r="AD336" s="401"/>
      <c r="AE336" s="401"/>
      <c r="AF336" s="401"/>
      <c r="AG336" s="401"/>
      <c r="AH336" s="401"/>
      <c r="AI336" s="401"/>
      <c r="AJ336" s="401"/>
      <c r="AK336" s="401"/>
      <c r="AL336" s="401"/>
    </row>
    <row r="337" spans="1:38" s="154" customFormat="1" ht="20.100000000000001" customHeight="1">
      <c r="A337" s="402"/>
      <c r="B337" s="393"/>
      <c r="C337" s="394"/>
      <c r="D337" s="393"/>
      <c r="E337" s="393"/>
      <c r="F337" s="393"/>
      <c r="G337" s="395"/>
      <c r="H337" s="396"/>
      <c r="I337" s="393"/>
      <c r="J337" s="393"/>
      <c r="K337" s="393"/>
      <c r="L337" s="393"/>
      <c r="M337" s="382"/>
      <c r="N337" s="393"/>
      <c r="O337" s="393"/>
      <c r="P337" s="396"/>
      <c r="Q337" s="393"/>
      <c r="R337" s="393"/>
      <c r="S337" s="393"/>
      <c r="T337" s="393"/>
      <c r="U337" s="393"/>
      <c r="V337" s="393"/>
      <c r="W337" s="393"/>
      <c r="X337" s="393"/>
      <c r="Y337" s="397"/>
      <c r="Z337" s="393"/>
      <c r="AA337" s="393"/>
      <c r="AB337" s="401"/>
      <c r="AC337" s="401"/>
      <c r="AD337" s="401"/>
      <c r="AE337" s="401"/>
      <c r="AF337" s="401"/>
      <c r="AG337" s="401"/>
      <c r="AH337" s="401"/>
      <c r="AI337" s="401"/>
      <c r="AJ337" s="401"/>
      <c r="AK337" s="401"/>
      <c r="AL337" s="401"/>
    </row>
    <row r="338" spans="1:38" s="154" customFormat="1" ht="20.100000000000001" customHeight="1">
      <c r="A338" s="402"/>
      <c r="B338" s="393"/>
      <c r="C338" s="394"/>
      <c r="D338" s="393"/>
      <c r="E338" s="393"/>
      <c r="F338" s="393"/>
      <c r="G338" s="395"/>
      <c r="H338" s="396"/>
      <c r="I338" s="393"/>
      <c r="J338" s="393"/>
      <c r="K338" s="393"/>
      <c r="L338" s="393"/>
      <c r="M338" s="382"/>
      <c r="N338" s="393"/>
      <c r="O338" s="393"/>
      <c r="P338" s="396"/>
      <c r="Q338" s="393"/>
      <c r="R338" s="393"/>
      <c r="S338" s="393"/>
      <c r="T338" s="393"/>
      <c r="U338" s="393"/>
      <c r="V338" s="393"/>
      <c r="W338" s="393"/>
      <c r="X338" s="393"/>
      <c r="Y338" s="397"/>
      <c r="Z338" s="393"/>
      <c r="AA338" s="393"/>
      <c r="AB338" s="401"/>
      <c r="AC338" s="401"/>
      <c r="AD338" s="401"/>
      <c r="AE338" s="401"/>
      <c r="AF338" s="401"/>
      <c r="AG338" s="401"/>
      <c r="AH338" s="401"/>
      <c r="AI338" s="401"/>
      <c r="AJ338" s="401"/>
      <c r="AK338" s="401"/>
      <c r="AL338" s="401"/>
    </row>
    <row r="339" spans="1:38" s="154" customFormat="1" ht="20.100000000000001" customHeight="1">
      <c r="A339" s="402"/>
      <c r="B339" s="393"/>
      <c r="C339" s="394"/>
      <c r="D339" s="393"/>
      <c r="E339" s="393"/>
      <c r="F339" s="393"/>
      <c r="G339" s="395"/>
      <c r="H339" s="396"/>
      <c r="I339" s="393"/>
      <c r="J339" s="393"/>
      <c r="K339" s="393"/>
      <c r="L339" s="393"/>
      <c r="M339" s="382"/>
      <c r="N339" s="393"/>
      <c r="O339" s="393"/>
      <c r="P339" s="396"/>
      <c r="Q339" s="393"/>
      <c r="R339" s="393"/>
      <c r="S339" s="393"/>
      <c r="T339" s="393"/>
      <c r="U339" s="393"/>
      <c r="V339" s="393"/>
      <c r="W339" s="393"/>
      <c r="X339" s="393"/>
      <c r="Y339" s="397"/>
      <c r="Z339" s="393"/>
      <c r="AA339" s="393"/>
      <c r="AB339" s="401"/>
      <c r="AC339" s="401"/>
      <c r="AD339" s="401"/>
      <c r="AE339" s="401"/>
      <c r="AF339" s="401"/>
      <c r="AG339" s="401"/>
      <c r="AH339" s="401"/>
      <c r="AI339" s="401"/>
      <c r="AJ339" s="401"/>
      <c r="AK339" s="401"/>
      <c r="AL339" s="401"/>
    </row>
    <row r="340" spans="1:38" s="154" customFormat="1" ht="20.100000000000001" customHeight="1">
      <c r="A340" s="402"/>
      <c r="B340" s="393"/>
      <c r="C340" s="394"/>
      <c r="D340" s="393"/>
      <c r="E340" s="393"/>
      <c r="F340" s="393"/>
      <c r="G340" s="395"/>
      <c r="H340" s="396"/>
      <c r="I340" s="393"/>
      <c r="J340" s="393"/>
      <c r="K340" s="393"/>
      <c r="L340" s="393"/>
      <c r="M340" s="382"/>
      <c r="N340" s="393"/>
      <c r="O340" s="393"/>
      <c r="P340" s="396"/>
      <c r="Q340" s="393"/>
      <c r="R340" s="393"/>
      <c r="S340" s="393"/>
      <c r="T340" s="393"/>
      <c r="U340" s="393"/>
      <c r="V340" s="393"/>
      <c r="W340" s="393"/>
      <c r="X340" s="393"/>
      <c r="Y340" s="397"/>
      <c r="Z340" s="393"/>
      <c r="AA340" s="393"/>
      <c r="AB340" s="401"/>
      <c r="AC340" s="401"/>
      <c r="AD340" s="401"/>
      <c r="AE340" s="401"/>
      <c r="AF340" s="401"/>
      <c r="AG340" s="401"/>
      <c r="AH340" s="401"/>
      <c r="AI340" s="401"/>
      <c r="AJ340" s="401"/>
      <c r="AK340" s="401"/>
      <c r="AL340" s="401"/>
    </row>
    <row r="341" spans="1:38" s="154" customFormat="1" ht="20.100000000000001" customHeight="1">
      <c r="A341" s="402"/>
      <c r="B341" s="393"/>
      <c r="C341" s="394"/>
      <c r="D341" s="393"/>
      <c r="E341" s="393"/>
      <c r="F341" s="393"/>
      <c r="G341" s="395"/>
      <c r="H341" s="396"/>
      <c r="I341" s="393"/>
      <c r="J341" s="393"/>
      <c r="K341" s="393"/>
      <c r="L341" s="393"/>
      <c r="M341" s="382"/>
      <c r="N341" s="393"/>
      <c r="O341" s="393"/>
      <c r="P341" s="396"/>
      <c r="Q341" s="393"/>
      <c r="R341" s="393"/>
      <c r="S341" s="393"/>
      <c r="T341" s="393"/>
      <c r="U341" s="393"/>
      <c r="V341" s="393"/>
      <c r="W341" s="393"/>
      <c r="X341" s="393"/>
      <c r="Y341" s="397"/>
      <c r="Z341" s="393"/>
      <c r="AA341" s="393"/>
      <c r="AB341" s="401"/>
      <c r="AC341" s="401"/>
      <c r="AD341" s="401"/>
      <c r="AE341" s="401"/>
      <c r="AF341" s="401"/>
      <c r="AG341" s="401"/>
      <c r="AH341" s="401"/>
      <c r="AI341" s="401"/>
      <c r="AJ341" s="401"/>
      <c r="AK341" s="401"/>
      <c r="AL341" s="401"/>
    </row>
    <row r="342" spans="1:38" s="154" customFormat="1" ht="20.100000000000001" customHeight="1">
      <c r="A342" s="402"/>
      <c r="B342" s="393"/>
      <c r="C342" s="394"/>
      <c r="D342" s="393"/>
      <c r="E342" s="393"/>
      <c r="F342" s="393"/>
      <c r="G342" s="395"/>
      <c r="H342" s="396"/>
      <c r="I342" s="393"/>
      <c r="J342" s="393"/>
      <c r="K342" s="393"/>
      <c r="L342" s="393"/>
      <c r="M342" s="382"/>
      <c r="N342" s="393"/>
      <c r="O342" s="393"/>
      <c r="P342" s="396"/>
      <c r="Q342" s="393"/>
      <c r="R342" s="393"/>
      <c r="S342" s="393"/>
      <c r="T342" s="393"/>
      <c r="U342" s="393"/>
      <c r="V342" s="393"/>
      <c r="W342" s="393"/>
      <c r="X342" s="393"/>
      <c r="Y342" s="397"/>
      <c r="Z342" s="393"/>
      <c r="AA342" s="393"/>
      <c r="AB342" s="401"/>
      <c r="AC342" s="401"/>
      <c r="AD342" s="401"/>
      <c r="AE342" s="401"/>
      <c r="AF342" s="401"/>
      <c r="AG342" s="401"/>
      <c r="AH342" s="401"/>
      <c r="AI342" s="401"/>
      <c r="AJ342" s="401"/>
      <c r="AK342" s="401"/>
      <c r="AL342" s="401"/>
    </row>
    <row r="343" spans="1:38" s="154" customFormat="1" ht="20.100000000000001" customHeight="1">
      <c r="A343" s="402"/>
      <c r="B343" s="393"/>
      <c r="C343" s="394"/>
      <c r="D343" s="393"/>
      <c r="E343" s="393"/>
      <c r="F343" s="393"/>
      <c r="G343" s="395"/>
      <c r="H343" s="396"/>
      <c r="I343" s="393"/>
      <c r="J343" s="393"/>
      <c r="K343" s="393"/>
      <c r="L343" s="393"/>
      <c r="M343" s="382"/>
      <c r="N343" s="393"/>
      <c r="O343" s="393"/>
      <c r="P343" s="396"/>
      <c r="Q343" s="393"/>
      <c r="R343" s="393"/>
      <c r="S343" s="393"/>
      <c r="T343" s="393"/>
      <c r="U343" s="393"/>
      <c r="V343" s="393"/>
      <c r="W343" s="393"/>
      <c r="X343" s="393"/>
      <c r="Y343" s="397"/>
      <c r="Z343" s="393"/>
      <c r="AA343" s="393"/>
      <c r="AB343" s="401"/>
      <c r="AC343" s="401"/>
      <c r="AD343" s="401"/>
      <c r="AE343" s="401"/>
      <c r="AF343" s="401"/>
      <c r="AG343" s="401"/>
      <c r="AH343" s="401"/>
      <c r="AI343" s="401"/>
      <c r="AJ343" s="401"/>
      <c r="AK343" s="401"/>
      <c r="AL343" s="401"/>
    </row>
    <row r="344" spans="1:38" s="154" customFormat="1" ht="20.100000000000001" customHeight="1">
      <c r="A344" s="402"/>
      <c r="B344" s="393"/>
      <c r="C344" s="394"/>
      <c r="D344" s="393"/>
      <c r="E344" s="393"/>
      <c r="F344" s="393"/>
      <c r="G344" s="395"/>
      <c r="H344" s="396"/>
      <c r="I344" s="393"/>
      <c r="J344" s="393"/>
      <c r="K344" s="393"/>
      <c r="L344" s="393"/>
      <c r="M344" s="382"/>
      <c r="N344" s="393"/>
      <c r="O344" s="393"/>
      <c r="P344" s="396"/>
      <c r="Q344" s="393"/>
      <c r="R344" s="393"/>
      <c r="S344" s="393"/>
      <c r="T344" s="393"/>
      <c r="U344" s="393"/>
      <c r="V344" s="393"/>
      <c r="W344" s="393"/>
      <c r="X344" s="393"/>
      <c r="Y344" s="397"/>
      <c r="Z344" s="393"/>
      <c r="AA344" s="393"/>
      <c r="AB344" s="401"/>
      <c r="AC344" s="401"/>
      <c r="AD344" s="401"/>
      <c r="AE344" s="401"/>
      <c r="AF344" s="401"/>
      <c r="AG344" s="401"/>
      <c r="AH344" s="401"/>
      <c r="AI344" s="401"/>
      <c r="AJ344" s="401"/>
      <c r="AK344" s="401"/>
      <c r="AL344" s="401"/>
    </row>
    <row r="345" spans="1:38" s="154" customFormat="1" ht="20.100000000000001" customHeight="1">
      <c r="A345" s="402"/>
      <c r="B345" s="393"/>
      <c r="C345" s="394"/>
      <c r="D345" s="393"/>
      <c r="E345" s="393"/>
      <c r="F345" s="393"/>
      <c r="G345" s="395"/>
      <c r="H345" s="396"/>
      <c r="I345" s="393"/>
      <c r="J345" s="393"/>
      <c r="K345" s="393"/>
      <c r="L345" s="393"/>
      <c r="M345" s="382"/>
      <c r="N345" s="393"/>
      <c r="O345" s="393"/>
      <c r="P345" s="396"/>
      <c r="Q345" s="393"/>
      <c r="R345" s="393"/>
      <c r="S345" s="393"/>
      <c r="T345" s="393"/>
      <c r="U345" s="393"/>
      <c r="V345" s="393"/>
      <c r="W345" s="393"/>
      <c r="X345" s="393"/>
      <c r="Y345" s="397"/>
      <c r="Z345" s="393"/>
      <c r="AA345" s="393"/>
      <c r="AB345" s="401"/>
      <c r="AC345" s="401"/>
      <c r="AD345" s="401"/>
      <c r="AE345" s="401"/>
      <c r="AF345" s="401"/>
      <c r="AG345" s="401"/>
      <c r="AH345" s="401"/>
      <c r="AI345" s="401"/>
      <c r="AJ345" s="401"/>
      <c r="AK345" s="401"/>
      <c r="AL345" s="401"/>
    </row>
    <row r="346" spans="1:38" s="154" customFormat="1" ht="20.100000000000001" customHeight="1">
      <c r="A346" s="402"/>
      <c r="B346" s="393"/>
      <c r="C346" s="394"/>
      <c r="D346" s="393"/>
      <c r="E346" s="393"/>
      <c r="F346" s="393"/>
      <c r="G346" s="395"/>
      <c r="H346" s="396"/>
      <c r="I346" s="393"/>
      <c r="J346" s="393"/>
      <c r="K346" s="393"/>
      <c r="L346" s="393"/>
      <c r="M346" s="382"/>
      <c r="N346" s="393"/>
      <c r="O346" s="393"/>
      <c r="P346" s="396"/>
      <c r="Q346" s="393"/>
      <c r="R346" s="393"/>
      <c r="S346" s="393"/>
      <c r="T346" s="393"/>
      <c r="U346" s="393"/>
      <c r="V346" s="393"/>
      <c r="W346" s="393"/>
      <c r="X346" s="393"/>
      <c r="Y346" s="397"/>
      <c r="Z346" s="393"/>
      <c r="AA346" s="393"/>
      <c r="AB346" s="401"/>
      <c r="AC346" s="401"/>
      <c r="AD346" s="401"/>
      <c r="AE346" s="401"/>
      <c r="AF346" s="401"/>
      <c r="AG346" s="401"/>
      <c r="AH346" s="401"/>
      <c r="AI346" s="401"/>
      <c r="AJ346" s="401"/>
      <c r="AK346" s="401"/>
      <c r="AL346" s="401"/>
    </row>
    <row r="347" spans="1:38" s="154" customFormat="1" ht="20.100000000000001" customHeight="1">
      <c r="A347" s="402"/>
      <c r="B347" s="393"/>
      <c r="C347" s="394"/>
      <c r="D347" s="393"/>
      <c r="E347" s="393"/>
      <c r="F347" s="393"/>
      <c r="G347" s="395"/>
      <c r="H347" s="396"/>
      <c r="I347" s="393"/>
      <c r="J347" s="393"/>
      <c r="K347" s="393"/>
      <c r="L347" s="393"/>
      <c r="M347" s="382"/>
      <c r="N347" s="393"/>
      <c r="O347" s="393"/>
      <c r="P347" s="396"/>
      <c r="Q347" s="393"/>
      <c r="R347" s="393"/>
      <c r="S347" s="393"/>
      <c r="T347" s="393"/>
      <c r="U347" s="393"/>
      <c r="V347" s="393"/>
      <c r="W347" s="393"/>
      <c r="X347" s="393"/>
      <c r="Y347" s="397"/>
      <c r="Z347" s="393"/>
      <c r="AA347" s="393"/>
      <c r="AB347" s="401"/>
      <c r="AC347" s="401"/>
      <c r="AD347" s="401"/>
      <c r="AE347" s="401"/>
      <c r="AF347" s="401"/>
      <c r="AG347" s="401"/>
      <c r="AH347" s="401"/>
      <c r="AI347" s="401"/>
      <c r="AJ347" s="401"/>
      <c r="AK347" s="401"/>
      <c r="AL347" s="401"/>
    </row>
    <row r="348" spans="1:38" s="154" customFormat="1" ht="20.100000000000001" customHeight="1">
      <c r="A348" s="402"/>
      <c r="B348" s="393"/>
      <c r="C348" s="394"/>
      <c r="D348" s="393"/>
      <c r="E348" s="393"/>
      <c r="F348" s="393"/>
      <c r="G348" s="395"/>
      <c r="H348" s="396"/>
      <c r="I348" s="393"/>
      <c r="J348" s="393"/>
      <c r="K348" s="393"/>
      <c r="L348" s="393"/>
      <c r="M348" s="382"/>
      <c r="N348" s="393"/>
      <c r="O348" s="393"/>
      <c r="P348" s="396"/>
      <c r="Q348" s="393"/>
      <c r="R348" s="393"/>
      <c r="S348" s="393"/>
      <c r="T348" s="393"/>
      <c r="U348" s="393"/>
      <c r="V348" s="393"/>
      <c r="W348" s="393"/>
      <c r="X348" s="393"/>
      <c r="Y348" s="397"/>
      <c r="Z348" s="393"/>
      <c r="AA348" s="393"/>
      <c r="AB348" s="401"/>
      <c r="AC348" s="401"/>
      <c r="AD348" s="401"/>
      <c r="AE348" s="401"/>
      <c r="AF348" s="401"/>
      <c r="AG348" s="401"/>
      <c r="AH348" s="401"/>
      <c r="AI348" s="401"/>
      <c r="AJ348" s="401"/>
      <c r="AK348" s="401"/>
      <c r="AL348" s="401"/>
    </row>
    <row r="349" spans="1:38" s="154" customFormat="1" ht="20.100000000000001" customHeight="1">
      <c r="A349" s="402"/>
      <c r="B349" s="393"/>
      <c r="C349" s="394"/>
      <c r="D349" s="393"/>
      <c r="E349" s="393"/>
      <c r="F349" s="393"/>
      <c r="G349" s="395"/>
      <c r="H349" s="396"/>
      <c r="I349" s="393"/>
      <c r="J349" s="393"/>
      <c r="K349" s="393"/>
      <c r="L349" s="393"/>
      <c r="M349" s="382"/>
      <c r="N349" s="393"/>
      <c r="O349" s="393"/>
      <c r="P349" s="396"/>
      <c r="Q349" s="393"/>
      <c r="R349" s="393"/>
      <c r="S349" s="393"/>
      <c r="T349" s="393"/>
      <c r="U349" s="393"/>
      <c r="V349" s="393"/>
      <c r="W349" s="393"/>
      <c r="X349" s="393"/>
      <c r="Y349" s="397"/>
      <c r="Z349" s="393"/>
      <c r="AA349" s="393"/>
      <c r="AB349" s="401"/>
      <c r="AC349" s="401"/>
      <c r="AD349" s="401"/>
      <c r="AE349" s="401"/>
      <c r="AF349" s="401"/>
      <c r="AG349" s="401"/>
      <c r="AH349" s="401"/>
      <c r="AI349" s="401"/>
      <c r="AJ349" s="401"/>
      <c r="AK349" s="401"/>
      <c r="AL349" s="401"/>
    </row>
    <row r="350" spans="1:38" s="154" customFormat="1" ht="20.100000000000001" customHeight="1">
      <c r="A350" s="402"/>
      <c r="B350" s="393"/>
      <c r="C350" s="394"/>
      <c r="D350" s="393"/>
      <c r="E350" s="393"/>
      <c r="F350" s="393"/>
      <c r="G350" s="395"/>
      <c r="H350" s="396"/>
      <c r="I350" s="393"/>
      <c r="J350" s="393"/>
      <c r="K350" s="393"/>
      <c r="L350" s="393"/>
      <c r="M350" s="382"/>
      <c r="N350" s="393"/>
      <c r="O350" s="393"/>
      <c r="P350" s="396"/>
      <c r="Q350" s="393"/>
      <c r="R350" s="393"/>
      <c r="S350" s="393"/>
      <c r="T350" s="393"/>
      <c r="U350" s="393"/>
      <c r="V350" s="393"/>
      <c r="W350" s="393"/>
      <c r="X350" s="393"/>
      <c r="Y350" s="397"/>
      <c r="Z350" s="393"/>
      <c r="AA350" s="393"/>
      <c r="AB350" s="401"/>
      <c r="AC350" s="401"/>
      <c r="AD350" s="401"/>
      <c r="AE350" s="401"/>
      <c r="AF350" s="401"/>
      <c r="AG350" s="401"/>
      <c r="AH350" s="401"/>
      <c r="AI350" s="401"/>
      <c r="AJ350" s="401"/>
      <c r="AK350" s="401"/>
      <c r="AL350" s="401"/>
    </row>
    <row r="351" spans="1:38" s="154" customFormat="1" ht="20.100000000000001" customHeight="1">
      <c r="A351" s="402"/>
      <c r="B351" s="393"/>
      <c r="C351" s="394"/>
      <c r="D351" s="393"/>
      <c r="E351" s="393"/>
      <c r="F351" s="393"/>
      <c r="G351" s="395"/>
      <c r="H351" s="396"/>
      <c r="I351" s="393"/>
      <c r="J351" s="393"/>
      <c r="K351" s="393"/>
      <c r="L351" s="393"/>
      <c r="M351" s="382"/>
      <c r="N351" s="393"/>
      <c r="O351" s="393"/>
      <c r="P351" s="396"/>
      <c r="Q351" s="393"/>
      <c r="R351" s="393"/>
      <c r="S351" s="393"/>
      <c r="T351" s="393"/>
      <c r="U351" s="393"/>
      <c r="V351" s="393"/>
      <c r="W351" s="393"/>
      <c r="X351" s="393"/>
      <c r="Y351" s="397"/>
      <c r="Z351" s="393"/>
      <c r="AA351" s="393"/>
      <c r="AB351" s="401"/>
      <c r="AC351" s="401"/>
      <c r="AD351" s="401"/>
      <c r="AE351" s="401"/>
      <c r="AF351" s="401"/>
      <c r="AG351" s="401"/>
      <c r="AH351" s="401"/>
      <c r="AI351" s="401"/>
      <c r="AJ351" s="401"/>
      <c r="AK351" s="401"/>
      <c r="AL351" s="401"/>
    </row>
    <row r="352" spans="1:38" s="154" customFormat="1" ht="20.100000000000001" customHeight="1">
      <c r="A352" s="402"/>
      <c r="B352" s="393"/>
      <c r="C352" s="394"/>
      <c r="D352" s="393"/>
      <c r="E352" s="393"/>
      <c r="F352" s="393"/>
      <c r="G352" s="395"/>
      <c r="H352" s="396"/>
      <c r="I352" s="393"/>
      <c r="J352" s="393"/>
      <c r="K352" s="393"/>
      <c r="L352" s="393"/>
      <c r="M352" s="382"/>
      <c r="N352" s="393"/>
      <c r="O352" s="393"/>
      <c r="P352" s="396"/>
      <c r="Q352" s="393"/>
      <c r="R352" s="393"/>
      <c r="S352" s="393"/>
      <c r="T352" s="393"/>
      <c r="U352" s="393"/>
      <c r="V352" s="393"/>
      <c r="W352" s="393"/>
      <c r="X352" s="393"/>
      <c r="Y352" s="397"/>
      <c r="Z352" s="393"/>
      <c r="AA352" s="393"/>
      <c r="AB352" s="401"/>
      <c r="AC352" s="401"/>
      <c r="AD352" s="401"/>
      <c r="AE352" s="401"/>
      <c r="AF352" s="401"/>
      <c r="AG352" s="401"/>
      <c r="AH352" s="401"/>
      <c r="AI352" s="401"/>
      <c r="AJ352" s="401"/>
      <c r="AK352" s="401"/>
      <c r="AL352" s="401"/>
    </row>
    <row r="353" spans="1:38" s="154" customFormat="1" ht="20.100000000000001" customHeight="1">
      <c r="A353" s="402"/>
      <c r="B353" s="393"/>
      <c r="C353" s="394"/>
      <c r="D353" s="393"/>
      <c r="E353" s="393"/>
      <c r="F353" s="393"/>
      <c r="G353" s="395"/>
      <c r="H353" s="396"/>
      <c r="I353" s="393"/>
      <c r="J353" s="393"/>
      <c r="K353" s="393"/>
      <c r="L353" s="393"/>
      <c r="M353" s="382"/>
      <c r="N353" s="393"/>
      <c r="O353" s="393"/>
      <c r="P353" s="396"/>
      <c r="Q353" s="393"/>
      <c r="R353" s="393"/>
      <c r="S353" s="393"/>
      <c r="T353" s="393"/>
      <c r="U353" s="393"/>
      <c r="V353" s="393"/>
      <c r="W353" s="393"/>
      <c r="X353" s="393"/>
      <c r="Y353" s="397"/>
      <c r="Z353" s="393"/>
      <c r="AA353" s="393"/>
      <c r="AB353" s="401"/>
      <c r="AC353" s="401"/>
      <c r="AD353" s="401"/>
      <c r="AE353" s="401"/>
      <c r="AF353" s="401"/>
      <c r="AG353" s="401"/>
      <c r="AH353" s="401"/>
      <c r="AI353" s="401"/>
      <c r="AJ353" s="401"/>
      <c r="AK353" s="401"/>
      <c r="AL353" s="401"/>
    </row>
    <row r="354" spans="1:38" s="154" customFormat="1" ht="20.100000000000001" customHeight="1">
      <c r="A354" s="402"/>
      <c r="B354" s="393"/>
      <c r="C354" s="394"/>
      <c r="D354" s="393"/>
      <c r="E354" s="393"/>
      <c r="F354" s="393"/>
      <c r="G354" s="395"/>
      <c r="H354" s="396"/>
      <c r="I354" s="393"/>
      <c r="J354" s="393"/>
      <c r="K354" s="393"/>
      <c r="L354" s="393"/>
      <c r="M354" s="382"/>
      <c r="N354" s="393"/>
      <c r="O354" s="393"/>
      <c r="P354" s="396"/>
      <c r="Q354" s="393"/>
      <c r="R354" s="393"/>
      <c r="S354" s="393"/>
      <c r="T354" s="393"/>
      <c r="U354" s="393"/>
      <c r="V354" s="393"/>
      <c r="W354" s="393"/>
      <c r="X354" s="393"/>
      <c r="Y354" s="397"/>
      <c r="Z354" s="393"/>
      <c r="AA354" s="393"/>
      <c r="AB354" s="401"/>
      <c r="AC354" s="401"/>
      <c r="AD354" s="401"/>
      <c r="AE354" s="401"/>
      <c r="AF354" s="401"/>
      <c r="AG354" s="401"/>
      <c r="AH354" s="401"/>
      <c r="AI354" s="401"/>
      <c r="AJ354" s="401"/>
      <c r="AK354" s="401"/>
      <c r="AL354" s="401"/>
    </row>
    <row r="355" spans="1:38" s="154" customFormat="1" ht="20.100000000000001" customHeight="1">
      <c r="A355" s="402"/>
      <c r="B355" s="393"/>
      <c r="C355" s="394"/>
      <c r="D355" s="393"/>
      <c r="E355" s="393"/>
      <c r="F355" s="393"/>
      <c r="G355" s="395"/>
      <c r="H355" s="396"/>
      <c r="I355" s="393"/>
      <c r="J355" s="393"/>
      <c r="K355" s="393"/>
      <c r="L355" s="393"/>
      <c r="M355" s="382"/>
      <c r="N355" s="393"/>
      <c r="O355" s="393"/>
      <c r="P355" s="396"/>
      <c r="Q355" s="393"/>
      <c r="R355" s="393"/>
      <c r="S355" s="393"/>
      <c r="T355" s="393"/>
      <c r="U355" s="393"/>
      <c r="V355" s="393"/>
      <c r="W355" s="393"/>
      <c r="X355" s="393"/>
      <c r="Y355" s="397"/>
      <c r="Z355" s="393"/>
      <c r="AA355" s="393"/>
      <c r="AB355" s="401"/>
      <c r="AC355" s="401"/>
      <c r="AD355" s="401"/>
      <c r="AE355" s="401"/>
      <c r="AF355" s="401"/>
      <c r="AG355" s="401"/>
      <c r="AH355" s="401"/>
      <c r="AI355" s="401"/>
      <c r="AJ355" s="401"/>
      <c r="AK355" s="401"/>
      <c r="AL355" s="401"/>
    </row>
    <row r="356" spans="1:38" s="154" customFormat="1" ht="20.100000000000001" customHeight="1">
      <c r="A356" s="402"/>
      <c r="B356" s="393"/>
      <c r="C356" s="394"/>
      <c r="D356" s="393"/>
      <c r="E356" s="393"/>
      <c r="F356" s="393"/>
      <c r="G356" s="395"/>
      <c r="H356" s="396"/>
      <c r="I356" s="393"/>
      <c r="J356" s="393"/>
      <c r="K356" s="393"/>
      <c r="L356" s="393"/>
      <c r="M356" s="382"/>
      <c r="N356" s="393"/>
      <c r="O356" s="393"/>
      <c r="P356" s="396"/>
      <c r="Q356" s="393"/>
      <c r="R356" s="393"/>
      <c r="S356" s="393"/>
      <c r="T356" s="393"/>
      <c r="U356" s="393"/>
      <c r="V356" s="393"/>
      <c r="W356" s="393"/>
      <c r="X356" s="393"/>
      <c r="Y356" s="397"/>
      <c r="Z356" s="393"/>
      <c r="AA356" s="393"/>
      <c r="AB356" s="401"/>
      <c r="AC356" s="401"/>
      <c r="AD356" s="401"/>
      <c r="AE356" s="401"/>
      <c r="AF356" s="401"/>
      <c r="AG356" s="401"/>
      <c r="AH356" s="401"/>
      <c r="AI356" s="401"/>
      <c r="AJ356" s="401"/>
      <c r="AK356" s="401"/>
      <c r="AL356" s="401"/>
    </row>
    <row r="357" spans="1:38" s="154" customFormat="1" ht="20.100000000000001" customHeight="1">
      <c r="A357" s="402"/>
      <c r="B357" s="393"/>
      <c r="C357" s="394"/>
      <c r="D357" s="393"/>
      <c r="E357" s="393"/>
      <c r="F357" s="393"/>
      <c r="G357" s="395"/>
      <c r="H357" s="396"/>
      <c r="I357" s="393"/>
      <c r="J357" s="393"/>
      <c r="K357" s="393"/>
      <c r="L357" s="393"/>
      <c r="M357" s="382"/>
      <c r="N357" s="393"/>
      <c r="O357" s="393"/>
      <c r="P357" s="396"/>
      <c r="Q357" s="393"/>
      <c r="R357" s="393"/>
      <c r="S357" s="393"/>
      <c r="T357" s="393"/>
      <c r="U357" s="393"/>
      <c r="V357" s="393"/>
      <c r="W357" s="393"/>
      <c r="X357" s="393"/>
      <c r="Y357" s="397"/>
      <c r="Z357" s="393"/>
      <c r="AA357" s="393"/>
      <c r="AB357" s="401"/>
      <c r="AC357" s="401"/>
      <c r="AD357" s="401"/>
      <c r="AE357" s="401"/>
      <c r="AF357" s="401"/>
      <c r="AG357" s="401"/>
      <c r="AH357" s="401"/>
      <c r="AI357" s="401"/>
      <c r="AJ357" s="401"/>
      <c r="AK357" s="401"/>
      <c r="AL357" s="401"/>
    </row>
    <row r="358" spans="1:38" s="154" customFormat="1" ht="20.100000000000001" customHeight="1">
      <c r="A358" s="402"/>
      <c r="B358" s="393"/>
      <c r="C358" s="394"/>
      <c r="D358" s="393"/>
      <c r="E358" s="393"/>
      <c r="F358" s="393"/>
      <c r="G358" s="395"/>
      <c r="H358" s="396"/>
      <c r="I358" s="393"/>
      <c r="J358" s="393"/>
      <c r="K358" s="393"/>
      <c r="L358" s="393"/>
      <c r="M358" s="382"/>
      <c r="N358" s="393"/>
      <c r="O358" s="393"/>
      <c r="P358" s="396"/>
      <c r="Q358" s="393"/>
      <c r="R358" s="393"/>
      <c r="S358" s="393"/>
      <c r="T358" s="393"/>
      <c r="U358" s="393"/>
      <c r="V358" s="393"/>
      <c r="W358" s="393"/>
      <c r="X358" s="393"/>
      <c r="Y358" s="397"/>
      <c r="Z358" s="393"/>
      <c r="AA358" s="393"/>
      <c r="AB358" s="401"/>
      <c r="AC358" s="401"/>
      <c r="AD358" s="401"/>
      <c r="AE358" s="401"/>
      <c r="AF358" s="401"/>
      <c r="AG358" s="401"/>
      <c r="AH358" s="401"/>
      <c r="AI358" s="401"/>
      <c r="AJ358" s="401"/>
      <c r="AK358" s="401"/>
      <c r="AL358" s="401"/>
    </row>
    <row r="359" spans="1:38" s="154" customFormat="1" ht="20.100000000000001" customHeight="1">
      <c r="A359" s="402"/>
      <c r="B359" s="393"/>
      <c r="C359" s="394"/>
      <c r="D359" s="393"/>
      <c r="E359" s="393"/>
      <c r="F359" s="393"/>
      <c r="G359" s="395"/>
      <c r="H359" s="396"/>
      <c r="I359" s="393"/>
      <c r="J359" s="393"/>
      <c r="K359" s="393"/>
      <c r="L359" s="393"/>
      <c r="M359" s="382"/>
      <c r="N359" s="393"/>
      <c r="O359" s="393"/>
      <c r="P359" s="396"/>
      <c r="Q359" s="393"/>
      <c r="R359" s="393"/>
      <c r="S359" s="393"/>
      <c r="T359" s="393"/>
      <c r="U359" s="393"/>
      <c r="V359" s="393"/>
      <c r="W359" s="393"/>
      <c r="X359" s="393"/>
      <c r="Y359" s="397"/>
      <c r="Z359" s="393"/>
      <c r="AA359" s="393"/>
      <c r="AB359" s="401"/>
      <c r="AC359" s="401"/>
      <c r="AD359" s="401"/>
      <c r="AE359" s="401"/>
      <c r="AF359" s="401"/>
      <c r="AG359" s="401"/>
      <c r="AH359" s="401"/>
      <c r="AI359" s="401"/>
      <c r="AJ359" s="401"/>
      <c r="AK359" s="401"/>
      <c r="AL359" s="401"/>
    </row>
    <row r="360" spans="1:38" s="154" customFormat="1" ht="20.100000000000001" customHeight="1">
      <c r="A360" s="402"/>
      <c r="B360" s="393"/>
      <c r="C360" s="394"/>
      <c r="D360" s="393"/>
      <c r="E360" s="393"/>
      <c r="F360" s="393"/>
      <c r="G360" s="395"/>
      <c r="H360" s="396"/>
      <c r="I360" s="393"/>
      <c r="J360" s="393"/>
      <c r="K360" s="393"/>
      <c r="L360" s="393"/>
      <c r="M360" s="382"/>
      <c r="N360" s="393"/>
      <c r="O360" s="393"/>
      <c r="P360" s="396"/>
      <c r="Q360" s="393"/>
      <c r="R360" s="393"/>
      <c r="S360" s="393"/>
      <c r="T360" s="393"/>
      <c r="U360" s="393"/>
      <c r="V360" s="393"/>
      <c r="W360" s="393"/>
      <c r="X360" s="393"/>
      <c r="Y360" s="397"/>
      <c r="Z360" s="393"/>
      <c r="AA360" s="393"/>
      <c r="AB360" s="401"/>
      <c r="AC360" s="401"/>
      <c r="AD360" s="401"/>
      <c r="AE360" s="401"/>
      <c r="AF360" s="401"/>
      <c r="AG360" s="401"/>
      <c r="AH360" s="401"/>
      <c r="AI360" s="401"/>
      <c r="AJ360" s="401"/>
      <c r="AK360" s="401"/>
      <c r="AL360" s="401"/>
    </row>
    <row r="361" spans="1:38" s="154" customFormat="1" ht="20.100000000000001" customHeight="1">
      <c r="A361" s="402"/>
      <c r="B361" s="393"/>
      <c r="C361" s="394"/>
      <c r="D361" s="393"/>
      <c r="E361" s="393"/>
      <c r="F361" s="393"/>
      <c r="G361" s="395"/>
      <c r="H361" s="396"/>
      <c r="I361" s="393"/>
      <c r="J361" s="393"/>
      <c r="K361" s="393"/>
      <c r="L361" s="393"/>
      <c r="M361" s="382"/>
      <c r="N361" s="393"/>
      <c r="O361" s="393"/>
      <c r="P361" s="396"/>
      <c r="Q361" s="393"/>
      <c r="R361" s="393"/>
      <c r="S361" s="393"/>
      <c r="T361" s="393"/>
      <c r="U361" s="393"/>
      <c r="V361" s="393"/>
      <c r="W361" s="393"/>
      <c r="X361" s="393"/>
      <c r="Y361" s="397"/>
      <c r="Z361" s="393"/>
      <c r="AA361" s="393"/>
      <c r="AB361" s="401"/>
      <c r="AC361" s="401"/>
      <c r="AD361" s="401"/>
      <c r="AE361" s="401"/>
      <c r="AF361" s="401"/>
      <c r="AG361" s="401"/>
      <c r="AH361" s="401"/>
      <c r="AI361" s="401"/>
      <c r="AJ361" s="401"/>
      <c r="AK361" s="401"/>
      <c r="AL361" s="401"/>
    </row>
    <row r="362" spans="1:38" s="154" customFormat="1" ht="20.100000000000001" customHeight="1">
      <c r="A362" s="402"/>
      <c r="B362" s="393"/>
      <c r="C362" s="394"/>
      <c r="D362" s="393"/>
      <c r="E362" s="393"/>
      <c r="F362" s="393"/>
      <c r="G362" s="395"/>
      <c r="H362" s="396"/>
      <c r="I362" s="393"/>
      <c r="J362" s="393"/>
      <c r="K362" s="393"/>
      <c r="L362" s="393"/>
      <c r="M362" s="382"/>
      <c r="N362" s="393"/>
      <c r="O362" s="393"/>
      <c r="P362" s="396"/>
      <c r="Q362" s="393"/>
      <c r="R362" s="393"/>
      <c r="S362" s="393"/>
      <c r="T362" s="393"/>
      <c r="U362" s="393"/>
      <c r="V362" s="393"/>
      <c r="W362" s="393"/>
      <c r="X362" s="393"/>
      <c r="Y362" s="397"/>
      <c r="Z362" s="393"/>
      <c r="AA362" s="393"/>
      <c r="AB362" s="401"/>
      <c r="AC362" s="401"/>
      <c r="AD362" s="401"/>
      <c r="AE362" s="401"/>
      <c r="AF362" s="401"/>
      <c r="AG362" s="401"/>
      <c r="AH362" s="401"/>
      <c r="AI362" s="401"/>
      <c r="AJ362" s="401"/>
      <c r="AK362" s="401"/>
      <c r="AL362" s="401"/>
    </row>
    <row r="363" spans="1:38" s="154" customFormat="1" ht="20.100000000000001" customHeight="1">
      <c r="A363" s="402"/>
      <c r="B363" s="393"/>
      <c r="C363" s="394"/>
      <c r="D363" s="393"/>
      <c r="E363" s="393"/>
      <c r="F363" s="393"/>
      <c r="G363" s="395"/>
      <c r="H363" s="396"/>
      <c r="I363" s="393"/>
      <c r="J363" s="393"/>
      <c r="K363" s="393"/>
      <c r="L363" s="393"/>
      <c r="M363" s="382"/>
      <c r="N363" s="393"/>
      <c r="O363" s="393"/>
      <c r="P363" s="396"/>
      <c r="Q363" s="393"/>
      <c r="R363" s="393"/>
      <c r="S363" s="393"/>
      <c r="T363" s="393"/>
      <c r="U363" s="393"/>
      <c r="V363" s="393"/>
      <c r="W363" s="393"/>
      <c r="X363" s="393"/>
      <c r="Y363" s="397"/>
      <c r="Z363" s="393"/>
      <c r="AA363" s="393"/>
      <c r="AB363" s="401"/>
      <c r="AC363" s="401"/>
      <c r="AD363" s="401"/>
      <c r="AE363" s="401"/>
      <c r="AF363" s="401"/>
      <c r="AG363" s="401"/>
      <c r="AH363" s="401"/>
      <c r="AI363" s="401"/>
      <c r="AJ363" s="401"/>
      <c r="AK363" s="401"/>
      <c r="AL363" s="401"/>
    </row>
    <row r="364" spans="1:38" s="154" customFormat="1" ht="20.100000000000001" customHeight="1">
      <c r="A364" s="402"/>
      <c r="B364" s="393"/>
      <c r="C364" s="394"/>
      <c r="D364" s="393"/>
      <c r="E364" s="393"/>
      <c r="F364" s="393"/>
      <c r="G364" s="395"/>
      <c r="H364" s="396"/>
      <c r="I364" s="393"/>
      <c r="J364" s="393"/>
      <c r="K364" s="393"/>
      <c r="L364" s="393"/>
      <c r="M364" s="382"/>
      <c r="N364" s="393"/>
      <c r="O364" s="393"/>
      <c r="P364" s="396"/>
      <c r="Q364" s="393"/>
      <c r="R364" s="393"/>
      <c r="S364" s="393"/>
      <c r="T364" s="393"/>
      <c r="U364" s="393"/>
      <c r="V364" s="393"/>
      <c r="W364" s="393"/>
      <c r="X364" s="393"/>
      <c r="Y364" s="397"/>
      <c r="Z364" s="393"/>
      <c r="AA364" s="393"/>
      <c r="AB364" s="401"/>
      <c r="AC364" s="401"/>
      <c r="AD364" s="401"/>
      <c r="AE364" s="401"/>
      <c r="AF364" s="401"/>
      <c r="AG364" s="401"/>
      <c r="AH364" s="401"/>
      <c r="AI364" s="401"/>
      <c r="AJ364" s="401"/>
      <c r="AK364" s="401"/>
      <c r="AL364" s="401"/>
    </row>
    <row r="365" spans="1:38" s="154" customFormat="1" ht="20.100000000000001" customHeight="1">
      <c r="A365" s="402"/>
      <c r="B365" s="393"/>
      <c r="C365" s="394"/>
      <c r="D365" s="393"/>
      <c r="E365" s="393"/>
      <c r="F365" s="393"/>
      <c r="G365" s="395"/>
      <c r="H365" s="396"/>
      <c r="I365" s="393"/>
      <c r="J365" s="393"/>
      <c r="K365" s="393"/>
      <c r="L365" s="393"/>
      <c r="M365" s="382"/>
      <c r="N365" s="393"/>
      <c r="O365" s="393"/>
      <c r="P365" s="396"/>
      <c r="Q365" s="393"/>
      <c r="R365" s="393"/>
      <c r="S365" s="393"/>
      <c r="T365" s="393"/>
      <c r="U365" s="393"/>
      <c r="V365" s="393"/>
      <c r="W365" s="393"/>
      <c r="X365" s="393"/>
      <c r="Y365" s="397"/>
      <c r="Z365" s="393"/>
      <c r="AA365" s="393"/>
      <c r="AB365" s="401"/>
      <c r="AC365" s="401"/>
      <c r="AD365" s="401"/>
      <c r="AE365" s="401"/>
      <c r="AF365" s="401"/>
      <c r="AG365" s="401"/>
      <c r="AH365" s="401"/>
      <c r="AI365" s="401"/>
      <c r="AJ365" s="401"/>
      <c r="AK365" s="401"/>
      <c r="AL365" s="401"/>
    </row>
    <row r="366" spans="1:38" s="154" customFormat="1" ht="20.100000000000001" customHeight="1">
      <c r="A366" s="402"/>
      <c r="B366" s="393"/>
      <c r="C366" s="394"/>
      <c r="D366" s="393"/>
      <c r="E366" s="393"/>
      <c r="F366" s="393"/>
      <c r="G366" s="395"/>
      <c r="H366" s="396"/>
      <c r="I366" s="393"/>
      <c r="J366" s="393"/>
      <c r="K366" s="393"/>
      <c r="L366" s="393"/>
      <c r="M366" s="382"/>
      <c r="N366" s="393"/>
      <c r="O366" s="393"/>
      <c r="P366" s="396"/>
      <c r="Q366" s="393"/>
      <c r="R366" s="393"/>
      <c r="S366" s="393"/>
      <c r="T366" s="393"/>
      <c r="U366" s="393"/>
      <c r="V366" s="393"/>
      <c r="W366" s="393"/>
      <c r="X366" s="393"/>
      <c r="Y366" s="397"/>
      <c r="Z366" s="393"/>
      <c r="AA366" s="393"/>
      <c r="AB366" s="401"/>
      <c r="AC366" s="401"/>
      <c r="AD366" s="401"/>
      <c r="AE366" s="401"/>
      <c r="AF366" s="401"/>
      <c r="AG366" s="401"/>
      <c r="AH366" s="401"/>
      <c r="AI366" s="401"/>
      <c r="AJ366" s="401"/>
      <c r="AK366" s="401"/>
      <c r="AL366" s="401"/>
    </row>
    <row r="367" spans="1:38" s="154" customFormat="1" ht="20.100000000000001" customHeight="1">
      <c r="A367" s="402"/>
      <c r="B367" s="393"/>
      <c r="C367" s="394"/>
      <c r="D367" s="393"/>
      <c r="E367" s="393"/>
      <c r="F367" s="393"/>
      <c r="G367" s="395"/>
      <c r="H367" s="396"/>
      <c r="I367" s="393"/>
      <c r="J367" s="393"/>
      <c r="K367" s="393"/>
      <c r="L367" s="393"/>
      <c r="M367" s="382"/>
      <c r="N367" s="393"/>
      <c r="O367" s="393"/>
      <c r="P367" s="396"/>
      <c r="Q367" s="393"/>
      <c r="R367" s="393"/>
      <c r="S367" s="393"/>
      <c r="T367" s="393"/>
      <c r="U367" s="393"/>
      <c r="V367" s="393"/>
      <c r="W367" s="393"/>
      <c r="X367" s="393"/>
      <c r="Y367" s="397"/>
      <c r="Z367" s="393"/>
      <c r="AA367" s="393"/>
      <c r="AB367" s="401"/>
      <c r="AC367" s="401"/>
      <c r="AD367" s="401"/>
      <c r="AE367" s="401"/>
      <c r="AF367" s="401"/>
      <c r="AG367" s="401"/>
      <c r="AH367" s="401"/>
      <c r="AI367" s="401"/>
      <c r="AJ367" s="401"/>
      <c r="AK367" s="401"/>
      <c r="AL367" s="401"/>
    </row>
    <row r="368" spans="1:38" s="154" customFormat="1" ht="20.100000000000001" customHeight="1">
      <c r="A368" s="402"/>
      <c r="B368" s="393"/>
      <c r="C368" s="394"/>
      <c r="D368" s="393"/>
      <c r="E368" s="393"/>
      <c r="F368" s="393"/>
      <c r="G368" s="395"/>
      <c r="H368" s="396"/>
      <c r="I368" s="393"/>
      <c r="J368" s="393"/>
      <c r="K368" s="393"/>
      <c r="L368" s="393"/>
      <c r="M368" s="382"/>
      <c r="N368" s="393"/>
      <c r="O368" s="393"/>
      <c r="P368" s="396"/>
      <c r="Q368" s="393"/>
      <c r="R368" s="393"/>
      <c r="S368" s="393"/>
      <c r="T368" s="393"/>
      <c r="U368" s="393"/>
      <c r="V368" s="393"/>
      <c r="W368" s="393"/>
      <c r="X368" s="393"/>
      <c r="Y368" s="397"/>
      <c r="Z368" s="393"/>
      <c r="AA368" s="393"/>
      <c r="AB368" s="401"/>
      <c r="AC368" s="401"/>
      <c r="AD368" s="401"/>
      <c r="AE368" s="401"/>
      <c r="AF368" s="401"/>
      <c r="AG368" s="401"/>
      <c r="AH368" s="401"/>
      <c r="AI368" s="401"/>
      <c r="AJ368" s="401"/>
      <c r="AK368" s="401"/>
      <c r="AL368" s="401"/>
    </row>
    <row r="369" spans="1:38" s="154" customFormat="1" ht="20.100000000000001" customHeight="1">
      <c r="A369" s="402"/>
      <c r="B369" s="393"/>
      <c r="C369" s="394"/>
      <c r="D369" s="393"/>
      <c r="E369" s="393"/>
      <c r="F369" s="393"/>
      <c r="G369" s="395"/>
      <c r="H369" s="396"/>
      <c r="I369" s="393"/>
      <c r="J369" s="393"/>
      <c r="K369" s="393"/>
      <c r="L369" s="393"/>
      <c r="M369" s="382"/>
      <c r="N369" s="393"/>
      <c r="O369" s="393"/>
      <c r="P369" s="396"/>
      <c r="Q369" s="393"/>
      <c r="R369" s="393"/>
      <c r="S369" s="393"/>
      <c r="T369" s="393"/>
      <c r="U369" s="393"/>
      <c r="V369" s="393"/>
      <c r="W369" s="393"/>
      <c r="X369" s="393"/>
      <c r="Y369" s="397"/>
      <c r="Z369" s="393"/>
      <c r="AA369" s="393"/>
      <c r="AB369" s="401"/>
      <c r="AC369" s="401"/>
      <c r="AD369" s="401"/>
      <c r="AE369" s="401"/>
      <c r="AF369" s="401"/>
      <c r="AG369" s="401"/>
      <c r="AH369" s="401"/>
      <c r="AI369" s="401"/>
      <c r="AJ369" s="401"/>
      <c r="AK369" s="401"/>
      <c r="AL369" s="401"/>
    </row>
    <row r="370" spans="1:38" s="154" customFormat="1" ht="20.100000000000001" customHeight="1">
      <c r="A370" s="402"/>
      <c r="B370" s="393"/>
      <c r="C370" s="394"/>
      <c r="D370" s="393"/>
      <c r="E370" s="393"/>
      <c r="F370" s="393"/>
      <c r="G370" s="395"/>
      <c r="H370" s="396"/>
      <c r="I370" s="393"/>
      <c r="J370" s="393"/>
      <c r="K370" s="393"/>
      <c r="L370" s="393"/>
      <c r="M370" s="382"/>
      <c r="N370" s="393"/>
      <c r="O370" s="393"/>
      <c r="P370" s="396"/>
      <c r="Q370" s="393"/>
      <c r="R370" s="393"/>
      <c r="S370" s="393"/>
      <c r="T370" s="393"/>
      <c r="U370" s="393"/>
      <c r="V370" s="393"/>
      <c r="W370" s="393"/>
      <c r="X370" s="393"/>
      <c r="Y370" s="397"/>
      <c r="Z370" s="393"/>
      <c r="AA370" s="393"/>
      <c r="AB370" s="401"/>
      <c r="AC370" s="401"/>
      <c r="AD370" s="401"/>
      <c r="AE370" s="401"/>
      <c r="AF370" s="401"/>
      <c r="AG370" s="401"/>
      <c r="AH370" s="401"/>
      <c r="AI370" s="401"/>
      <c r="AJ370" s="401"/>
      <c r="AK370" s="401"/>
      <c r="AL370" s="401"/>
    </row>
    <row r="371" spans="1:38" s="154" customFormat="1" ht="20.100000000000001" customHeight="1">
      <c r="A371" s="402"/>
      <c r="B371" s="393"/>
      <c r="C371" s="394"/>
      <c r="D371" s="393"/>
      <c r="E371" s="393"/>
      <c r="F371" s="393"/>
      <c r="G371" s="395"/>
      <c r="H371" s="396"/>
      <c r="I371" s="393"/>
      <c r="J371" s="393"/>
      <c r="K371" s="393"/>
      <c r="L371" s="393"/>
      <c r="M371" s="382"/>
      <c r="N371" s="393"/>
      <c r="O371" s="393"/>
      <c r="P371" s="396"/>
      <c r="Q371" s="393"/>
      <c r="R371" s="393"/>
      <c r="S371" s="393"/>
      <c r="T371" s="393"/>
      <c r="U371" s="393"/>
      <c r="V371" s="393"/>
      <c r="W371" s="393"/>
      <c r="X371" s="393"/>
      <c r="Y371" s="397"/>
      <c r="Z371" s="393"/>
      <c r="AA371" s="393"/>
      <c r="AB371" s="401"/>
      <c r="AC371" s="401"/>
      <c r="AD371" s="401"/>
      <c r="AE371" s="401"/>
      <c r="AF371" s="401"/>
      <c r="AG371" s="401"/>
      <c r="AH371" s="401"/>
      <c r="AI371" s="401"/>
      <c r="AJ371" s="401"/>
      <c r="AK371" s="401"/>
      <c r="AL371" s="401"/>
    </row>
    <row r="372" spans="1:38" s="154" customFormat="1" ht="20.100000000000001" customHeight="1">
      <c r="A372" s="402"/>
      <c r="B372" s="393"/>
      <c r="C372" s="394"/>
      <c r="D372" s="393"/>
      <c r="E372" s="393"/>
      <c r="F372" s="393"/>
      <c r="G372" s="395"/>
      <c r="H372" s="396"/>
      <c r="I372" s="393"/>
      <c r="J372" s="393"/>
      <c r="K372" s="393"/>
      <c r="L372" s="393"/>
      <c r="M372" s="382"/>
      <c r="N372" s="393"/>
      <c r="O372" s="393"/>
      <c r="P372" s="396"/>
      <c r="Q372" s="393"/>
      <c r="R372" s="393"/>
      <c r="S372" s="393"/>
      <c r="T372" s="393"/>
      <c r="U372" s="393"/>
      <c r="V372" s="393"/>
      <c r="W372" s="393"/>
      <c r="X372" s="393"/>
      <c r="Y372" s="397"/>
      <c r="Z372" s="393"/>
      <c r="AA372" s="393"/>
      <c r="AB372" s="401"/>
      <c r="AC372" s="401"/>
      <c r="AD372" s="401"/>
      <c r="AE372" s="401"/>
      <c r="AF372" s="401"/>
      <c r="AG372" s="401"/>
      <c r="AH372" s="401"/>
      <c r="AI372" s="401"/>
      <c r="AJ372" s="401"/>
      <c r="AK372" s="401"/>
      <c r="AL372" s="401"/>
    </row>
    <row r="373" spans="1:38" s="154" customFormat="1" ht="20.100000000000001" customHeight="1">
      <c r="A373" s="402"/>
      <c r="B373" s="393"/>
      <c r="C373" s="394"/>
      <c r="D373" s="393"/>
      <c r="E373" s="393"/>
      <c r="F373" s="393"/>
      <c r="G373" s="395"/>
      <c r="H373" s="396"/>
      <c r="I373" s="393"/>
      <c r="J373" s="393"/>
      <c r="K373" s="393"/>
      <c r="L373" s="393"/>
      <c r="M373" s="382"/>
      <c r="N373" s="393"/>
      <c r="O373" s="393"/>
      <c r="P373" s="396"/>
      <c r="Q373" s="393"/>
      <c r="R373" s="393"/>
      <c r="S373" s="393"/>
      <c r="T373" s="393"/>
      <c r="U373" s="393"/>
      <c r="V373" s="393"/>
      <c r="W373" s="393"/>
      <c r="X373" s="393"/>
      <c r="Y373" s="397"/>
      <c r="Z373" s="393"/>
      <c r="AA373" s="393"/>
      <c r="AB373" s="401"/>
      <c r="AC373" s="401"/>
      <c r="AD373" s="401"/>
      <c r="AE373" s="401"/>
      <c r="AF373" s="401"/>
      <c r="AG373" s="401"/>
      <c r="AH373" s="401"/>
      <c r="AI373" s="401"/>
      <c r="AJ373" s="401"/>
      <c r="AK373" s="401"/>
      <c r="AL373" s="401"/>
    </row>
    <row r="374" spans="1:38" s="154" customFormat="1" ht="20.100000000000001" customHeight="1">
      <c r="A374" s="402"/>
      <c r="B374" s="393"/>
      <c r="C374" s="394"/>
      <c r="D374" s="393"/>
      <c r="E374" s="393"/>
      <c r="F374" s="393"/>
      <c r="G374" s="395"/>
      <c r="H374" s="396"/>
      <c r="I374" s="393"/>
      <c r="J374" s="393"/>
      <c r="K374" s="393"/>
      <c r="L374" s="393"/>
      <c r="M374" s="382"/>
      <c r="N374" s="393"/>
      <c r="O374" s="393"/>
      <c r="P374" s="396"/>
      <c r="Q374" s="393"/>
      <c r="R374" s="393"/>
      <c r="S374" s="393"/>
      <c r="T374" s="393"/>
      <c r="U374" s="393"/>
      <c r="V374" s="393"/>
      <c r="W374" s="393"/>
      <c r="X374" s="393"/>
      <c r="Y374" s="397"/>
      <c r="Z374" s="393"/>
      <c r="AA374" s="393"/>
      <c r="AB374" s="401"/>
      <c r="AC374" s="401"/>
      <c r="AD374" s="401"/>
      <c r="AE374" s="401"/>
      <c r="AF374" s="401"/>
      <c r="AG374" s="401"/>
      <c r="AH374" s="401"/>
      <c r="AI374" s="401"/>
      <c r="AJ374" s="401"/>
      <c r="AK374" s="401"/>
      <c r="AL374" s="401"/>
    </row>
    <row r="375" spans="1:38" s="154" customFormat="1" ht="20.100000000000001" customHeight="1">
      <c r="A375" s="402"/>
      <c r="B375" s="393"/>
      <c r="C375" s="394"/>
      <c r="D375" s="393"/>
      <c r="E375" s="393"/>
      <c r="F375" s="393"/>
      <c r="G375" s="395"/>
      <c r="H375" s="396"/>
      <c r="I375" s="393"/>
      <c r="J375" s="393"/>
      <c r="K375" s="393"/>
      <c r="L375" s="393"/>
      <c r="M375" s="382"/>
      <c r="N375" s="393"/>
      <c r="O375" s="393"/>
      <c r="P375" s="396"/>
      <c r="Q375" s="393"/>
      <c r="R375" s="393"/>
      <c r="S375" s="393"/>
      <c r="T375" s="393"/>
      <c r="U375" s="393"/>
      <c r="V375" s="393"/>
      <c r="W375" s="393"/>
      <c r="X375" s="393"/>
      <c r="Y375" s="397"/>
      <c r="Z375" s="393"/>
      <c r="AA375" s="393"/>
      <c r="AB375" s="401"/>
      <c r="AC375" s="401"/>
      <c r="AD375" s="401"/>
      <c r="AE375" s="401"/>
      <c r="AF375" s="401"/>
      <c r="AG375" s="401"/>
      <c r="AH375" s="401"/>
      <c r="AI375" s="401"/>
      <c r="AJ375" s="401"/>
      <c r="AK375" s="401"/>
      <c r="AL375" s="401"/>
    </row>
    <row r="376" spans="1:38" s="154" customFormat="1" ht="20.100000000000001" customHeight="1">
      <c r="A376" s="402"/>
      <c r="B376" s="393"/>
      <c r="C376" s="394"/>
      <c r="D376" s="393"/>
      <c r="E376" s="393"/>
      <c r="F376" s="393"/>
      <c r="G376" s="395"/>
      <c r="H376" s="396"/>
      <c r="I376" s="393"/>
      <c r="J376" s="393"/>
      <c r="K376" s="393"/>
      <c r="L376" s="393"/>
      <c r="M376" s="382"/>
      <c r="N376" s="393"/>
      <c r="O376" s="393"/>
      <c r="P376" s="396"/>
      <c r="Q376" s="393"/>
      <c r="R376" s="393"/>
      <c r="S376" s="393"/>
      <c r="T376" s="393"/>
      <c r="U376" s="393"/>
      <c r="V376" s="393"/>
      <c r="W376" s="393"/>
      <c r="X376" s="393"/>
      <c r="Y376" s="397"/>
      <c r="Z376" s="393"/>
      <c r="AA376" s="393"/>
      <c r="AB376" s="401"/>
      <c r="AC376" s="401"/>
      <c r="AD376" s="401"/>
      <c r="AE376" s="401"/>
      <c r="AF376" s="401"/>
      <c r="AG376" s="401"/>
      <c r="AH376" s="401"/>
      <c r="AI376" s="401"/>
      <c r="AJ376" s="401"/>
      <c r="AK376" s="401"/>
      <c r="AL376" s="401"/>
    </row>
    <row r="377" spans="1:38" s="154" customFormat="1" ht="20.100000000000001" customHeight="1">
      <c r="A377" s="402"/>
      <c r="B377" s="393"/>
      <c r="C377" s="394"/>
      <c r="D377" s="393"/>
      <c r="E377" s="393"/>
      <c r="F377" s="393"/>
      <c r="G377" s="395"/>
      <c r="H377" s="396"/>
      <c r="I377" s="393"/>
      <c r="J377" s="393"/>
      <c r="K377" s="393"/>
      <c r="L377" s="393"/>
      <c r="M377" s="382"/>
      <c r="N377" s="393"/>
      <c r="O377" s="393"/>
      <c r="P377" s="396"/>
      <c r="Q377" s="393"/>
      <c r="R377" s="393"/>
      <c r="S377" s="393"/>
      <c r="T377" s="393"/>
      <c r="U377" s="393"/>
      <c r="V377" s="393"/>
      <c r="W377" s="393"/>
      <c r="X377" s="393"/>
      <c r="Y377" s="397"/>
      <c r="Z377" s="393"/>
      <c r="AA377" s="393"/>
      <c r="AB377" s="401"/>
      <c r="AC377" s="401"/>
      <c r="AD377" s="401"/>
      <c r="AE377" s="401"/>
      <c r="AF377" s="401"/>
      <c r="AG377" s="401"/>
      <c r="AH377" s="401"/>
      <c r="AI377" s="401"/>
      <c r="AJ377" s="401"/>
      <c r="AK377" s="401"/>
      <c r="AL377" s="401"/>
    </row>
    <row r="378" spans="1:38" s="154" customFormat="1" ht="20.100000000000001" customHeight="1">
      <c r="A378" s="402"/>
      <c r="B378" s="393"/>
      <c r="C378" s="394"/>
      <c r="D378" s="393"/>
      <c r="E378" s="393"/>
      <c r="F378" s="393"/>
      <c r="G378" s="395"/>
      <c r="H378" s="396"/>
      <c r="I378" s="393"/>
      <c r="J378" s="393"/>
      <c r="K378" s="393"/>
      <c r="L378" s="393"/>
      <c r="M378" s="382"/>
      <c r="N378" s="393"/>
      <c r="O378" s="393"/>
      <c r="P378" s="396"/>
      <c r="Q378" s="393"/>
      <c r="R378" s="393"/>
      <c r="S378" s="393"/>
      <c r="T378" s="393"/>
      <c r="U378" s="393"/>
      <c r="V378" s="393"/>
      <c r="W378" s="393"/>
      <c r="X378" s="393"/>
      <c r="Y378" s="397"/>
      <c r="Z378" s="393"/>
      <c r="AA378" s="393"/>
      <c r="AB378" s="401"/>
      <c r="AC378" s="401"/>
      <c r="AD378" s="401"/>
      <c r="AE378" s="401"/>
      <c r="AF378" s="401"/>
      <c r="AG378" s="401"/>
      <c r="AH378" s="401"/>
      <c r="AI378" s="401"/>
      <c r="AJ378" s="401"/>
      <c r="AK378" s="401"/>
      <c r="AL378" s="401"/>
    </row>
    <row r="379" spans="1:38" s="154" customFormat="1" ht="20.100000000000001" customHeight="1">
      <c r="A379" s="402"/>
      <c r="B379" s="393"/>
      <c r="C379" s="394"/>
      <c r="D379" s="393"/>
      <c r="E379" s="393"/>
      <c r="F379" s="393"/>
      <c r="G379" s="395"/>
      <c r="H379" s="396"/>
      <c r="I379" s="393"/>
      <c r="J379" s="393"/>
      <c r="K379" s="393"/>
      <c r="L379" s="393"/>
      <c r="M379" s="382"/>
      <c r="N379" s="393"/>
      <c r="O379" s="393"/>
      <c r="P379" s="396"/>
      <c r="Q379" s="393"/>
      <c r="R379" s="393"/>
      <c r="S379" s="393"/>
      <c r="T379" s="393"/>
      <c r="U379" s="393"/>
      <c r="V379" s="393"/>
      <c r="W379" s="393"/>
      <c r="X379" s="393"/>
      <c r="Y379" s="397"/>
      <c r="Z379" s="393"/>
      <c r="AA379" s="393"/>
      <c r="AB379" s="401"/>
      <c r="AC379" s="401"/>
      <c r="AD379" s="401"/>
      <c r="AE379" s="401"/>
      <c r="AF379" s="401"/>
      <c r="AG379" s="401"/>
      <c r="AH379" s="401"/>
      <c r="AI379" s="401"/>
      <c r="AJ379" s="401"/>
      <c r="AK379" s="401"/>
      <c r="AL379" s="401"/>
    </row>
    <row r="380" spans="1:38" s="154" customFormat="1" ht="20.100000000000001" customHeight="1">
      <c r="A380" s="402"/>
      <c r="B380" s="393"/>
      <c r="C380" s="394"/>
      <c r="D380" s="393"/>
      <c r="E380" s="393"/>
      <c r="F380" s="393"/>
      <c r="G380" s="395"/>
      <c r="H380" s="396"/>
      <c r="I380" s="393"/>
      <c r="J380" s="393"/>
      <c r="K380" s="393"/>
      <c r="L380" s="393"/>
      <c r="M380" s="382"/>
      <c r="N380" s="393"/>
      <c r="O380" s="393"/>
      <c r="P380" s="396"/>
      <c r="Q380" s="393"/>
      <c r="R380" s="393"/>
      <c r="S380" s="393"/>
      <c r="T380" s="393"/>
      <c r="U380" s="393"/>
      <c r="V380" s="393"/>
      <c r="W380" s="393"/>
      <c r="X380" s="393"/>
      <c r="Y380" s="397"/>
      <c r="Z380" s="393"/>
      <c r="AA380" s="393"/>
      <c r="AB380" s="401"/>
      <c r="AC380" s="401"/>
      <c r="AD380" s="401"/>
      <c r="AE380" s="401"/>
      <c r="AF380" s="401"/>
      <c r="AG380" s="401"/>
      <c r="AH380" s="401"/>
      <c r="AI380" s="401"/>
      <c r="AJ380" s="401"/>
      <c r="AK380" s="401"/>
      <c r="AL380" s="401"/>
    </row>
    <row r="381" spans="1:38" s="154" customFormat="1" ht="20.100000000000001" customHeight="1">
      <c r="A381" s="402"/>
      <c r="B381" s="393"/>
      <c r="C381" s="394"/>
      <c r="D381" s="393"/>
      <c r="E381" s="393"/>
      <c r="F381" s="393"/>
      <c r="G381" s="395"/>
      <c r="H381" s="396"/>
      <c r="I381" s="393"/>
      <c r="J381" s="393"/>
      <c r="K381" s="393"/>
      <c r="L381" s="393"/>
      <c r="M381" s="382"/>
      <c r="N381" s="393"/>
      <c r="O381" s="393"/>
      <c r="P381" s="396"/>
      <c r="Q381" s="393"/>
      <c r="R381" s="393"/>
      <c r="S381" s="393"/>
      <c r="T381" s="393"/>
      <c r="U381" s="393"/>
      <c r="V381" s="393"/>
      <c r="W381" s="393"/>
      <c r="X381" s="393"/>
      <c r="Y381" s="397"/>
      <c r="Z381" s="393"/>
      <c r="AA381" s="393"/>
      <c r="AB381" s="401"/>
      <c r="AC381" s="401"/>
      <c r="AD381" s="401"/>
      <c r="AE381" s="401"/>
      <c r="AF381" s="401"/>
      <c r="AG381" s="401"/>
      <c r="AH381" s="401"/>
      <c r="AI381" s="401"/>
      <c r="AJ381" s="401"/>
      <c r="AK381" s="401"/>
      <c r="AL381" s="401"/>
    </row>
    <row r="382" spans="1:38" s="154" customFormat="1" ht="20.100000000000001" customHeight="1">
      <c r="A382" s="402"/>
      <c r="B382" s="393"/>
      <c r="C382" s="394"/>
      <c r="D382" s="393"/>
      <c r="E382" s="393"/>
      <c r="F382" s="393"/>
      <c r="G382" s="395"/>
      <c r="H382" s="396"/>
      <c r="I382" s="393"/>
      <c r="J382" s="393"/>
      <c r="K382" s="393"/>
      <c r="L382" s="393"/>
      <c r="M382" s="382"/>
      <c r="N382" s="393"/>
      <c r="O382" s="393"/>
      <c r="P382" s="396"/>
      <c r="Q382" s="393"/>
      <c r="R382" s="393"/>
      <c r="S382" s="393"/>
      <c r="T382" s="393"/>
      <c r="U382" s="393"/>
      <c r="V382" s="393"/>
      <c r="W382" s="393"/>
      <c r="X382" s="393"/>
      <c r="Y382" s="397"/>
      <c r="Z382" s="393"/>
      <c r="AA382" s="393"/>
      <c r="AB382" s="401"/>
      <c r="AC382" s="401"/>
      <c r="AD382" s="401"/>
      <c r="AE382" s="401"/>
      <c r="AF382" s="401"/>
      <c r="AG382" s="401"/>
      <c r="AH382" s="401"/>
      <c r="AI382" s="401"/>
      <c r="AJ382" s="401"/>
      <c r="AK382" s="401"/>
      <c r="AL382" s="401"/>
    </row>
    <row r="383" spans="1:38" s="154" customFormat="1" ht="20.100000000000001" customHeight="1">
      <c r="A383" s="402"/>
      <c r="B383" s="393"/>
      <c r="C383" s="394"/>
      <c r="D383" s="393"/>
      <c r="E383" s="393"/>
      <c r="F383" s="393"/>
      <c r="G383" s="395"/>
      <c r="H383" s="396"/>
      <c r="I383" s="393"/>
      <c r="J383" s="393"/>
      <c r="K383" s="393"/>
      <c r="L383" s="393"/>
      <c r="M383" s="382"/>
      <c r="N383" s="393"/>
      <c r="O383" s="393"/>
      <c r="P383" s="396"/>
      <c r="Q383" s="393"/>
      <c r="R383" s="393"/>
      <c r="S383" s="393"/>
      <c r="T383" s="393"/>
      <c r="U383" s="393"/>
      <c r="V383" s="393"/>
      <c r="W383" s="393"/>
      <c r="X383" s="393"/>
      <c r="Y383" s="397"/>
      <c r="Z383" s="393"/>
      <c r="AA383" s="393"/>
      <c r="AB383" s="401"/>
      <c r="AC383" s="401"/>
      <c r="AD383" s="401"/>
      <c r="AE383" s="401"/>
      <c r="AF383" s="401"/>
      <c r="AG383" s="401"/>
      <c r="AH383" s="401"/>
      <c r="AI383" s="401"/>
      <c r="AJ383" s="401"/>
      <c r="AK383" s="401"/>
      <c r="AL383" s="401"/>
    </row>
    <row r="384" spans="1:38" s="154" customFormat="1" ht="20.100000000000001" customHeight="1">
      <c r="A384" s="402"/>
      <c r="B384" s="393"/>
      <c r="C384" s="394"/>
      <c r="D384" s="393"/>
      <c r="E384" s="393"/>
      <c r="F384" s="393"/>
      <c r="G384" s="395"/>
      <c r="H384" s="396"/>
      <c r="I384" s="393"/>
      <c r="J384" s="393"/>
      <c r="K384" s="393"/>
      <c r="L384" s="393"/>
      <c r="M384" s="382"/>
      <c r="N384" s="393"/>
      <c r="O384" s="393"/>
      <c r="P384" s="396"/>
      <c r="Q384" s="393"/>
      <c r="R384" s="393"/>
      <c r="S384" s="393"/>
      <c r="T384" s="393"/>
      <c r="U384" s="393"/>
      <c r="V384" s="393"/>
      <c r="W384" s="393"/>
      <c r="X384" s="393"/>
      <c r="Y384" s="397"/>
      <c r="Z384" s="393"/>
      <c r="AA384" s="393"/>
      <c r="AB384" s="401"/>
      <c r="AC384" s="401"/>
      <c r="AD384" s="401"/>
      <c r="AE384" s="401"/>
      <c r="AF384" s="401"/>
      <c r="AG384" s="401"/>
      <c r="AH384" s="401"/>
      <c r="AI384" s="401"/>
      <c r="AJ384" s="401"/>
      <c r="AK384" s="401"/>
      <c r="AL384" s="401"/>
    </row>
    <row r="385" spans="1:38" s="154" customFormat="1" ht="20.100000000000001" customHeight="1">
      <c r="A385" s="402"/>
      <c r="B385" s="393"/>
      <c r="C385" s="394"/>
      <c r="D385" s="393"/>
      <c r="E385" s="393"/>
      <c r="F385" s="393"/>
      <c r="G385" s="395"/>
      <c r="H385" s="396"/>
      <c r="I385" s="393"/>
      <c r="J385" s="393"/>
      <c r="K385" s="393"/>
      <c r="L385" s="393"/>
      <c r="M385" s="382"/>
      <c r="N385" s="393"/>
      <c r="O385" s="393"/>
      <c r="P385" s="396"/>
      <c r="Q385" s="393"/>
      <c r="R385" s="393"/>
      <c r="S385" s="393"/>
      <c r="T385" s="393"/>
      <c r="U385" s="393"/>
      <c r="V385" s="393"/>
      <c r="W385" s="393"/>
      <c r="X385" s="393"/>
      <c r="Y385" s="397"/>
      <c r="Z385" s="393"/>
      <c r="AA385" s="393"/>
      <c r="AB385" s="401"/>
      <c r="AC385" s="401"/>
      <c r="AD385" s="401"/>
      <c r="AE385" s="401"/>
      <c r="AF385" s="401"/>
      <c r="AG385" s="401"/>
      <c r="AH385" s="401"/>
      <c r="AI385" s="401"/>
      <c r="AJ385" s="401"/>
      <c r="AK385" s="401"/>
      <c r="AL385" s="401"/>
    </row>
    <row r="386" spans="1:38" s="154" customFormat="1" ht="20.100000000000001" customHeight="1">
      <c r="A386" s="402"/>
      <c r="B386" s="393"/>
      <c r="C386" s="394"/>
      <c r="D386" s="393"/>
      <c r="E386" s="393"/>
      <c r="F386" s="393"/>
      <c r="G386" s="395"/>
      <c r="H386" s="396"/>
      <c r="I386" s="393"/>
      <c r="J386" s="393"/>
      <c r="K386" s="393"/>
      <c r="L386" s="393"/>
      <c r="M386" s="382"/>
      <c r="N386" s="393"/>
      <c r="O386" s="393"/>
      <c r="P386" s="396"/>
      <c r="Q386" s="393"/>
      <c r="R386" s="393"/>
      <c r="S386" s="393"/>
      <c r="T386" s="393"/>
      <c r="U386" s="393"/>
      <c r="V386" s="393"/>
      <c r="W386" s="393"/>
      <c r="X386" s="393"/>
      <c r="Y386" s="397"/>
      <c r="Z386" s="393"/>
      <c r="AA386" s="393"/>
      <c r="AB386" s="401"/>
      <c r="AC386" s="401"/>
      <c r="AD386" s="401"/>
      <c r="AE386" s="401"/>
      <c r="AF386" s="401"/>
      <c r="AG386" s="401"/>
      <c r="AH386" s="401"/>
      <c r="AI386" s="401"/>
      <c r="AJ386" s="401"/>
      <c r="AK386" s="401"/>
      <c r="AL386" s="401"/>
    </row>
    <row r="387" spans="1:38" s="154" customFormat="1" ht="20.100000000000001" customHeight="1">
      <c r="A387" s="402"/>
      <c r="B387" s="393"/>
      <c r="C387" s="394"/>
      <c r="D387" s="393"/>
      <c r="E387" s="393"/>
      <c r="F387" s="393"/>
      <c r="G387" s="395"/>
      <c r="H387" s="396"/>
      <c r="I387" s="393"/>
      <c r="J387" s="393"/>
      <c r="K387" s="393"/>
      <c r="L387" s="393"/>
      <c r="M387" s="382"/>
      <c r="N387" s="393"/>
      <c r="O387" s="393"/>
      <c r="P387" s="396"/>
      <c r="Q387" s="393"/>
      <c r="R387" s="393"/>
      <c r="S387" s="393"/>
      <c r="T387" s="393"/>
      <c r="U387" s="393"/>
      <c r="V387" s="393"/>
      <c r="W387" s="393"/>
      <c r="X387" s="393"/>
      <c r="Y387" s="397"/>
      <c r="Z387" s="393"/>
      <c r="AA387" s="393"/>
      <c r="AB387" s="401"/>
      <c r="AC387" s="401"/>
      <c r="AD387" s="401"/>
      <c r="AE387" s="401"/>
      <c r="AF387" s="401"/>
      <c r="AG387" s="401"/>
      <c r="AH387" s="401"/>
      <c r="AI387" s="401"/>
      <c r="AJ387" s="401"/>
      <c r="AK387" s="401"/>
      <c r="AL387" s="401"/>
    </row>
    <row r="388" spans="1:38" s="154" customFormat="1" ht="20.100000000000001" customHeight="1">
      <c r="A388" s="402"/>
      <c r="B388" s="393"/>
      <c r="C388" s="394"/>
      <c r="D388" s="393"/>
      <c r="E388" s="393"/>
      <c r="F388" s="393"/>
      <c r="G388" s="395"/>
      <c r="H388" s="396"/>
      <c r="I388" s="393"/>
      <c r="J388" s="393"/>
      <c r="K388" s="393"/>
      <c r="L388" s="393"/>
      <c r="M388" s="382"/>
      <c r="N388" s="393"/>
      <c r="O388" s="393"/>
      <c r="P388" s="396"/>
      <c r="Q388" s="393"/>
      <c r="R388" s="393"/>
      <c r="S388" s="393"/>
      <c r="T388" s="393"/>
      <c r="U388" s="393"/>
      <c r="V388" s="393"/>
      <c r="W388" s="393"/>
      <c r="X388" s="393"/>
      <c r="Y388" s="397"/>
      <c r="Z388" s="393"/>
      <c r="AA388" s="393"/>
      <c r="AB388" s="401"/>
      <c r="AC388" s="401"/>
      <c r="AD388" s="401"/>
      <c r="AE388" s="401"/>
      <c r="AF388" s="401"/>
      <c r="AG388" s="401"/>
      <c r="AH388" s="401"/>
      <c r="AI388" s="401"/>
      <c r="AJ388" s="401"/>
      <c r="AK388" s="401"/>
      <c r="AL388" s="401"/>
    </row>
    <row r="389" spans="1:38" s="154" customFormat="1" ht="20.100000000000001" customHeight="1">
      <c r="A389" s="402"/>
      <c r="B389" s="393"/>
      <c r="C389" s="394"/>
      <c r="D389" s="393"/>
      <c r="E389" s="393"/>
      <c r="F389" s="393"/>
      <c r="G389" s="395"/>
      <c r="H389" s="396"/>
      <c r="I389" s="393"/>
      <c r="J389" s="393"/>
      <c r="K389" s="393"/>
      <c r="L389" s="393"/>
      <c r="M389" s="382"/>
      <c r="N389" s="393"/>
      <c r="O389" s="393"/>
      <c r="P389" s="396"/>
      <c r="Q389" s="393"/>
      <c r="R389" s="393"/>
      <c r="S389" s="393"/>
      <c r="T389" s="393"/>
      <c r="U389" s="393"/>
      <c r="V389" s="393"/>
      <c r="W389" s="393"/>
      <c r="X389" s="393"/>
      <c r="Y389" s="397"/>
      <c r="Z389" s="393"/>
      <c r="AA389" s="393"/>
      <c r="AB389" s="401"/>
      <c r="AC389" s="401"/>
      <c r="AD389" s="401"/>
      <c r="AE389" s="401"/>
      <c r="AF389" s="401"/>
      <c r="AG389" s="401"/>
      <c r="AH389" s="401"/>
      <c r="AI389" s="401"/>
      <c r="AJ389" s="401"/>
      <c r="AK389" s="401"/>
      <c r="AL389" s="401"/>
    </row>
    <row r="390" spans="1:38" s="154" customFormat="1" ht="20.100000000000001" customHeight="1">
      <c r="A390" s="402"/>
      <c r="B390" s="393"/>
      <c r="C390" s="394"/>
      <c r="D390" s="393"/>
      <c r="E390" s="393"/>
      <c r="F390" s="393"/>
      <c r="G390" s="395"/>
      <c r="H390" s="396"/>
      <c r="I390" s="393"/>
      <c r="J390" s="393"/>
      <c r="K390" s="393"/>
      <c r="L390" s="393"/>
      <c r="M390" s="382"/>
      <c r="N390" s="393"/>
      <c r="O390" s="393"/>
      <c r="P390" s="396"/>
      <c r="Q390" s="393"/>
      <c r="R390" s="393"/>
      <c r="S390" s="393"/>
      <c r="T390" s="393"/>
      <c r="U390" s="393"/>
      <c r="V390" s="393"/>
      <c r="W390" s="393"/>
      <c r="X390" s="393"/>
      <c r="Y390" s="397"/>
      <c r="Z390" s="393"/>
      <c r="AA390" s="393"/>
      <c r="AB390" s="401"/>
      <c r="AC390" s="401"/>
      <c r="AD390" s="401"/>
      <c r="AE390" s="401"/>
      <c r="AF390" s="401"/>
      <c r="AG390" s="401"/>
      <c r="AH390" s="401"/>
      <c r="AI390" s="401"/>
      <c r="AJ390" s="401"/>
      <c r="AK390" s="401"/>
      <c r="AL390" s="401"/>
    </row>
    <row r="391" spans="1:38" s="154" customFormat="1" ht="20.100000000000001" customHeight="1">
      <c r="A391" s="402"/>
      <c r="B391" s="393"/>
      <c r="C391" s="394"/>
      <c r="D391" s="393"/>
      <c r="E391" s="393"/>
      <c r="F391" s="393"/>
      <c r="G391" s="395"/>
      <c r="H391" s="396"/>
      <c r="I391" s="393"/>
      <c r="J391" s="393"/>
      <c r="K391" s="393"/>
      <c r="L391" s="393"/>
      <c r="M391" s="382"/>
      <c r="N391" s="393"/>
      <c r="O391" s="393"/>
      <c r="P391" s="396"/>
      <c r="Q391" s="393"/>
      <c r="R391" s="393"/>
      <c r="S391" s="393"/>
      <c r="T391" s="393"/>
      <c r="U391" s="393"/>
      <c r="V391" s="393"/>
      <c r="W391" s="393"/>
      <c r="X391" s="393"/>
      <c r="Y391" s="397"/>
      <c r="Z391" s="393"/>
      <c r="AA391" s="393"/>
      <c r="AB391" s="401"/>
      <c r="AC391" s="401"/>
      <c r="AD391" s="401"/>
      <c r="AE391" s="401"/>
      <c r="AF391" s="401"/>
      <c r="AG391" s="401"/>
      <c r="AH391" s="401"/>
      <c r="AI391" s="401"/>
      <c r="AJ391" s="401"/>
      <c r="AK391" s="401"/>
      <c r="AL391" s="401"/>
    </row>
    <row r="392" spans="1:38" s="154" customFormat="1" ht="20.100000000000001" customHeight="1">
      <c r="A392" s="402"/>
      <c r="B392" s="393"/>
      <c r="C392" s="394"/>
      <c r="D392" s="393"/>
      <c r="E392" s="393"/>
      <c r="F392" s="393"/>
      <c r="G392" s="395"/>
      <c r="H392" s="396"/>
      <c r="I392" s="393"/>
      <c r="J392" s="393"/>
      <c r="K392" s="393"/>
      <c r="L392" s="393"/>
      <c r="M392" s="382"/>
      <c r="N392" s="393"/>
      <c r="O392" s="393"/>
      <c r="P392" s="396"/>
      <c r="Q392" s="393"/>
      <c r="R392" s="393"/>
      <c r="S392" s="393"/>
      <c r="T392" s="393"/>
      <c r="U392" s="393"/>
      <c r="V392" s="393"/>
      <c r="W392" s="393"/>
      <c r="X392" s="393"/>
      <c r="Y392" s="397"/>
      <c r="Z392" s="393"/>
      <c r="AA392" s="393"/>
      <c r="AB392" s="401"/>
      <c r="AC392" s="401"/>
      <c r="AD392" s="401"/>
      <c r="AE392" s="401"/>
      <c r="AF392" s="401"/>
      <c r="AG392" s="401"/>
      <c r="AH392" s="401"/>
      <c r="AI392" s="401"/>
      <c r="AJ392" s="401"/>
      <c r="AK392" s="401"/>
      <c r="AL392" s="401"/>
    </row>
    <row r="393" spans="1:38" s="154" customFormat="1" ht="20.100000000000001" customHeight="1">
      <c r="A393" s="402"/>
      <c r="B393" s="393"/>
      <c r="C393" s="394"/>
      <c r="D393" s="393"/>
      <c r="E393" s="393"/>
      <c r="F393" s="393"/>
      <c r="G393" s="395"/>
      <c r="H393" s="396"/>
      <c r="I393" s="393"/>
      <c r="J393" s="393"/>
      <c r="K393" s="393"/>
      <c r="L393" s="393"/>
      <c r="M393" s="382"/>
      <c r="N393" s="393"/>
      <c r="O393" s="393"/>
      <c r="P393" s="396"/>
      <c r="Q393" s="393"/>
      <c r="R393" s="393"/>
      <c r="S393" s="393"/>
      <c r="T393" s="393"/>
      <c r="U393" s="393"/>
      <c r="V393" s="393"/>
      <c r="W393" s="393"/>
      <c r="X393" s="393"/>
      <c r="Y393" s="397"/>
      <c r="Z393" s="393"/>
      <c r="AA393" s="393"/>
      <c r="AB393" s="401"/>
      <c r="AC393" s="401"/>
      <c r="AD393" s="401"/>
      <c r="AE393" s="401"/>
      <c r="AF393" s="401"/>
      <c r="AG393" s="401"/>
      <c r="AH393" s="401"/>
      <c r="AI393" s="401"/>
      <c r="AJ393" s="401"/>
      <c r="AK393" s="401"/>
      <c r="AL393" s="401"/>
    </row>
    <row r="394" spans="1:38" s="154" customFormat="1" ht="20.100000000000001" customHeight="1">
      <c r="A394" s="402"/>
      <c r="B394" s="393"/>
      <c r="C394" s="394"/>
      <c r="D394" s="393"/>
      <c r="E394" s="393"/>
      <c r="F394" s="393"/>
      <c r="G394" s="395"/>
      <c r="H394" s="396"/>
      <c r="I394" s="393"/>
      <c r="J394" s="393"/>
      <c r="K394" s="393"/>
      <c r="L394" s="393"/>
      <c r="M394" s="382"/>
      <c r="N394" s="393"/>
      <c r="O394" s="393"/>
      <c r="P394" s="396"/>
      <c r="Q394" s="393"/>
      <c r="R394" s="393"/>
      <c r="S394" s="393"/>
      <c r="T394" s="393"/>
      <c r="U394" s="393"/>
      <c r="V394" s="393"/>
      <c r="W394" s="393"/>
      <c r="X394" s="393"/>
      <c r="Y394" s="397"/>
      <c r="Z394" s="393"/>
      <c r="AA394" s="393"/>
      <c r="AB394" s="401"/>
      <c r="AC394" s="401"/>
      <c r="AD394" s="401"/>
      <c r="AE394" s="401"/>
      <c r="AF394" s="401"/>
      <c r="AG394" s="401"/>
      <c r="AH394" s="401"/>
      <c r="AI394" s="401"/>
      <c r="AJ394" s="401"/>
      <c r="AK394" s="401"/>
      <c r="AL394" s="401"/>
    </row>
    <row r="395" spans="1:38" s="154" customFormat="1" ht="20.100000000000001" customHeight="1">
      <c r="A395" s="402"/>
      <c r="B395" s="393"/>
      <c r="C395" s="394"/>
      <c r="D395" s="393"/>
      <c r="E395" s="393"/>
      <c r="F395" s="393"/>
      <c r="G395" s="395"/>
      <c r="H395" s="396"/>
      <c r="I395" s="393"/>
      <c r="J395" s="393"/>
      <c r="K395" s="393"/>
      <c r="L395" s="393"/>
      <c r="M395" s="382"/>
      <c r="N395" s="393"/>
      <c r="O395" s="393"/>
      <c r="P395" s="396"/>
      <c r="Q395" s="393"/>
      <c r="R395" s="393"/>
      <c r="S395" s="393"/>
      <c r="T395" s="393"/>
      <c r="U395" s="393"/>
      <c r="V395" s="393"/>
      <c r="W395" s="393"/>
      <c r="X395" s="393"/>
      <c r="Y395" s="397"/>
      <c r="Z395" s="393"/>
      <c r="AA395" s="393"/>
      <c r="AB395" s="401"/>
      <c r="AC395" s="401"/>
      <c r="AD395" s="401"/>
      <c r="AE395" s="401"/>
      <c r="AF395" s="401"/>
      <c r="AG395" s="401"/>
      <c r="AH395" s="401"/>
      <c r="AI395" s="401"/>
      <c r="AJ395" s="401"/>
      <c r="AK395" s="401"/>
      <c r="AL395" s="401"/>
    </row>
    <row r="396" spans="1:38" s="154" customFormat="1" ht="20.100000000000001" customHeight="1">
      <c r="A396" s="402"/>
      <c r="B396" s="393"/>
      <c r="C396" s="394"/>
      <c r="D396" s="393"/>
      <c r="E396" s="393"/>
      <c r="F396" s="393"/>
      <c r="G396" s="395"/>
      <c r="H396" s="396"/>
      <c r="I396" s="393"/>
      <c r="J396" s="393"/>
      <c r="K396" s="393"/>
      <c r="L396" s="393"/>
      <c r="M396" s="382"/>
      <c r="N396" s="393"/>
      <c r="O396" s="393"/>
      <c r="P396" s="396"/>
      <c r="Q396" s="393"/>
      <c r="R396" s="393"/>
      <c r="S396" s="393"/>
      <c r="T396" s="393"/>
      <c r="U396" s="393"/>
      <c r="V396" s="393"/>
      <c r="W396" s="393"/>
      <c r="X396" s="393"/>
      <c r="Y396" s="397"/>
      <c r="Z396" s="393"/>
      <c r="AA396" s="393"/>
      <c r="AB396" s="401"/>
      <c r="AC396" s="401"/>
      <c r="AD396" s="401"/>
      <c r="AE396" s="401"/>
      <c r="AF396" s="401"/>
      <c r="AG396" s="401"/>
      <c r="AH396" s="401"/>
      <c r="AI396" s="401"/>
      <c r="AJ396" s="401"/>
      <c r="AK396" s="401"/>
      <c r="AL396" s="401"/>
    </row>
    <row r="397" spans="1:38" s="154" customFormat="1" ht="20.100000000000001" customHeight="1">
      <c r="A397" s="402"/>
      <c r="B397" s="393"/>
      <c r="C397" s="394"/>
      <c r="D397" s="393"/>
      <c r="E397" s="393"/>
      <c r="F397" s="393"/>
      <c r="G397" s="395"/>
      <c r="H397" s="396"/>
      <c r="I397" s="393"/>
      <c r="J397" s="393"/>
      <c r="K397" s="393"/>
      <c r="L397" s="393"/>
      <c r="M397" s="382"/>
      <c r="N397" s="393"/>
      <c r="O397" s="393"/>
      <c r="P397" s="396"/>
      <c r="Q397" s="393"/>
      <c r="R397" s="393"/>
      <c r="S397" s="393"/>
      <c r="T397" s="393"/>
      <c r="U397" s="393"/>
      <c r="V397" s="393"/>
      <c r="W397" s="393"/>
      <c r="X397" s="393"/>
      <c r="Y397" s="397"/>
      <c r="Z397" s="393"/>
      <c r="AA397" s="393"/>
      <c r="AB397" s="401"/>
      <c r="AC397" s="401"/>
      <c r="AD397" s="401"/>
      <c r="AE397" s="401"/>
      <c r="AF397" s="401"/>
      <c r="AG397" s="401"/>
      <c r="AH397" s="401"/>
      <c r="AI397" s="401"/>
      <c r="AJ397" s="401"/>
      <c r="AK397" s="401"/>
      <c r="AL397" s="401"/>
    </row>
    <row r="398" spans="1:38" s="154" customFormat="1" ht="20.100000000000001" customHeight="1">
      <c r="A398" s="402"/>
      <c r="B398" s="393"/>
      <c r="C398" s="394"/>
      <c r="D398" s="393"/>
      <c r="E398" s="393"/>
      <c r="F398" s="393"/>
      <c r="G398" s="395"/>
      <c r="H398" s="396"/>
      <c r="I398" s="393"/>
      <c r="J398" s="393"/>
      <c r="K398" s="393"/>
      <c r="L398" s="393"/>
      <c r="M398" s="382"/>
      <c r="N398" s="393"/>
      <c r="O398" s="393"/>
      <c r="P398" s="396"/>
      <c r="Q398" s="393"/>
      <c r="R398" s="393"/>
      <c r="S398" s="393"/>
      <c r="T398" s="393"/>
      <c r="U398" s="393"/>
      <c r="V398" s="393"/>
      <c r="W398" s="393"/>
      <c r="X398" s="393"/>
      <c r="Y398" s="397"/>
      <c r="Z398" s="393"/>
      <c r="AA398" s="393"/>
      <c r="AB398" s="401"/>
      <c r="AC398" s="401"/>
      <c r="AD398" s="401"/>
      <c r="AE398" s="401"/>
      <c r="AF398" s="401"/>
      <c r="AG398" s="401"/>
      <c r="AH398" s="401"/>
      <c r="AI398" s="401"/>
      <c r="AJ398" s="401"/>
      <c r="AK398" s="401"/>
      <c r="AL398" s="401"/>
    </row>
    <row r="399" spans="1:38" s="154" customFormat="1" ht="20.100000000000001" customHeight="1">
      <c r="A399" s="402"/>
      <c r="B399" s="393"/>
      <c r="C399" s="394"/>
      <c r="D399" s="393"/>
      <c r="E399" s="393"/>
      <c r="F399" s="393"/>
      <c r="G399" s="395"/>
      <c r="H399" s="396"/>
      <c r="I399" s="393"/>
      <c r="J399" s="393"/>
      <c r="K399" s="393"/>
      <c r="L399" s="393"/>
      <c r="M399" s="382"/>
      <c r="N399" s="393"/>
      <c r="O399" s="393"/>
      <c r="P399" s="396"/>
      <c r="Q399" s="393"/>
      <c r="R399" s="393"/>
      <c r="S399" s="393"/>
      <c r="T399" s="393"/>
      <c r="U399" s="393"/>
      <c r="V399" s="393"/>
      <c r="W399" s="393"/>
      <c r="X399" s="393"/>
      <c r="Y399" s="397"/>
      <c r="Z399" s="393"/>
      <c r="AA399" s="393"/>
      <c r="AB399" s="401"/>
      <c r="AC399" s="401"/>
      <c r="AD399" s="401"/>
      <c r="AE399" s="401"/>
      <c r="AF399" s="401"/>
      <c r="AG399" s="401"/>
      <c r="AH399" s="401"/>
      <c r="AI399" s="401"/>
      <c r="AJ399" s="401"/>
      <c r="AK399" s="401"/>
      <c r="AL399" s="401"/>
    </row>
    <row r="400" spans="1:38" s="154" customFormat="1" ht="20.100000000000001" customHeight="1">
      <c r="A400" s="402"/>
      <c r="B400" s="393"/>
      <c r="C400" s="394"/>
      <c r="D400" s="393"/>
      <c r="E400" s="393"/>
      <c r="F400" s="393"/>
      <c r="G400" s="395"/>
      <c r="H400" s="396"/>
      <c r="I400" s="393"/>
      <c r="J400" s="393"/>
      <c r="K400" s="393"/>
      <c r="L400" s="393"/>
      <c r="M400" s="382"/>
      <c r="N400" s="393"/>
      <c r="O400" s="393"/>
      <c r="P400" s="396"/>
      <c r="Q400" s="393"/>
      <c r="R400" s="393"/>
      <c r="S400" s="393"/>
      <c r="T400" s="393"/>
      <c r="U400" s="393"/>
      <c r="V400" s="393"/>
      <c r="W400" s="393"/>
      <c r="X400" s="393"/>
      <c r="Y400" s="397"/>
      <c r="Z400" s="393"/>
      <c r="AA400" s="393"/>
      <c r="AB400" s="401"/>
      <c r="AC400" s="401"/>
      <c r="AD400" s="401"/>
      <c r="AE400" s="401"/>
      <c r="AF400" s="401"/>
      <c r="AG400" s="401"/>
      <c r="AH400" s="401"/>
      <c r="AI400" s="401"/>
      <c r="AJ400" s="401"/>
      <c r="AK400" s="401"/>
      <c r="AL400" s="401"/>
    </row>
    <row r="401" spans="1:38" s="154" customFormat="1" ht="20.100000000000001" customHeight="1">
      <c r="A401" s="402"/>
      <c r="B401" s="393"/>
      <c r="C401" s="394"/>
      <c r="D401" s="393"/>
      <c r="E401" s="393"/>
      <c r="F401" s="393"/>
      <c r="G401" s="395"/>
      <c r="H401" s="396"/>
      <c r="I401" s="393"/>
      <c r="J401" s="393"/>
      <c r="K401" s="393"/>
      <c r="L401" s="393"/>
      <c r="M401" s="382"/>
      <c r="N401" s="393"/>
      <c r="O401" s="393"/>
      <c r="P401" s="396"/>
      <c r="Q401" s="393"/>
      <c r="R401" s="393"/>
      <c r="S401" s="393"/>
      <c r="T401" s="393"/>
      <c r="U401" s="393"/>
      <c r="V401" s="393"/>
      <c r="W401" s="393"/>
      <c r="X401" s="393"/>
      <c r="Y401" s="397"/>
      <c r="Z401" s="393"/>
      <c r="AA401" s="393"/>
      <c r="AB401" s="401"/>
      <c r="AC401" s="401"/>
      <c r="AD401" s="401"/>
      <c r="AE401" s="401"/>
      <c r="AF401" s="401"/>
      <c r="AG401" s="401"/>
      <c r="AH401" s="401"/>
      <c r="AI401" s="401"/>
      <c r="AJ401" s="401"/>
      <c r="AK401" s="401"/>
      <c r="AL401" s="401"/>
    </row>
    <row r="402" spans="1:38" s="154" customFormat="1" ht="20.100000000000001" customHeight="1">
      <c r="A402" s="402"/>
      <c r="B402" s="393"/>
      <c r="C402" s="394"/>
      <c r="D402" s="393"/>
      <c r="E402" s="393"/>
      <c r="F402" s="393"/>
      <c r="G402" s="395"/>
      <c r="H402" s="396"/>
      <c r="I402" s="393"/>
      <c r="J402" s="393"/>
      <c r="K402" s="393"/>
      <c r="L402" s="393"/>
      <c r="M402" s="382"/>
      <c r="N402" s="393"/>
      <c r="O402" s="393"/>
      <c r="P402" s="396"/>
      <c r="Q402" s="393"/>
      <c r="R402" s="393"/>
      <c r="S402" s="393"/>
      <c r="T402" s="393"/>
      <c r="U402" s="393"/>
      <c r="V402" s="393"/>
      <c r="W402" s="393"/>
      <c r="X402" s="393"/>
      <c r="Y402" s="397"/>
      <c r="Z402" s="393"/>
      <c r="AA402" s="393"/>
      <c r="AB402" s="401"/>
      <c r="AC402" s="401"/>
      <c r="AD402" s="401"/>
      <c r="AE402" s="401"/>
      <c r="AF402" s="401"/>
      <c r="AG402" s="401"/>
      <c r="AH402" s="401"/>
      <c r="AI402" s="401"/>
      <c r="AJ402" s="401"/>
      <c r="AK402" s="401"/>
      <c r="AL402" s="401"/>
    </row>
    <row r="403" spans="1:38" s="154" customFormat="1" ht="20.100000000000001" customHeight="1">
      <c r="A403" s="402"/>
      <c r="B403" s="393"/>
      <c r="C403" s="394"/>
      <c r="D403" s="393"/>
      <c r="E403" s="393"/>
      <c r="F403" s="393"/>
      <c r="G403" s="395"/>
      <c r="H403" s="396"/>
      <c r="I403" s="393"/>
      <c r="J403" s="393"/>
      <c r="K403" s="393"/>
      <c r="L403" s="393"/>
      <c r="M403" s="382"/>
      <c r="N403" s="393"/>
      <c r="O403" s="393"/>
      <c r="P403" s="396"/>
      <c r="Q403" s="393"/>
      <c r="R403" s="393"/>
      <c r="S403" s="393"/>
      <c r="T403" s="393"/>
      <c r="U403" s="393"/>
      <c r="V403" s="393"/>
      <c r="W403" s="393"/>
      <c r="X403" s="393"/>
      <c r="Y403" s="397"/>
      <c r="Z403" s="393"/>
      <c r="AA403" s="393"/>
      <c r="AB403" s="401"/>
      <c r="AC403" s="401"/>
      <c r="AD403" s="401"/>
      <c r="AE403" s="401"/>
      <c r="AF403" s="401"/>
      <c r="AG403" s="401"/>
      <c r="AH403" s="401"/>
      <c r="AI403" s="401"/>
      <c r="AJ403" s="401"/>
      <c r="AK403" s="401"/>
      <c r="AL403" s="401"/>
    </row>
    <row r="404" spans="1:38" s="154" customFormat="1" ht="20.100000000000001" customHeight="1">
      <c r="A404" s="402"/>
      <c r="B404" s="393"/>
      <c r="C404" s="394"/>
      <c r="D404" s="393"/>
      <c r="E404" s="393"/>
      <c r="F404" s="393"/>
      <c r="G404" s="395"/>
      <c r="H404" s="396"/>
      <c r="I404" s="393"/>
      <c r="J404" s="393"/>
      <c r="K404" s="393"/>
      <c r="L404" s="393"/>
      <c r="M404" s="382"/>
      <c r="N404" s="393"/>
      <c r="O404" s="393"/>
      <c r="P404" s="396"/>
      <c r="Q404" s="393"/>
      <c r="R404" s="393"/>
      <c r="S404" s="393"/>
      <c r="T404" s="393"/>
      <c r="U404" s="393"/>
      <c r="V404" s="393"/>
      <c r="W404" s="393"/>
      <c r="X404" s="393"/>
      <c r="Y404" s="397"/>
      <c r="Z404" s="393"/>
      <c r="AA404" s="393"/>
      <c r="AB404" s="401"/>
      <c r="AC404" s="401"/>
      <c r="AD404" s="401"/>
      <c r="AE404" s="401"/>
      <c r="AF404" s="401"/>
      <c r="AG404" s="401"/>
      <c r="AH404" s="401"/>
      <c r="AI404" s="401"/>
      <c r="AJ404" s="401"/>
      <c r="AK404" s="401"/>
      <c r="AL404" s="401"/>
    </row>
    <row r="405" spans="1:38" s="154" customFormat="1" ht="20.100000000000001" customHeight="1">
      <c r="A405" s="402"/>
      <c r="B405" s="393"/>
      <c r="C405" s="394"/>
      <c r="D405" s="393"/>
      <c r="E405" s="393"/>
      <c r="F405" s="393"/>
      <c r="G405" s="395"/>
      <c r="H405" s="396"/>
      <c r="I405" s="393"/>
      <c r="J405" s="393"/>
      <c r="K405" s="393"/>
      <c r="L405" s="393"/>
      <c r="M405" s="382"/>
      <c r="N405" s="393"/>
      <c r="O405" s="393"/>
      <c r="P405" s="396"/>
      <c r="Q405" s="393"/>
      <c r="R405" s="393"/>
      <c r="S405" s="393"/>
      <c r="T405" s="393"/>
      <c r="U405" s="393"/>
      <c r="V405" s="393"/>
      <c r="W405" s="393"/>
      <c r="X405" s="393"/>
      <c r="Y405" s="397"/>
      <c r="Z405" s="393"/>
      <c r="AA405" s="393"/>
      <c r="AB405" s="401"/>
      <c r="AC405" s="401"/>
      <c r="AD405" s="401"/>
      <c r="AE405" s="401"/>
      <c r="AF405" s="401"/>
      <c r="AG405" s="401"/>
      <c r="AH405" s="401"/>
      <c r="AI405" s="401"/>
      <c r="AJ405" s="401"/>
      <c r="AK405" s="401"/>
      <c r="AL405" s="401"/>
    </row>
    <row r="406" spans="1:38" s="154" customFormat="1" ht="20.100000000000001" customHeight="1">
      <c r="A406" s="402"/>
      <c r="B406" s="393"/>
      <c r="C406" s="394"/>
      <c r="D406" s="393"/>
      <c r="E406" s="393"/>
      <c r="F406" s="393"/>
      <c r="G406" s="395"/>
      <c r="H406" s="396"/>
      <c r="I406" s="393"/>
      <c r="J406" s="393"/>
      <c r="K406" s="393"/>
      <c r="L406" s="393"/>
      <c r="M406" s="382"/>
      <c r="N406" s="393"/>
      <c r="O406" s="393"/>
      <c r="P406" s="396"/>
      <c r="Q406" s="393"/>
      <c r="R406" s="393"/>
      <c r="S406" s="393"/>
      <c r="T406" s="393"/>
      <c r="U406" s="393"/>
      <c r="V406" s="393"/>
      <c r="W406" s="393"/>
      <c r="X406" s="393"/>
      <c r="Y406" s="397"/>
      <c r="Z406" s="393"/>
      <c r="AA406" s="393"/>
      <c r="AB406" s="401"/>
      <c r="AC406" s="401"/>
      <c r="AD406" s="401"/>
      <c r="AE406" s="401"/>
      <c r="AF406" s="401"/>
      <c r="AG406" s="401"/>
      <c r="AH406" s="401"/>
      <c r="AI406" s="401"/>
      <c r="AJ406" s="401"/>
      <c r="AK406" s="401"/>
      <c r="AL406" s="401"/>
    </row>
    <row r="407" spans="1:38" s="154" customFormat="1" ht="20.100000000000001" customHeight="1">
      <c r="A407" s="402"/>
      <c r="B407" s="393"/>
      <c r="C407" s="394"/>
      <c r="D407" s="393"/>
      <c r="E407" s="393"/>
      <c r="F407" s="393"/>
      <c r="G407" s="395"/>
      <c r="H407" s="396"/>
      <c r="I407" s="393"/>
      <c r="J407" s="393"/>
      <c r="K407" s="393"/>
      <c r="L407" s="393"/>
      <c r="M407" s="382"/>
      <c r="N407" s="393"/>
      <c r="O407" s="393"/>
      <c r="P407" s="396"/>
      <c r="Q407" s="393"/>
      <c r="R407" s="393"/>
      <c r="S407" s="393"/>
      <c r="T407" s="393"/>
      <c r="U407" s="393"/>
      <c r="V407" s="393"/>
      <c r="W407" s="393"/>
      <c r="X407" s="393"/>
      <c r="Y407" s="397"/>
      <c r="Z407" s="393"/>
      <c r="AA407" s="393"/>
      <c r="AB407" s="401"/>
      <c r="AC407" s="401"/>
      <c r="AD407" s="401"/>
      <c r="AE407" s="401"/>
      <c r="AF407" s="401"/>
      <c r="AG407" s="401"/>
      <c r="AH407" s="401"/>
      <c r="AI407" s="401"/>
      <c r="AJ407" s="401"/>
      <c r="AK407" s="401"/>
      <c r="AL407" s="401"/>
    </row>
    <row r="408" spans="1:38" s="154" customFormat="1" ht="20.100000000000001" customHeight="1">
      <c r="A408" s="402"/>
      <c r="B408" s="393"/>
      <c r="C408" s="394"/>
      <c r="D408" s="393"/>
      <c r="E408" s="393"/>
      <c r="F408" s="393"/>
      <c r="G408" s="395"/>
      <c r="H408" s="396"/>
      <c r="I408" s="393"/>
      <c r="J408" s="393"/>
      <c r="K408" s="393"/>
      <c r="L408" s="393"/>
      <c r="M408" s="382"/>
      <c r="N408" s="393"/>
      <c r="O408" s="393"/>
      <c r="P408" s="396"/>
      <c r="Q408" s="393"/>
      <c r="R408" s="393"/>
      <c r="S408" s="393"/>
      <c r="T408" s="393"/>
      <c r="U408" s="393"/>
      <c r="V408" s="393"/>
      <c r="W408" s="393"/>
      <c r="X408" s="393"/>
      <c r="Y408" s="397"/>
      <c r="Z408" s="393"/>
      <c r="AA408" s="393"/>
      <c r="AB408" s="401"/>
      <c r="AC408" s="401"/>
      <c r="AD408" s="401"/>
      <c r="AE408" s="401"/>
      <c r="AF408" s="401"/>
      <c r="AG408" s="401"/>
      <c r="AH408" s="401"/>
      <c r="AI408" s="401"/>
      <c r="AJ408" s="401"/>
      <c r="AK408" s="401"/>
      <c r="AL408" s="401"/>
    </row>
    <row r="409" spans="1:38" s="154" customFormat="1" ht="20.100000000000001" customHeight="1">
      <c r="A409" s="402"/>
      <c r="B409" s="393"/>
      <c r="C409" s="394"/>
      <c r="D409" s="393"/>
      <c r="E409" s="393"/>
      <c r="F409" s="393"/>
      <c r="G409" s="395"/>
      <c r="H409" s="396"/>
      <c r="I409" s="393"/>
      <c r="J409" s="393"/>
      <c r="K409" s="393"/>
      <c r="L409" s="393"/>
      <c r="M409" s="382"/>
      <c r="N409" s="393"/>
      <c r="O409" s="393"/>
      <c r="P409" s="396"/>
      <c r="Q409" s="393"/>
      <c r="R409" s="393"/>
      <c r="S409" s="393"/>
      <c r="T409" s="393"/>
      <c r="U409" s="393"/>
      <c r="V409" s="393"/>
      <c r="W409" s="393"/>
      <c r="X409" s="393"/>
      <c r="Y409" s="397"/>
      <c r="Z409" s="393"/>
      <c r="AA409" s="393"/>
      <c r="AB409" s="401"/>
      <c r="AC409" s="401"/>
      <c r="AD409" s="401"/>
      <c r="AE409" s="401"/>
      <c r="AF409" s="401"/>
      <c r="AG409" s="401"/>
      <c r="AH409" s="401"/>
      <c r="AI409" s="401"/>
      <c r="AJ409" s="401"/>
      <c r="AK409" s="401"/>
      <c r="AL409" s="401"/>
    </row>
    <row r="410" spans="1:38" s="154" customFormat="1" ht="20.100000000000001" customHeight="1">
      <c r="A410" s="402"/>
      <c r="B410" s="393"/>
      <c r="C410" s="394"/>
      <c r="D410" s="393"/>
      <c r="E410" s="393"/>
      <c r="F410" s="393"/>
      <c r="G410" s="395"/>
      <c r="H410" s="396"/>
      <c r="I410" s="393"/>
      <c r="J410" s="393"/>
      <c r="K410" s="393"/>
      <c r="L410" s="393"/>
      <c r="M410" s="382"/>
      <c r="N410" s="393"/>
      <c r="O410" s="393"/>
      <c r="P410" s="396"/>
      <c r="Q410" s="393"/>
      <c r="R410" s="393"/>
      <c r="S410" s="393"/>
      <c r="T410" s="393"/>
      <c r="U410" s="393"/>
      <c r="V410" s="393"/>
      <c r="W410" s="393"/>
      <c r="X410" s="393"/>
      <c r="Y410" s="397"/>
      <c r="Z410" s="393"/>
      <c r="AA410" s="393"/>
      <c r="AB410" s="401"/>
      <c r="AC410" s="401"/>
      <c r="AD410" s="401"/>
      <c r="AE410" s="401"/>
      <c r="AF410" s="401"/>
      <c r="AG410" s="401"/>
      <c r="AH410" s="401"/>
      <c r="AI410" s="401"/>
      <c r="AJ410" s="401"/>
      <c r="AK410" s="401"/>
      <c r="AL410" s="401"/>
    </row>
    <row r="411" spans="1:38" s="154" customFormat="1" ht="20.100000000000001" customHeight="1">
      <c r="A411" s="402"/>
      <c r="B411" s="393"/>
      <c r="C411" s="394"/>
      <c r="D411" s="393"/>
      <c r="E411" s="393"/>
      <c r="F411" s="393"/>
      <c r="G411" s="395"/>
      <c r="H411" s="396"/>
      <c r="I411" s="393"/>
      <c r="J411" s="393"/>
      <c r="K411" s="393"/>
      <c r="L411" s="393"/>
      <c r="M411" s="382"/>
      <c r="N411" s="393"/>
      <c r="O411" s="393"/>
      <c r="P411" s="396"/>
      <c r="Q411" s="393"/>
      <c r="R411" s="393"/>
      <c r="S411" s="393"/>
      <c r="T411" s="393"/>
      <c r="U411" s="393"/>
      <c r="V411" s="393"/>
      <c r="W411" s="393"/>
      <c r="X411" s="393"/>
      <c r="Y411" s="397"/>
      <c r="Z411" s="393"/>
      <c r="AA411" s="393"/>
      <c r="AB411" s="401"/>
      <c r="AC411" s="401"/>
      <c r="AD411" s="401"/>
      <c r="AE411" s="401"/>
      <c r="AF411" s="401"/>
      <c r="AG411" s="401"/>
      <c r="AH411" s="401"/>
      <c r="AI411" s="401"/>
      <c r="AJ411" s="401"/>
      <c r="AK411" s="401"/>
      <c r="AL411" s="401"/>
    </row>
    <row r="412" spans="1:38" s="154" customFormat="1" ht="20.100000000000001" customHeight="1">
      <c r="A412" s="402"/>
      <c r="B412" s="393"/>
      <c r="C412" s="394"/>
      <c r="D412" s="393"/>
      <c r="E412" s="393"/>
      <c r="F412" s="393"/>
      <c r="G412" s="395"/>
      <c r="H412" s="396"/>
      <c r="I412" s="393"/>
      <c r="J412" s="393"/>
      <c r="K412" s="393"/>
      <c r="L412" s="393"/>
      <c r="M412" s="382"/>
      <c r="N412" s="393"/>
      <c r="O412" s="393"/>
      <c r="P412" s="396"/>
      <c r="Q412" s="393"/>
      <c r="R412" s="393"/>
      <c r="S412" s="393"/>
      <c r="T412" s="393"/>
      <c r="U412" s="393"/>
      <c r="V412" s="393"/>
      <c r="W412" s="393"/>
      <c r="X412" s="393"/>
      <c r="Y412" s="397"/>
      <c r="Z412" s="393"/>
      <c r="AA412" s="393"/>
      <c r="AB412" s="401"/>
      <c r="AC412" s="401"/>
      <c r="AD412" s="401"/>
      <c r="AE412" s="401"/>
      <c r="AF412" s="401"/>
      <c r="AG412" s="401"/>
      <c r="AH412" s="401"/>
      <c r="AI412" s="401"/>
      <c r="AJ412" s="401"/>
      <c r="AK412" s="401"/>
      <c r="AL412" s="401"/>
    </row>
    <row r="413" spans="1:38" s="154" customFormat="1" ht="20.100000000000001" customHeight="1">
      <c r="A413" s="402"/>
      <c r="B413" s="393"/>
      <c r="C413" s="394"/>
      <c r="D413" s="393"/>
      <c r="E413" s="393"/>
      <c r="F413" s="393"/>
      <c r="G413" s="395"/>
      <c r="H413" s="396"/>
      <c r="I413" s="393"/>
      <c r="J413" s="393"/>
      <c r="K413" s="393"/>
      <c r="L413" s="393"/>
      <c r="M413" s="382"/>
      <c r="N413" s="393"/>
      <c r="O413" s="393"/>
      <c r="P413" s="396"/>
      <c r="Q413" s="393"/>
      <c r="R413" s="393"/>
      <c r="S413" s="393"/>
      <c r="T413" s="393"/>
      <c r="U413" s="393"/>
      <c r="V413" s="393"/>
      <c r="W413" s="393"/>
      <c r="X413" s="393"/>
      <c r="Y413" s="397"/>
      <c r="Z413" s="393"/>
      <c r="AA413" s="393"/>
      <c r="AB413" s="401"/>
      <c r="AC413" s="401"/>
      <c r="AD413" s="401"/>
      <c r="AE413" s="401"/>
      <c r="AF413" s="401"/>
      <c r="AG413" s="401"/>
      <c r="AH413" s="401"/>
      <c r="AI413" s="401"/>
      <c r="AJ413" s="401"/>
      <c r="AK413" s="401"/>
      <c r="AL413" s="401"/>
    </row>
    <row r="414" spans="1:38" s="154" customFormat="1" ht="20.100000000000001" customHeight="1">
      <c r="A414" s="402"/>
      <c r="B414" s="393"/>
      <c r="C414" s="394"/>
      <c r="D414" s="393"/>
      <c r="E414" s="393"/>
      <c r="F414" s="393"/>
      <c r="G414" s="395"/>
      <c r="H414" s="396"/>
      <c r="I414" s="393"/>
      <c r="J414" s="393"/>
      <c r="K414" s="393"/>
      <c r="L414" s="393"/>
      <c r="M414" s="382"/>
      <c r="N414" s="393"/>
      <c r="O414" s="393"/>
      <c r="P414" s="396"/>
      <c r="Q414" s="393"/>
      <c r="R414" s="393"/>
      <c r="S414" s="393"/>
      <c r="T414" s="393"/>
      <c r="U414" s="393"/>
      <c r="V414" s="393"/>
      <c r="W414" s="393"/>
      <c r="X414" s="393"/>
      <c r="Y414" s="397"/>
      <c r="Z414" s="393"/>
      <c r="AA414" s="393"/>
      <c r="AB414" s="401"/>
      <c r="AC414" s="401"/>
      <c r="AD414" s="401"/>
      <c r="AE414" s="401"/>
      <c r="AF414" s="401"/>
      <c r="AG414" s="401"/>
      <c r="AH414" s="401"/>
      <c r="AI414" s="401"/>
      <c r="AJ414" s="401"/>
      <c r="AK414" s="401"/>
      <c r="AL414" s="401"/>
    </row>
    <row r="415" spans="1:38" s="154" customFormat="1" ht="20.100000000000001" customHeight="1">
      <c r="A415" s="402"/>
      <c r="B415" s="393"/>
      <c r="C415" s="394"/>
      <c r="D415" s="393"/>
      <c r="E415" s="393"/>
      <c r="F415" s="393"/>
      <c r="G415" s="395"/>
      <c r="H415" s="396"/>
      <c r="I415" s="393"/>
      <c r="J415" s="393"/>
      <c r="K415" s="393"/>
      <c r="L415" s="393"/>
      <c r="M415" s="382"/>
      <c r="N415" s="393"/>
      <c r="O415" s="393"/>
      <c r="P415" s="396"/>
      <c r="Q415" s="393"/>
      <c r="R415" s="393"/>
      <c r="S415" s="393"/>
      <c r="T415" s="393"/>
      <c r="U415" s="393"/>
      <c r="V415" s="393"/>
      <c r="W415" s="393"/>
      <c r="X415" s="393"/>
      <c r="Y415" s="397"/>
      <c r="Z415" s="393"/>
      <c r="AA415" s="393"/>
      <c r="AB415" s="401"/>
      <c r="AC415" s="401"/>
      <c r="AD415" s="401"/>
      <c r="AE415" s="401"/>
      <c r="AF415" s="401"/>
      <c r="AG415" s="401"/>
      <c r="AH415" s="401"/>
      <c r="AI415" s="401"/>
      <c r="AJ415" s="401"/>
      <c r="AK415" s="401"/>
      <c r="AL415" s="401"/>
    </row>
    <row r="416" spans="1:38" s="154" customFormat="1" ht="20.100000000000001" customHeight="1">
      <c r="A416" s="402"/>
      <c r="B416" s="393"/>
      <c r="C416" s="394"/>
      <c r="D416" s="393"/>
      <c r="E416" s="393"/>
      <c r="F416" s="393"/>
      <c r="G416" s="395"/>
      <c r="H416" s="396"/>
      <c r="I416" s="393"/>
      <c r="J416" s="393"/>
      <c r="K416" s="393"/>
      <c r="L416" s="393"/>
      <c r="M416" s="382"/>
      <c r="N416" s="393"/>
      <c r="O416" s="393"/>
      <c r="P416" s="396"/>
      <c r="Q416" s="393"/>
      <c r="R416" s="393"/>
      <c r="S416" s="393"/>
      <c r="T416" s="393"/>
      <c r="U416" s="393"/>
      <c r="V416" s="393"/>
      <c r="W416" s="393"/>
      <c r="X416" s="393"/>
      <c r="Y416" s="397"/>
      <c r="Z416" s="393"/>
      <c r="AA416" s="393"/>
      <c r="AB416" s="401"/>
      <c r="AC416" s="401"/>
      <c r="AD416" s="401"/>
      <c r="AE416" s="401"/>
      <c r="AF416" s="401"/>
      <c r="AG416" s="401"/>
      <c r="AH416" s="401"/>
      <c r="AI416" s="401"/>
      <c r="AJ416" s="401"/>
      <c r="AK416" s="401"/>
      <c r="AL416" s="401"/>
    </row>
    <row r="417" spans="1:38" s="154" customFormat="1" ht="20.100000000000001" customHeight="1">
      <c r="A417" s="402"/>
      <c r="B417" s="393"/>
      <c r="C417" s="394"/>
      <c r="D417" s="393"/>
      <c r="E417" s="393"/>
      <c r="F417" s="393"/>
      <c r="G417" s="395"/>
      <c r="H417" s="396"/>
      <c r="I417" s="393"/>
      <c r="J417" s="393"/>
      <c r="K417" s="393"/>
      <c r="L417" s="393"/>
      <c r="M417" s="382"/>
      <c r="N417" s="393"/>
      <c r="O417" s="393"/>
      <c r="P417" s="396"/>
      <c r="Q417" s="393"/>
      <c r="R417" s="393"/>
      <c r="S417" s="393"/>
      <c r="T417" s="393"/>
      <c r="U417" s="393"/>
      <c r="V417" s="393"/>
      <c r="W417" s="393"/>
      <c r="X417" s="393"/>
      <c r="Y417" s="397"/>
      <c r="Z417" s="393"/>
      <c r="AA417" s="393"/>
      <c r="AB417" s="401"/>
      <c r="AC417" s="401"/>
      <c r="AD417" s="401"/>
      <c r="AE417" s="401"/>
      <c r="AF417" s="401"/>
      <c r="AG417" s="401"/>
      <c r="AH417" s="401"/>
      <c r="AI417" s="401"/>
      <c r="AJ417" s="401"/>
      <c r="AK417" s="401"/>
      <c r="AL417" s="401"/>
    </row>
    <row r="418" spans="1:38" s="154" customFormat="1" ht="20.100000000000001" customHeight="1">
      <c r="A418" s="402"/>
      <c r="B418" s="393"/>
      <c r="C418" s="394"/>
      <c r="D418" s="393"/>
      <c r="E418" s="393"/>
      <c r="F418" s="393"/>
      <c r="G418" s="395"/>
      <c r="H418" s="396"/>
      <c r="I418" s="393"/>
      <c r="J418" s="393"/>
      <c r="K418" s="393"/>
      <c r="L418" s="393"/>
      <c r="M418" s="382"/>
      <c r="N418" s="393"/>
      <c r="O418" s="393"/>
      <c r="P418" s="396"/>
      <c r="Q418" s="393"/>
      <c r="R418" s="393"/>
      <c r="S418" s="393"/>
      <c r="T418" s="393"/>
      <c r="U418" s="393"/>
      <c r="V418" s="393"/>
      <c r="W418" s="393"/>
      <c r="X418" s="393"/>
      <c r="Y418" s="397"/>
      <c r="Z418" s="393"/>
      <c r="AA418" s="393"/>
      <c r="AB418" s="401"/>
      <c r="AC418" s="401"/>
      <c r="AD418" s="401"/>
      <c r="AE418" s="401"/>
      <c r="AF418" s="401"/>
      <c r="AG418" s="401"/>
      <c r="AH418" s="401"/>
      <c r="AI418" s="401"/>
      <c r="AJ418" s="401"/>
      <c r="AK418" s="401"/>
      <c r="AL418" s="401"/>
    </row>
    <row r="419" spans="1:38" s="154" customFormat="1" ht="20.100000000000001" customHeight="1">
      <c r="A419" s="402"/>
      <c r="B419" s="393"/>
      <c r="C419" s="394"/>
      <c r="D419" s="393"/>
      <c r="E419" s="393"/>
      <c r="F419" s="393"/>
      <c r="G419" s="395"/>
      <c r="H419" s="396"/>
      <c r="I419" s="393"/>
      <c r="J419" s="393"/>
      <c r="K419" s="393"/>
      <c r="L419" s="393"/>
      <c r="M419" s="382"/>
      <c r="N419" s="393"/>
      <c r="O419" s="393"/>
      <c r="P419" s="396"/>
      <c r="Q419" s="393"/>
      <c r="R419" s="393"/>
      <c r="S419" s="393"/>
      <c r="T419" s="393"/>
      <c r="U419" s="393"/>
      <c r="V419" s="393"/>
      <c r="W419" s="393"/>
      <c r="X419" s="393"/>
      <c r="Y419" s="397"/>
      <c r="Z419" s="393"/>
      <c r="AA419" s="393"/>
      <c r="AB419" s="401"/>
      <c r="AC419" s="401"/>
      <c r="AD419" s="401"/>
      <c r="AE419" s="401"/>
      <c r="AF419" s="401"/>
      <c r="AG419" s="401"/>
      <c r="AH419" s="401"/>
      <c r="AI419" s="401"/>
      <c r="AJ419" s="401"/>
      <c r="AK419" s="401"/>
      <c r="AL419" s="401"/>
    </row>
    <row r="420" spans="1:38" s="154" customFormat="1" ht="20.100000000000001" customHeight="1">
      <c r="A420" s="402"/>
      <c r="B420" s="393"/>
      <c r="C420" s="394"/>
      <c r="D420" s="393"/>
      <c r="E420" s="393"/>
      <c r="F420" s="393"/>
      <c r="G420" s="395"/>
      <c r="H420" s="396"/>
      <c r="I420" s="393"/>
      <c r="J420" s="393"/>
      <c r="K420" s="393"/>
      <c r="L420" s="393"/>
      <c r="M420" s="382"/>
      <c r="N420" s="393"/>
      <c r="O420" s="393"/>
      <c r="P420" s="396"/>
      <c r="Q420" s="393"/>
      <c r="R420" s="393"/>
      <c r="S420" s="393"/>
      <c r="T420" s="393"/>
      <c r="U420" s="393"/>
      <c r="V420" s="393"/>
      <c r="W420" s="393"/>
      <c r="X420" s="393"/>
      <c r="Y420" s="397"/>
      <c r="Z420" s="393"/>
      <c r="AA420" s="393"/>
      <c r="AB420" s="401"/>
      <c r="AC420" s="401"/>
      <c r="AD420" s="401"/>
      <c r="AE420" s="401"/>
      <c r="AF420" s="401"/>
      <c r="AG420" s="401"/>
      <c r="AH420" s="401"/>
      <c r="AI420" s="401"/>
      <c r="AJ420" s="401"/>
      <c r="AK420" s="401"/>
      <c r="AL420" s="401"/>
    </row>
    <row r="421" spans="1:38" s="154" customFormat="1" ht="20.100000000000001" customHeight="1">
      <c r="A421" s="402"/>
      <c r="B421" s="393"/>
      <c r="C421" s="394"/>
      <c r="D421" s="393"/>
      <c r="E421" s="393"/>
      <c r="F421" s="393"/>
      <c r="G421" s="395"/>
      <c r="H421" s="396"/>
      <c r="I421" s="393"/>
      <c r="J421" s="393"/>
      <c r="K421" s="393"/>
      <c r="L421" s="393"/>
      <c r="M421" s="382"/>
      <c r="N421" s="393"/>
      <c r="O421" s="393"/>
      <c r="P421" s="396"/>
      <c r="Q421" s="393"/>
      <c r="R421" s="393"/>
      <c r="S421" s="393"/>
      <c r="T421" s="393"/>
      <c r="U421" s="393"/>
      <c r="V421" s="393"/>
      <c r="W421" s="393"/>
      <c r="X421" s="393"/>
      <c r="Y421" s="397"/>
      <c r="Z421" s="393"/>
      <c r="AA421" s="393"/>
      <c r="AB421" s="401"/>
      <c r="AC421" s="401"/>
      <c r="AD421" s="401"/>
      <c r="AE421" s="401"/>
      <c r="AF421" s="401"/>
      <c r="AG421" s="401"/>
      <c r="AH421" s="401"/>
      <c r="AI421" s="401"/>
      <c r="AJ421" s="401"/>
      <c r="AK421" s="401"/>
      <c r="AL421" s="401"/>
    </row>
    <row r="422" spans="1:38" s="154" customFormat="1" ht="20.100000000000001" customHeight="1">
      <c r="A422" s="402"/>
      <c r="B422" s="393"/>
      <c r="C422" s="394"/>
      <c r="D422" s="393"/>
      <c r="E422" s="393"/>
      <c r="F422" s="393"/>
      <c r="G422" s="395"/>
      <c r="H422" s="396"/>
      <c r="I422" s="393"/>
      <c r="J422" s="393"/>
      <c r="K422" s="393"/>
      <c r="L422" s="393"/>
      <c r="M422" s="382"/>
      <c r="N422" s="393"/>
      <c r="O422" s="393"/>
      <c r="P422" s="396"/>
      <c r="Q422" s="393"/>
      <c r="R422" s="393"/>
      <c r="S422" s="393"/>
      <c r="T422" s="393"/>
      <c r="U422" s="393"/>
      <c r="V422" s="393"/>
      <c r="W422" s="393"/>
      <c r="X422" s="393"/>
      <c r="Y422" s="397"/>
      <c r="Z422" s="393"/>
      <c r="AA422" s="393"/>
      <c r="AB422" s="401"/>
      <c r="AC422" s="401"/>
      <c r="AD422" s="401"/>
      <c r="AE422" s="401"/>
      <c r="AF422" s="401"/>
      <c r="AG422" s="401"/>
      <c r="AH422" s="401"/>
      <c r="AI422" s="401"/>
      <c r="AJ422" s="401"/>
      <c r="AK422" s="401"/>
      <c r="AL422" s="401"/>
    </row>
    <row r="423" spans="1:38" s="154" customFormat="1" ht="20.100000000000001" customHeight="1">
      <c r="A423" s="402"/>
      <c r="B423" s="393"/>
      <c r="C423" s="394"/>
      <c r="D423" s="393"/>
      <c r="E423" s="393"/>
      <c r="F423" s="393"/>
      <c r="G423" s="395"/>
      <c r="H423" s="396"/>
      <c r="I423" s="393"/>
      <c r="J423" s="393"/>
      <c r="K423" s="393"/>
      <c r="L423" s="393"/>
      <c r="M423" s="382"/>
      <c r="N423" s="393"/>
      <c r="O423" s="393"/>
      <c r="P423" s="396"/>
      <c r="Q423" s="393"/>
      <c r="R423" s="393"/>
      <c r="S423" s="393"/>
      <c r="T423" s="393"/>
      <c r="U423" s="393"/>
      <c r="V423" s="393"/>
      <c r="W423" s="393"/>
      <c r="X423" s="393"/>
      <c r="Y423" s="397"/>
      <c r="Z423" s="393"/>
      <c r="AA423" s="393"/>
      <c r="AB423" s="401"/>
      <c r="AC423" s="401"/>
      <c r="AD423" s="401"/>
      <c r="AE423" s="401"/>
      <c r="AF423" s="401"/>
      <c r="AG423" s="401"/>
      <c r="AH423" s="401"/>
      <c r="AI423" s="401"/>
      <c r="AJ423" s="401"/>
      <c r="AK423" s="401"/>
      <c r="AL423" s="401"/>
    </row>
    <row r="424" spans="1:38" s="154" customFormat="1" ht="20.100000000000001" customHeight="1">
      <c r="A424" s="402"/>
      <c r="B424" s="393"/>
      <c r="C424" s="394"/>
      <c r="D424" s="393"/>
      <c r="E424" s="393"/>
      <c r="F424" s="393"/>
      <c r="G424" s="395"/>
      <c r="H424" s="396"/>
      <c r="I424" s="393"/>
      <c r="J424" s="393"/>
      <c r="K424" s="393"/>
      <c r="L424" s="393"/>
      <c r="M424" s="382"/>
      <c r="N424" s="393"/>
      <c r="O424" s="393"/>
      <c r="P424" s="396"/>
      <c r="Q424" s="393"/>
      <c r="R424" s="393"/>
      <c r="S424" s="393"/>
      <c r="T424" s="393"/>
      <c r="U424" s="393"/>
      <c r="V424" s="393"/>
      <c r="W424" s="393"/>
      <c r="X424" s="393"/>
      <c r="Y424" s="397"/>
      <c r="Z424" s="393"/>
      <c r="AA424" s="393"/>
      <c r="AB424" s="401"/>
      <c r="AC424" s="401"/>
      <c r="AD424" s="401"/>
      <c r="AE424" s="401"/>
      <c r="AF424" s="401"/>
      <c r="AG424" s="401"/>
      <c r="AH424" s="401"/>
      <c r="AI424" s="401"/>
      <c r="AJ424" s="401"/>
      <c r="AK424" s="401"/>
      <c r="AL424" s="401"/>
    </row>
    <row r="425" spans="1:38" s="154" customFormat="1" ht="20.100000000000001" customHeight="1">
      <c r="A425" s="402"/>
      <c r="B425" s="393"/>
      <c r="C425" s="394"/>
      <c r="D425" s="393"/>
      <c r="E425" s="393"/>
      <c r="F425" s="393"/>
      <c r="G425" s="395"/>
      <c r="H425" s="396"/>
      <c r="I425" s="393"/>
      <c r="J425" s="393"/>
      <c r="K425" s="393"/>
      <c r="L425" s="393"/>
      <c r="M425" s="382"/>
      <c r="N425" s="393"/>
      <c r="O425" s="393"/>
      <c r="P425" s="396"/>
      <c r="Q425" s="393"/>
      <c r="R425" s="393"/>
      <c r="S425" s="393"/>
      <c r="T425" s="393"/>
      <c r="U425" s="393"/>
      <c r="V425" s="393"/>
      <c r="W425" s="393"/>
      <c r="X425" s="393"/>
      <c r="Y425" s="397"/>
      <c r="Z425" s="393"/>
      <c r="AA425" s="393"/>
      <c r="AB425" s="401"/>
      <c r="AC425" s="401"/>
      <c r="AD425" s="401"/>
      <c r="AE425" s="401"/>
      <c r="AF425" s="401"/>
      <c r="AG425" s="401"/>
      <c r="AH425" s="401"/>
      <c r="AI425" s="401"/>
      <c r="AJ425" s="401"/>
      <c r="AK425" s="401"/>
      <c r="AL425" s="401"/>
    </row>
    <row r="426" spans="1:38" s="154" customFormat="1" ht="20.100000000000001" customHeight="1">
      <c r="A426" s="402"/>
      <c r="B426" s="393"/>
      <c r="C426" s="394"/>
      <c r="D426" s="393"/>
      <c r="E426" s="393"/>
      <c r="F426" s="393"/>
      <c r="G426" s="395"/>
      <c r="H426" s="396"/>
      <c r="I426" s="393"/>
      <c r="J426" s="393"/>
      <c r="K426" s="393"/>
      <c r="L426" s="393"/>
      <c r="M426" s="382"/>
      <c r="N426" s="393"/>
      <c r="O426" s="393"/>
      <c r="P426" s="396"/>
      <c r="Q426" s="393"/>
      <c r="R426" s="393"/>
      <c r="S426" s="393"/>
      <c r="T426" s="393"/>
      <c r="U426" s="393"/>
      <c r="V426" s="393"/>
      <c r="W426" s="393"/>
      <c r="X426" s="393"/>
      <c r="Y426" s="397"/>
      <c r="Z426" s="393"/>
      <c r="AA426" s="393"/>
      <c r="AB426" s="401"/>
      <c r="AC426" s="401"/>
      <c r="AD426" s="401"/>
      <c r="AE426" s="401"/>
      <c r="AF426" s="401"/>
      <c r="AG426" s="401"/>
      <c r="AH426" s="401"/>
      <c r="AI426" s="401"/>
      <c r="AJ426" s="401"/>
      <c r="AK426" s="401"/>
      <c r="AL426" s="401"/>
    </row>
    <row r="427" spans="1:38" s="154" customFormat="1" ht="20.100000000000001" customHeight="1">
      <c r="A427" s="402"/>
      <c r="B427" s="393"/>
      <c r="C427" s="394"/>
      <c r="D427" s="393"/>
      <c r="E427" s="393"/>
      <c r="F427" s="393"/>
      <c r="G427" s="395"/>
      <c r="H427" s="396"/>
      <c r="I427" s="393"/>
      <c r="J427" s="393"/>
      <c r="K427" s="393"/>
      <c r="L427" s="393"/>
      <c r="M427" s="382"/>
      <c r="N427" s="393"/>
      <c r="O427" s="393"/>
      <c r="P427" s="396"/>
      <c r="Q427" s="393"/>
      <c r="R427" s="393"/>
      <c r="S427" s="393"/>
      <c r="T427" s="393"/>
      <c r="U427" s="393"/>
      <c r="V427" s="393"/>
      <c r="W427" s="393"/>
      <c r="X427" s="393"/>
      <c r="Y427" s="397"/>
      <c r="Z427" s="393"/>
      <c r="AA427" s="393"/>
      <c r="AB427" s="401"/>
      <c r="AC427" s="401"/>
      <c r="AD427" s="401"/>
      <c r="AE427" s="401"/>
      <c r="AF427" s="401"/>
      <c r="AG427" s="401"/>
      <c r="AH427" s="401"/>
      <c r="AI427" s="401"/>
      <c r="AJ427" s="401"/>
      <c r="AK427" s="401"/>
      <c r="AL427" s="401"/>
    </row>
    <row r="428" spans="1:38" s="154" customFormat="1" ht="20.100000000000001" customHeight="1">
      <c r="A428" s="402"/>
      <c r="B428" s="393"/>
      <c r="C428" s="394"/>
      <c r="D428" s="393"/>
      <c r="E428" s="393"/>
      <c r="F428" s="393"/>
      <c r="G428" s="395"/>
      <c r="H428" s="396"/>
      <c r="I428" s="393"/>
      <c r="J428" s="393"/>
      <c r="K428" s="393"/>
      <c r="L428" s="393"/>
      <c r="M428" s="382"/>
      <c r="N428" s="393"/>
      <c r="O428" s="393"/>
      <c r="P428" s="396"/>
      <c r="Q428" s="393"/>
      <c r="R428" s="393"/>
      <c r="S428" s="393"/>
      <c r="T428" s="393"/>
      <c r="U428" s="393"/>
      <c r="V428" s="393"/>
      <c r="W428" s="393"/>
      <c r="X428" s="393"/>
      <c r="Y428" s="397"/>
      <c r="Z428" s="393"/>
      <c r="AA428" s="393"/>
      <c r="AB428" s="401"/>
      <c r="AC428" s="401"/>
      <c r="AD428" s="401"/>
      <c r="AE428" s="401"/>
      <c r="AF428" s="401"/>
      <c r="AG428" s="401"/>
      <c r="AH428" s="401"/>
      <c r="AI428" s="401"/>
      <c r="AJ428" s="401"/>
      <c r="AK428" s="401"/>
      <c r="AL428" s="401"/>
    </row>
    <row r="429" spans="1:38" s="154" customFormat="1" ht="20.100000000000001" customHeight="1">
      <c r="A429" s="402"/>
      <c r="B429" s="393"/>
      <c r="C429" s="394"/>
      <c r="D429" s="393"/>
      <c r="E429" s="393"/>
      <c r="F429" s="393"/>
      <c r="G429" s="395"/>
      <c r="H429" s="396"/>
      <c r="I429" s="393"/>
      <c r="J429" s="393"/>
      <c r="K429" s="393"/>
      <c r="L429" s="393"/>
      <c r="M429" s="382"/>
      <c r="N429" s="393"/>
      <c r="O429" s="393"/>
      <c r="P429" s="396"/>
      <c r="Q429" s="393"/>
      <c r="R429" s="393"/>
      <c r="S429" s="393"/>
      <c r="T429" s="393"/>
      <c r="U429" s="393"/>
      <c r="V429" s="393"/>
      <c r="W429" s="393"/>
      <c r="X429" s="393"/>
      <c r="Y429" s="397"/>
      <c r="Z429" s="393"/>
      <c r="AA429" s="393"/>
      <c r="AB429" s="401"/>
      <c r="AC429" s="401"/>
      <c r="AD429" s="401"/>
      <c r="AE429" s="401"/>
      <c r="AF429" s="401"/>
      <c r="AG429" s="401"/>
      <c r="AH429" s="401"/>
      <c r="AI429" s="401"/>
      <c r="AJ429" s="401"/>
      <c r="AK429" s="401"/>
      <c r="AL429" s="401"/>
    </row>
    <row r="430" spans="1:38" s="154" customFormat="1" ht="20.100000000000001" customHeight="1">
      <c r="A430" s="402"/>
      <c r="B430" s="393"/>
      <c r="C430" s="394"/>
      <c r="D430" s="393"/>
      <c r="E430" s="393"/>
      <c r="F430" s="393"/>
      <c r="G430" s="395"/>
      <c r="H430" s="396"/>
      <c r="I430" s="393"/>
      <c r="J430" s="393"/>
      <c r="K430" s="393"/>
      <c r="L430" s="393"/>
      <c r="M430" s="382"/>
      <c r="N430" s="393"/>
      <c r="O430" s="393"/>
      <c r="P430" s="396"/>
      <c r="Q430" s="393"/>
      <c r="R430" s="393"/>
      <c r="S430" s="393"/>
      <c r="T430" s="393"/>
      <c r="U430" s="393"/>
      <c r="V430" s="393"/>
      <c r="W430" s="393"/>
      <c r="X430" s="393"/>
      <c r="Y430" s="397"/>
      <c r="Z430" s="393"/>
      <c r="AA430" s="393"/>
      <c r="AB430" s="401"/>
      <c r="AC430" s="401"/>
      <c r="AD430" s="401"/>
      <c r="AE430" s="401"/>
      <c r="AF430" s="401"/>
      <c r="AG430" s="401"/>
      <c r="AH430" s="401"/>
      <c r="AI430" s="401"/>
      <c r="AJ430" s="401"/>
      <c r="AK430" s="401"/>
      <c r="AL430" s="401"/>
    </row>
    <row r="431" spans="1:38" s="154" customFormat="1" ht="20.100000000000001" customHeight="1">
      <c r="A431" s="402"/>
      <c r="B431" s="393"/>
      <c r="C431" s="394"/>
      <c r="D431" s="393"/>
      <c r="E431" s="393"/>
      <c r="F431" s="393"/>
      <c r="G431" s="395"/>
      <c r="H431" s="396"/>
      <c r="I431" s="393"/>
      <c r="J431" s="393"/>
      <c r="K431" s="393"/>
      <c r="L431" s="393"/>
      <c r="M431" s="382"/>
      <c r="N431" s="393"/>
      <c r="O431" s="393"/>
      <c r="P431" s="396"/>
      <c r="Q431" s="393"/>
      <c r="R431" s="393"/>
      <c r="S431" s="393"/>
      <c r="T431" s="393"/>
      <c r="U431" s="393"/>
      <c r="V431" s="393"/>
      <c r="W431" s="393"/>
      <c r="X431" s="393"/>
      <c r="Y431" s="397"/>
      <c r="Z431" s="393"/>
      <c r="AA431" s="393"/>
      <c r="AB431" s="401"/>
      <c r="AC431" s="401"/>
      <c r="AD431" s="401"/>
      <c r="AE431" s="401"/>
      <c r="AF431" s="401"/>
      <c r="AG431" s="401"/>
      <c r="AH431" s="401"/>
      <c r="AI431" s="401"/>
      <c r="AJ431" s="401"/>
      <c r="AK431" s="401"/>
      <c r="AL431" s="401"/>
    </row>
    <row r="432" spans="1:38" s="154" customFormat="1" ht="20.100000000000001" customHeight="1">
      <c r="A432" s="402"/>
      <c r="B432" s="393"/>
      <c r="C432" s="394"/>
      <c r="D432" s="393"/>
      <c r="E432" s="393"/>
      <c r="F432" s="393"/>
      <c r="G432" s="395"/>
      <c r="H432" s="396"/>
      <c r="I432" s="393"/>
      <c r="J432" s="393"/>
      <c r="K432" s="393"/>
      <c r="L432" s="393"/>
      <c r="M432" s="382"/>
      <c r="N432" s="393"/>
      <c r="O432" s="393"/>
      <c r="P432" s="396"/>
      <c r="Q432" s="393"/>
      <c r="R432" s="393"/>
      <c r="S432" s="393"/>
      <c r="T432" s="393"/>
      <c r="U432" s="393"/>
      <c r="V432" s="393"/>
      <c r="W432" s="393"/>
      <c r="X432" s="393"/>
      <c r="Y432" s="397"/>
      <c r="Z432" s="393"/>
      <c r="AA432" s="393"/>
      <c r="AB432" s="401"/>
      <c r="AC432" s="401"/>
      <c r="AD432" s="401"/>
      <c r="AE432" s="401"/>
      <c r="AF432" s="401"/>
      <c r="AG432" s="401"/>
      <c r="AH432" s="401"/>
      <c r="AI432" s="401"/>
      <c r="AJ432" s="401"/>
      <c r="AK432" s="401"/>
      <c r="AL432" s="401"/>
    </row>
    <row r="433" spans="1:38" s="154" customFormat="1" ht="20.100000000000001" customHeight="1">
      <c r="A433" s="402"/>
      <c r="B433" s="393"/>
      <c r="C433" s="394"/>
      <c r="D433" s="393"/>
      <c r="E433" s="393"/>
      <c r="F433" s="393"/>
      <c r="G433" s="395"/>
      <c r="H433" s="396"/>
      <c r="I433" s="393"/>
      <c r="J433" s="393"/>
      <c r="K433" s="393"/>
      <c r="L433" s="393"/>
      <c r="M433" s="382"/>
      <c r="N433" s="393"/>
      <c r="O433" s="393"/>
      <c r="P433" s="396"/>
      <c r="Q433" s="393"/>
      <c r="R433" s="393"/>
      <c r="S433" s="393"/>
      <c r="T433" s="393"/>
      <c r="U433" s="393"/>
      <c r="V433" s="393"/>
      <c r="W433" s="393"/>
      <c r="X433" s="393"/>
      <c r="Y433" s="397"/>
      <c r="Z433" s="393"/>
      <c r="AA433" s="393"/>
      <c r="AB433" s="401"/>
      <c r="AC433" s="401"/>
      <c r="AD433" s="401"/>
      <c r="AE433" s="401"/>
      <c r="AF433" s="401"/>
      <c r="AG433" s="401"/>
      <c r="AH433" s="401"/>
      <c r="AI433" s="401"/>
      <c r="AJ433" s="401"/>
      <c r="AK433" s="401"/>
      <c r="AL433" s="401"/>
    </row>
    <row r="434" spans="1:38" s="154" customFormat="1" ht="20.100000000000001" customHeight="1">
      <c r="A434" s="402"/>
      <c r="B434" s="393"/>
      <c r="C434" s="394"/>
      <c r="D434" s="393"/>
      <c r="E434" s="393"/>
      <c r="F434" s="393"/>
      <c r="G434" s="395"/>
      <c r="H434" s="396"/>
      <c r="I434" s="393"/>
      <c r="J434" s="393"/>
      <c r="K434" s="393"/>
      <c r="L434" s="393"/>
      <c r="M434" s="382"/>
      <c r="N434" s="393"/>
      <c r="O434" s="393"/>
      <c r="P434" s="396"/>
      <c r="Q434" s="393"/>
      <c r="R434" s="393"/>
      <c r="S434" s="393"/>
      <c r="T434" s="393"/>
      <c r="U434" s="393"/>
      <c r="V434" s="393"/>
      <c r="W434" s="393"/>
      <c r="X434" s="393"/>
      <c r="Y434" s="397"/>
      <c r="Z434" s="393"/>
      <c r="AA434" s="393"/>
      <c r="AB434" s="401"/>
      <c r="AC434" s="401"/>
      <c r="AD434" s="401"/>
      <c r="AE434" s="401"/>
      <c r="AF434" s="401"/>
      <c r="AG434" s="401"/>
      <c r="AH434" s="401"/>
      <c r="AI434" s="401"/>
      <c r="AJ434" s="401"/>
      <c r="AK434" s="401"/>
      <c r="AL434" s="401"/>
    </row>
    <row r="435" spans="1:38" s="154" customFormat="1" ht="20.100000000000001" customHeight="1">
      <c r="A435" s="402"/>
      <c r="B435" s="393"/>
      <c r="C435" s="394"/>
      <c r="D435" s="393"/>
      <c r="E435" s="393"/>
      <c r="F435" s="393"/>
      <c r="G435" s="395"/>
      <c r="H435" s="396"/>
      <c r="I435" s="393"/>
      <c r="J435" s="393"/>
      <c r="K435" s="393"/>
      <c r="L435" s="393"/>
      <c r="M435" s="382"/>
      <c r="N435" s="393"/>
      <c r="O435" s="393"/>
      <c r="P435" s="396"/>
      <c r="Q435" s="393"/>
      <c r="R435" s="393"/>
      <c r="S435" s="393"/>
      <c r="T435" s="393"/>
      <c r="U435" s="393"/>
      <c r="V435" s="393"/>
      <c r="W435" s="393"/>
      <c r="X435" s="393"/>
      <c r="Y435" s="397"/>
      <c r="Z435" s="393"/>
      <c r="AA435" s="393"/>
      <c r="AB435" s="401"/>
      <c r="AC435" s="401"/>
      <c r="AD435" s="401"/>
      <c r="AE435" s="401"/>
      <c r="AF435" s="401"/>
      <c r="AG435" s="401"/>
      <c r="AH435" s="401"/>
      <c r="AI435" s="401"/>
      <c r="AJ435" s="401"/>
      <c r="AK435" s="401"/>
      <c r="AL435" s="401"/>
    </row>
    <row r="436" spans="1:38" s="154" customFormat="1" ht="20.100000000000001" customHeight="1">
      <c r="A436" s="402"/>
      <c r="B436" s="393"/>
      <c r="C436" s="394"/>
      <c r="D436" s="393"/>
      <c r="E436" s="393"/>
      <c r="F436" s="393"/>
      <c r="G436" s="395"/>
      <c r="H436" s="396"/>
      <c r="I436" s="393"/>
      <c r="J436" s="393"/>
      <c r="K436" s="393"/>
      <c r="L436" s="393"/>
      <c r="M436" s="382"/>
      <c r="N436" s="393"/>
      <c r="O436" s="393"/>
      <c r="P436" s="396"/>
      <c r="Q436" s="393"/>
      <c r="R436" s="393"/>
      <c r="S436" s="393"/>
      <c r="T436" s="393"/>
      <c r="U436" s="393"/>
      <c r="V436" s="393"/>
      <c r="W436" s="393"/>
      <c r="X436" s="393"/>
      <c r="Y436" s="397"/>
      <c r="Z436" s="393"/>
      <c r="AA436" s="393"/>
      <c r="AB436" s="401"/>
      <c r="AC436" s="401"/>
      <c r="AD436" s="401"/>
      <c r="AE436" s="401"/>
      <c r="AF436" s="401"/>
      <c r="AG436" s="401"/>
      <c r="AH436" s="401"/>
      <c r="AI436" s="401"/>
      <c r="AJ436" s="401"/>
      <c r="AK436" s="401"/>
      <c r="AL436" s="401"/>
    </row>
    <row r="437" spans="1:38" s="154" customFormat="1" ht="20.100000000000001" customHeight="1">
      <c r="A437" s="402"/>
      <c r="B437" s="393"/>
      <c r="C437" s="394"/>
      <c r="D437" s="393"/>
      <c r="E437" s="393"/>
      <c r="F437" s="393"/>
      <c r="G437" s="395"/>
      <c r="H437" s="396"/>
      <c r="I437" s="393"/>
      <c r="J437" s="393"/>
      <c r="K437" s="393"/>
      <c r="L437" s="393"/>
      <c r="M437" s="382"/>
      <c r="N437" s="393"/>
      <c r="O437" s="393"/>
      <c r="P437" s="396"/>
      <c r="Q437" s="393"/>
      <c r="R437" s="393"/>
      <c r="S437" s="393"/>
      <c r="T437" s="393"/>
      <c r="U437" s="393"/>
      <c r="V437" s="393"/>
      <c r="W437" s="393"/>
      <c r="X437" s="393"/>
      <c r="Y437" s="397"/>
      <c r="Z437" s="393"/>
      <c r="AA437" s="393"/>
      <c r="AB437" s="401"/>
      <c r="AC437" s="401"/>
      <c r="AD437" s="401"/>
      <c r="AE437" s="401"/>
      <c r="AF437" s="401"/>
      <c r="AG437" s="401"/>
      <c r="AH437" s="401"/>
      <c r="AI437" s="401"/>
      <c r="AJ437" s="401"/>
      <c r="AK437" s="401"/>
      <c r="AL437" s="401"/>
    </row>
    <row r="438" spans="1:38" s="154" customFormat="1" ht="20.100000000000001" customHeight="1">
      <c r="A438" s="402"/>
      <c r="B438" s="393"/>
      <c r="C438" s="394"/>
      <c r="D438" s="393"/>
      <c r="E438" s="393"/>
      <c r="F438" s="393"/>
      <c r="G438" s="395"/>
      <c r="H438" s="396"/>
      <c r="I438" s="393"/>
      <c r="J438" s="393"/>
      <c r="K438" s="393"/>
      <c r="L438" s="393"/>
      <c r="M438" s="382"/>
      <c r="N438" s="393"/>
      <c r="O438" s="393"/>
      <c r="P438" s="396"/>
      <c r="Q438" s="393"/>
      <c r="R438" s="393"/>
      <c r="S438" s="393"/>
      <c r="T438" s="393"/>
      <c r="U438" s="393"/>
      <c r="V438" s="393"/>
      <c r="W438" s="393"/>
      <c r="X438" s="393"/>
      <c r="Y438" s="397"/>
      <c r="Z438" s="393"/>
      <c r="AA438" s="393"/>
      <c r="AB438" s="401"/>
      <c r="AC438" s="401"/>
      <c r="AD438" s="401"/>
      <c r="AE438" s="401"/>
      <c r="AF438" s="401"/>
      <c r="AG438" s="401"/>
      <c r="AH438" s="401"/>
      <c r="AI438" s="401"/>
      <c r="AJ438" s="401"/>
      <c r="AK438" s="401"/>
      <c r="AL438" s="401"/>
    </row>
    <row r="439" spans="1:38" s="154" customFormat="1" ht="20.100000000000001" customHeight="1">
      <c r="A439" s="402"/>
      <c r="B439" s="393"/>
      <c r="C439" s="394"/>
      <c r="D439" s="393"/>
      <c r="E439" s="393"/>
      <c r="F439" s="393"/>
      <c r="G439" s="395"/>
      <c r="H439" s="396"/>
      <c r="I439" s="393"/>
      <c r="J439" s="393"/>
      <c r="K439" s="393"/>
      <c r="L439" s="393"/>
      <c r="M439" s="382"/>
      <c r="N439" s="393"/>
      <c r="O439" s="393"/>
      <c r="P439" s="396"/>
      <c r="Q439" s="393"/>
      <c r="R439" s="393"/>
      <c r="S439" s="393"/>
      <c r="T439" s="393"/>
      <c r="U439" s="393"/>
      <c r="V439" s="393"/>
      <c r="W439" s="393"/>
      <c r="X439" s="393"/>
      <c r="Y439" s="397"/>
      <c r="Z439" s="393"/>
      <c r="AA439" s="393"/>
      <c r="AB439" s="401"/>
      <c r="AC439" s="401"/>
      <c r="AD439" s="401"/>
      <c r="AE439" s="401"/>
      <c r="AF439" s="401"/>
      <c r="AG439" s="401"/>
      <c r="AH439" s="401"/>
      <c r="AI439" s="401"/>
      <c r="AJ439" s="401"/>
      <c r="AK439" s="401"/>
      <c r="AL439" s="401"/>
    </row>
    <row r="440" spans="1:38" s="154" customFormat="1" ht="20.100000000000001" customHeight="1">
      <c r="A440" s="402"/>
      <c r="B440" s="393"/>
      <c r="C440" s="394"/>
      <c r="D440" s="393"/>
      <c r="E440" s="393"/>
      <c r="F440" s="393"/>
      <c r="G440" s="395"/>
      <c r="H440" s="396"/>
      <c r="I440" s="393"/>
      <c r="J440" s="393"/>
      <c r="K440" s="393"/>
      <c r="L440" s="393"/>
      <c r="M440" s="382"/>
      <c r="N440" s="393"/>
      <c r="O440" s="393"/>
      <c r="P440" s="396"/>
      <c r="Q440" s="393"/>
      <c r="R440" s="393"/>
      <c r="S440" s="393"/>
      <c r="T440" s="393"/>
      <c r="U440" s="393"/>
      <c r="V440" s="393"/>
      <c r="W440" s="393"/>
      <c r="X440" s="393"/>
      <c r="Y440" s="397"/>
      <c r="Z440" s="393"/>
      <c r="AA440" s="393"/>
      <c r="AB440" s="401"/>
      <c r="AC440" s="401"/>
      <c r="AD440" s="401"/>
      <c r="AE440" s="401"/>
      <c r="AF440" s="401"/>
      <c r="AG440" s="401"/>
      <c r="AH440" s="401"/>
      <c r="AI440" s="401"/>
      <c r="AJ440" s="401"/>
      <c r="AK440" s="401"/>
      <c r="AL440" s="401"/>
    </row>
    <row r="441" spans="1:38" s="154" customFormat="1" ht="20.100000000000001" customHeight="1">
      <c r="A441" s="402"/>
      <c r="B441" s="393"/>
      <c r="C441" s="394"/>
      <c r="D441" s="393"/>
      <c r="E441" s="393"/>
      <c r="F441" s="393"/>
      <c r="G441" s="395"/>
      <c r="H441" s="396"/>
      <c r="I441" s="393"/>
      <c r="J441" s="393"/>
      <c r="K441" s="393"/>
      <c r="L441" s="393"/>
      <c r="M441" s="382"/>
      <c r="N441" s="393"/>
      <c r="O441" s="393"/>
      <c r="P441" s="396"/>
      <c r="Q441" s="393"/>
      <c r="R441" s="393"/>
      <c r="S441" s="393"/>
      <c r="T441" s="393"/>
      <c r="U441" s="393"/>
      <c r="V441" s="393"/>
      <c r="W441" s="393"/>
      <c r="X441" s="393"/>
      <c r="Y441" s="397"/>
      <c r="Z441" s="393"/>
      <c r="AA441" s="393"/>
      <c r="AB441" s="401"/>
      <c r="AC441" s="401"/>
      <c r="AD441" s="401"/>
      <c r="AE441" s="401"/>
      <c r="AF441" s="401"/>
      <c r="AG441" s="401"/>
      <c r="AH441" s="401"/>
      <c r="AI441" s="401"/>
      <c r="AJ441" s="401"/>
      <c r="AK441" s="401"/>
      <c r="AL441" s="401"/>
    </row>
    <row r="442" spans="1:38" s="154" customFormat="1" ht="20.100000000000001" customHeight="1">
      <c r="A442" s="402"/>
      <c r="B442" s="393"/>
      <c r="C442" s="394"/>
      <c r="D442" s="393"/>
      <c r="E442" s="393"/>
      <c r="F442" s="393"/>
      <c r="G442" s="395"/>
      <c r="H442" s="396"/>
      <c r="I442" s="393"/>
      <c r="J442" s="393"/>
      <c r="K442" s="393"/>
      <c r="L442" s="393"/>
      <c r="M442" s="382"/>
      <c r="N442" s="393"/>
      <c r="O442" s="393"/>
      <c r="P442" s="396"/>
      <c r="Q442" s="393"/>
      <c r="R442" s="393"/>
      <c r="S442" s="393"/>
      <c r="T442" s="393"/>
      <c r="U442" s="393"/>
      <c r="V442" s="393"/>
      <c r="W442" s="393"/>
      <c r="X442" s="393"/>
      <c r="Y442" s="397"/>
      <c r="Z442" s="393"/>
      <c r="AA442" s="393"/>
      <c r="AB442" s="401"/>
      <c r="AC442" s="401"/>
      <c r="AD442" s="401"/>
      <c r="AE442" s="401"/>
      <c r="AF442" s="401"/>
      <c r="AG442" s="401"/>
      <c r="AH442" s="401"/>
      <c r="AI442" s="401"/>
      <c r="AJ442" s="401"/>
      <c r="AK442" s="401"/>
      <c r="AL442" s="401"/>
    </row>
    <row r="443" spans="1:38" s="154" customFormat="1" ht="20.100000000000001" customHeight="1">
      <c r="A443" s="402"/>
      <c r="B443" s="393"/>
      <c r="C443" s="394"/>
      <c r="D443" s="393"/>
      <c r="E443" s="393"/>
      <c r="F443" s="393"/>
      <c r="G443" s="395"/>
      <c r="H443" s="396"/>
      <c r="I443" s="393"/>
      <c r="J443" s="393"/>
      <c r="K443" s="393"/>
      <c r="L443" s="393"/>
      <c r="M443" s="382"/>
      <c r="N443" s="393"/>
      <c r="O443" s="393"/>
      <c r="P443" s="396"/>
      <c r="Q443" s="393"/>
      <c r="R443" s="393"/>
      <c r="S443" s="393"/>
      <c r="T443" s="393"/>
      <c r="U443" s="393"/>
      <c r="V443" s="393"/>
      <c r="W443" s="393"/>
      <c r="X443" s="393"/>
      <c r="Y443" s="397"/>
      <c r="Z443" s="393"/>
      <c r="AA443" s="393"/>
      <c r="AB443" s="401"/>
      <c r="AC443" s="401"/>
      <c r="AD443" s="401"/>
      <c r="AE443" s="401"/>
      <c r="AF443" s="401"/>
      <c r="AG443" s="401"/>
      <c r="AH443" s="401"/>
      <c r="AI443" s="401"/>
      <c r="AJ443" s="401"/>
      <c r="AK443" s="401"/>
      <c r="AL443" s="401"/>
    </row>
    <row r="444" spans="1:38" s="154" customFormat="1" ht="20.100000000000001" customHeight="1">
      <c r="A444" s="402"/>
      <c r="B444" s="393"/>
      <c r="C444" s="394"/>
      <c r="D444" s="393"/>
      <c r="E444" s="393"/>
      <c r="F444" s="393"/>
      <c r="G444" s="395"/>
      <c r="H444" s="396"/>
      <c r="I444" s="393"/>
      <c r="J444" s="393"/>
      <c r="K444" s="393"/>
      <c r="L444" s="393"/>
      <c r="M444" s="382"/>
      <c r="N444" s="393"/>
      <c r="O444" s="393"/>
      <c r="P444" s="396"/>
      <c r="Q444" s="393"/>
      <c r="R444" s="393"/>
      <c r="S444" s="393"/>
      <c r="T444" s="393"/>
      <c r="U444" s="393"/>
      <c r="V444" s="393"/>
      <c r="W444" s="393"/>
      <c r="X444" s="393"/>
      <c r="Y444" s="397"/>
      <c r="Z444" s="393"/>
      <c r="AA444" s="393"/>
      <c r="AB444" s="401"/>
      <c r="AC444" s="401"/>
      <c r="AD444" s="401"/>
      <c r="AE444" s="401"/>
      <c r="AF444" s="401"/>
      <c r="AG444" s="401"/>
      <c r="AH444" s="401"/>
      <c r="AI444" s="401"/>
      <c r="AJ444" s="401"/>
      <c r="AK444" s="401"/>
      <c r="AL444" s="401"/>
    </row>
    <row r="445" spans="1:38" s="154" customFormat="1" ht="20.100000000000001" customHeight="1">
      <c r="A445" s="402"/>
      <c r="B445" s="393"/>
      <c r="C445" s="394"/>
      <c r="D445" s="393"/>
      <c r="E445" s="393"/>
      <c r="F445" s="393"/>
      <c r="G445" s="395"/>
      <c r="H445" s="396"/>
      <c r="I445" s="393"/>
      <c r="J445" s="393"/>
      <c r="K445" s="393"/>
      <c r="L445" s="393"/>
      <c r="M445" s="382"/>
      <c r="N445" s="393"/>
      <c r="O445" s="393"/>
      <c r="P445" s="396"/>
      <c r="Q445" s="393"/>
      <c r="R445" s="393"/>
      <c r="S445" s="393"/>
      <c r="T445" s="393"/>
      <c r="U445" s="393"/>
      <c r="V445" s="393"/>
      <c r="W445" s="393"/>
      <c r="X445" s="393"/>
      <c r="Y445" s="397"/>
      <c r="Z445" s="393"/>
      <c r="AA445" s="393"/>
      <c r="AB445" s="401"/>
      <c r="AC445" s="401"/>
      <c r="AD445" s="401"/>
      <c r="AE445" s="401"/>
      <c r="AF445" s="401"/>
      <c r="AG445" s="401"/>
      <c r="AH445" s="401"/>
      <c r="AI445" s="401"/>
      <c r="AJ445" s="401"/>
      <c r="AK445" s="401"/>
      <c r="AL445" s="401"/>
    </row>
    <row r="446" spans="1:38" s="154" customFormat="1" ht="20.100000000000001" customHeight="1">
      <c r="A446" s="402"/>
      <c r="B446" s="393"/>
      <c r="C446" s="394"/>
      <c r="D446" s="393"/>
      <c r="E446" s="393"/>
      <c r="F446" s="393"/>
      <c r="G446" s="395"/>
      <c r="H446" s="396"/>
      <c r="I446" s="393"/>
      <c r="J446" s="393"/>
      <c r="K446" s="393"/>
      <c r="L446" s="393"/>
      <c r="M446" s="382"/>
      <c r="N446" s="393"/>
      <c r="O446" s="393"/>
      <c r="P446" s="396"/>
      <c r="Q446" s="393"/>
      <c r="R446" s="393"/>
      <c r="S446" s="393"/>
      <c r="T446" s="393"/>
      <c r="U446" s="393"/>
      <c r="V446" s="393"/>
      <c r="W446" s="393"/>
      <c r="X446" s="393"/>
      <c r="Y446" s="397"/>
      <c r="Z446" s="393"/>
      <c r="AA446" s="393"/>
      <c r="AB446" s="401"/>
      <c r="AC446" s="401"/>
      <c r="AD446" s="401"/>
      <c r="AE446" s="401"/>
      <c r="AF446" s="401"/>
      <c r="AG446" s="401"/>
      <c r="AH446" s="401"/>
      <c r="AI446" s="401"/>
      <c r="AJ446" s="401"/>
      <c r="AK446" s="401"/>
      <c r="AL446" s="401"/>
    </row>
    <row r="447" spans="1:38" s="154" customFormat="1" ht="20.100000000000001" customHeight="1">
      <c r="A447" s="402"/>
      <c r="B447" s="393"/>
      <c r="C447" s="394"/>
      <c r="D447" s="393"/>
      <c r="E447" s="393"/>
      <c r="F447" s="393"/>
      <c r="G447" s="395"/>
      <c r="H447" s="396"/>
      <c r="I447" s="393"/>
      <c r="J447" s="393"/>
      <c r="K447" s="393"/>
      <c r="L447" s="393"/>
      <c r="M447" s="382"/>
      <c r="N447" s="393"/>
      <c r="O447" s="393"/>
      <c r="P447" s="396"/>
      <c r="Q447" s="393"/>
      <c r="R447" s="393"/>
      <c r="S447" s="393"/>
      <c r="T447" s="393"/>
      <c r="U447" s="393"/>
      <c r="V447" s="393"/>
      <c r="W447" s="393"/>
      <c r="X447" s="393"/>
      <c r="Y447" s="397"/>
      <c r="Z447" s="393"/>
      <c r="AA447" s="393"/>
      <c r="AB447" s="401"/>
      <c r="AC447" s="401"/>
      <c r="AD447" s="401"/>
      <c r="AE447" s="401"/>
      <c r="AF447" s="401"/>
      <c r="AG447" s="401"/>
      <c r="AH447" s="401"/>
      <c r="AI447" s="401"/>
      <c r="AJ447" s="401"/>
      <c r="AK447" s="401"/>
      <c r="AL447" s="401"/>
    </row>
    <row r="448" spans="1:38" s="154" customFormat="1" ht="20.100000000000001" customHeight="1">
      <c r="A448" s="402"/>
      <c r="B448" s="393"/>
      <c r="C448" s="394"/>
      <c r="D448" s="393"/>
      <c r="E448" s="393"/>
      <c r="F448" s="393"/>
      <c r="G448" s="395"/>
      <c r="H448" s="396"/>
      <c r="I448" s="393"/>
      <c r="J448" s="393"/>
      <c r="K448" s="393"/>
      <c r="L448" s="393"/>
      <c r="M448" s="382"/>
      <c r="N448" s="393"/>
      <c r="O448" s="393"/>
      <c r="P448" s="396"/>
      <c r="Q448" s="393"/>
      <c r="R448" s="393"/>
      <c r="S448" s="393"/>
      <c r="T448" s="393"/>
      <c r="U448" s="393"/>
      <c r="V448" s="393"/>
      <c r="W448" s="393"/>
      <c r="X448" s="393"/>
      <c r="Y448" s="397"/>
      <c r="Z448" s="393"/>
      <c r="AA448" s="393"/>
      <c r="AB448" s="401"/>
      <c r="AC448" s="401"/>
      <c r="AD448" s="401"/>
      <c r="AE448" s="401"/>
      <c r="AF448" s="401"/>
      <c r="AG448" s="401"/>
      <c r="AH448" s="401"/>
      <c r="AI448" s="401"/>
      <c r="AJ448" s="401"/>
      <c r="AK448" s="401"/>
      <c r="AL448" s="401"/>
    </row>
    <row r="449" spans="1:38" s="154" customFormat="1" ht="20.100000000000001" customHeight="1">
      <c r="A449" s="402"/>
      <c r="B449" s="393"/>
      <c r="C449" s="394"/>
      <c r="D449" s="393"/>
      <c r="E449" s="393"/>
      <c r="F449" s="393"/>
      <c r="G449" s="395"/>
      <c r="H449" s="396"/>
      <c r="I449" s="393"/>
      <c r="J449" s="393"/>
      <c r="K449" s="393"/>
      <c r="L449" s="393"/>
      <c r="M449" s="382"/>
      <c r="N449" s="393"/>
      <c r="O449" s="393"/>
      <c r="P449" s="396"/>
      <c r="Q449" s="393"/>
      <c r="R449" s="393"/>
      <c r="S449" s="393"/>
      <c r="T449" s="393"/>
      <c r="U449" s="393"/>
      <c r="V449" s="393"/>
      <c r="W449" s="393"/>
      <c r="X449" s="393"/>
      <c r="Y449" s="397"/>
      <c r="Z449" s="393"/>
      <c r="AA449" s="393"/>
      <c r="AB449" s="401"/>
      <c r="AC449" s="401"/>
      <c r="AD449" s="401"/>
      <c r="AE449" s="401"/>
      <c r="AF449" s="401"/>
      <c r="AG449" s="401"/>
      <c r="AH449" s="401"/>
      <c r="AI449" s="401"/>
      <c r="AJ449" s="401"/>
      <c r="AK449" s="401"/>
      <c r="AL449" s="401"/>
    </row>
    <row r="450" spans="1:38" s="154" customFormat="1" ht="20.100000000000001" customHeight="1">
      <c r="A450" s="402"/>
      <c r="B450" s="393"/>
      <c r="C450" s="394"/>
      <c r="D450" s="393"/>
      <c r="E450" s="393"/>
      <c r="F450" s="393"/>
      <c r="G450" s="395"/>
      <c r="H450" s="396"/>
      <c r="I450" s="393"/>
      <c r="J450" s="393"/>
      <c r="K450" s="393"/>
      <c r="L450" s="393"/>
      <c r="M450" s="382"/>
      <c r="N450" s="393"/>
      <c r="O450" s="393"/>
      <c r="P450" s="396"/>
      <c r="Q450" s="393"/>
      <c r="R450" s="393"/>
      <c r="S450" s="393"/>
      <c r="T450" s="393"/>
      <c r="U450" s="393"/>
      <c r="V450" s="393"/>
      <c r="W450" s="393"/>
      <c r="X450" s="393"/>
      <c r="Y450" s="397"/>
      <c r="Z450" s="393"/>
      <c r="AA450" s="393"/>
      <c r="AB450" s="401"/>
      <c r="AC450" s="401"/>
      <c r="AD450" s="401"/>
      <c r="AE450" s="401"/>
      <c r="AF450" s="401"/>
      <c r="AG450" s="401"/>
      <c r="AH450" s="401"/>
      <c r="AI450" s="401"/>
      <c r="AJ450" s="401"/>
      <c r="AK450" s="401"/>
      <c r="AL450" s="401"/>
    </row>
    <row r="451" spans="1:38" s="154" customFormat="1" ht="20.100000000000001" customHeight="1">
      <c r="A451" s="402"/>
      <c r="B451" s="393"/>
      <c r="C451" s="394"/>
      <c r="D451" s="393"/>
      <c r="E451" s="393"/>
      <c r="F451" s="393"/>
      <c r="G451" s="395"/>
      <c r="H451" s="396"/>
      <c r="I451" s="393"/>
      <c r="J451" s="393"/>
      <c r="K451" s="393"/>
      <c r="L451" s="393"/>
      <c r="M451" s="382"/>
      <c r="N451" s="393"/>
      <c r="O451" s="393"/>
      <c r="P451" s="396"/>
      <c r="Q451" s="393"/>
      <c r="R451" s="393"/>
      <c r="S451" s="393"/>
      <c r="T451" s="393"/>
      <c r="U451" s="393"/>
      <c r="V451" s="393"/>
      <c r="W451" s="393"/>
      <c r="X451" s="393"/>
      <c r="Y451" s="397"/>
      <c r="Z451" s="393"/>
      <c r="AA451" s="393"/>
      <c r="AB451" s="401"/>
      <c r="AC451" s="401"/>
      <c r="AD451" s="401"/>
      <c r="AE451" s="401"/>
      <c r="AF451" s="401"/>
      <c r="AG451" s="401"/>
      <c r="AH451" s="401"/>
      <c r="AI451" s="401"/>
      <c r="AJ451" s="401"/>
      <c r="AK451" s="401"/>
      <c r="AL451" s="401"/>
    </row>
    <row r="452" spans="1:38" s="154" customFormat="1" ht="20.100000000000001" customHeight="1">
      <c r="A452" s="402"/>
      <c r="B452" s="393"/>
      <c r="C452" s="394"/>
      <c r="D452" s="393"/>
      <c r="E452" s="393"/>
      <c r="F452" s="393"/>
      <c r="G452" s="395"/>
      <c r="H452" s="396"/>
      <c r="I452" s="393"/>
      <c r="J452" s="393"/>
      <c r="K452" s="393"/>
      <c r="L452" s="393"/>
      <c r="M452" s="382"/>
      <c r="N452" s="393"/>
      <c r="O452" s="393"/>
      <c r="P452" s="396"/>
      <c r="Q452" s="393"/>
      <c r="R452" s="393"/>
      <c r="S452" s="393"/>
      <c r="T452" s="393"/>
      <c r="U452" s="393"/>
      <c r="V452" s="393"/>
      <c r="W452" s="393"/>
      <c r="X452" s="393"/>
      <c r="Y452" s="397"/>
      <c r="Z452" s="393"/>
      <c r="AA452" s="393"/>
      <c r="AB452" s="401"/>
      <c r="AC452" s="401"/>
      <c r="AD452" s="401"/>
      <c r="AE452" s="401"/>
      <c r="AF452" s="401"/>
      <c r="AG452" s="401"/>
      <c r="AH452" s="401"/>
      <c r="AI452" s="401"/>
      <c r="AJ452" s="401"/>
      <c r="AK452" s="401"/>
      <c r="AL452" s="401"/>
    </row>
    <row r="453" spans="1:38" s="154" customFormat="1" ht="20.100000000000001" customHeight="1">
      <c r="A453" s="402"/>
      <c r="B453" s="393"/>
      <c r="C453" s="394"/>
      <c r="D453" s="393"/>
      <c r="E453" s="393"/>
      <c r="F453" s="393"/>
      <c r="G453" s="395"/>
      <c r="H453" s="396"/>
      <c r="I453" s="393"/>
      <c r="J453" s="393"/>
      <c r="K453" s="393"/>
      <c r="L453" s="393"/>
      <c r="M453" s="382"/>
      <c r="N453" s="393"/>
      <c r="O453" s="393"/>
      <c r="P453" s="396"/>
      <c r="Q453" s="393"/>
      <c r="R453" s="393"/>
      <c r="S453" s="393"/>
      <c r="T453" s="393"/>
      <c r="U453" s="393"/>
      <c r="V453" s="393"/>
      <c r="W453" s="393"/>
      <c r="X453" s="393"/>
      <c r="Y453" s="397"/>
      <c r="Z453" s="393"/>
      <c r="AA453" s="393"/>
      <c r="AB453" s="401"/>
      <c r="AC453" s="401"/>
      <c r="AD453" s="401"/>
      <c r="AE453" s="401"/>
      <c r="AF453" s="401"/>
      <c r="AG453" s="401"/>
      <c r="AH453" s="401"/>
      <c r="AI453" s="401"/>
      <c r="AJ453" s="401"/>
      <c r="AK453" s="401"/>
      <c r="AL453" s="401"/>
    </row>
    <row r="454" spans="1:38" s="154" customFormat="1" ht="20.100000000000001" customHeight="1">
      <c r="A454" s="402"/>
      <c r="B454" s="393"/>
      <c r="C454" s="394"/>
      <c r="D454" s="393"/>
      <c r="E454" s="393"/>
      <c r="F454" s="393"/>
      <c r="G454" s="395"/>
      <c r="H454" s="396"/>
      <c r="I454" s="393"/>
      <c r="J454" s="393"/>
      <c r="K454" s="393"/>
      <c r="L454" s="393"/>
      <c r="M454" s="382"/>
      <c r="N454" s="393"/>
      <c r="O454" s="393"/>
      <c r="P454" s="396"/>
      <c r="Q454" s="393"/>
      <c r="R454" s="393"/>
      <c r="S454" s="393"/>
      <c r="T454" s="393"/>
      <c r="U454" s="393"/>
      <c r="V454" s="393"/>
      <c r="W454" s="393"/>
      <c r="X454" s="393"/>
      <c r="Y454" s="397"/>
      <c r="Z454" s="393"/>
      <c r="AA454" s="393"/>
      <c r="AB454" s="401"/>
      <c r="AC454" s="401"/>
      <c r="AD454" s="401"/>
      <c r="AE454" s="401"/>
      <c r="AF454" s="401"/>
      <c r="AG454" s="401"/>
      <c r="AH454" s="401"/>
      <c r="AI454" s="401"/>
      <c r="AJ454" s="401"/>
      <c r="AK454" s="401"/>
      <c r="AL454" s="401"/>
    </row>
    <row r="455" spans="1:38" s="154" customFormat="1" ht="20.100000000000001" customHeight="1">
      <c r="A455" s="402"/>
      <c r="B455" s="393"/>
      <c r="C455" s="394"/>
      <c r="D455" s="393"/>
      <c r="E455" s="393"/>
      <c r="F455" s="393"/>
      <c r="G455" s="395"/>
      <c r="H455" s="396"/>
      <c r="I455" s="393"/>
      <c r="J455" s="393"/>
      <c r="K455" s="393"/>
      <c r="L455" s="393"/>
      <c r="M455" s="382"/>
      <c r="N455" s="393"/>
      <c r="O455" s="393"/>
      <c r="P455" s="396"/>
      <c r="Q455" s="393"/>
      <c r="R455" s="393"/>
      <c r="S455" s="393"/>
      <c r="T455" s="393"/>
      <c r="U455" s="393"/>
      <c r="V455" s="393"/>
      <c r="W455" s="393"/>
      <c r="X455" s="393"/>
      <c r="Y455" s="397"/>
      <c r="Z455" s="393"/>
      <c r="AA455" s="393"/>
      <c r="AB455" s="401"/>
      <c r="AC455" s="401"/>
      <c r="AD455" s="401"/>
      <c r="AE455" s="401"/>
      <c r="AF455" s="401"/>
      <c r="AG455" s="401"/>
      <c r="AH455" s="401"/>
      <c r="AI455" s="401"/>
      <c r="AJ455" s="401"/>
      <c r="AK455" s="401"/>
      <c r="AL455" s="401"/>
    </row>
    <row r="456" spans="1:38" s="154" customFormat="1" ht="20.100000000000001" customHeight="1">
      <c r="A456" s="402"/>
      <c r="B456" s="393"/>
      <c r="C456" s="394"/>
      <c r="D456" s="393"/>
      <c r="E456" s="393"/>
      <c r="F456" s="393"/>
      <c r="G456" s="395"/>
      <c r="H456" s="396"/>
      <c r="I456" s="393"/>
      <c r="J456" s="393"/>
      <c r="K456" s="393"/>
      <c r="L456" s="393"/>
      <c r="M456" s="382"/>
      <c r="N456" s="393"/>
      <c r="O456" s="393"/>
      <c r="P456" s="396"/>
      <c r="Q456" s="393"/>
      <c r="R456" s="393"/>
      <c r="S456" s="393"/>
      <c r="T456" s="393"/>
      <c r="U456" s="393"/>
      <c r="V456" s="393"/>
      <c r="W456" s="393"/>
      <c r="X456" s="393"/>
      <c r="Y456" s="397"/>
      <c r="Z456" s="393"/>
      <c r="AA456" s="393"/>
      <c r="AB456" s="401"/>
      <c r="AC456" s="401"/>
      <c r="AD456" s="401"/>
      <c r="AE456" s="401"/>
      <c r="AF456" s="401"/>
      <c r="AG456" s="401"/>
      <c r="AH456" s="401"/>
      <c r="AI456" s="401"/>
      <c r="AJ456" s="401"/>
      <c r="AK456" s="401"/>
      <c r="AL456" s="401"/>
    </row>
    <row r="457" spans="1:38" s="154" customFormat="1" ht="20.100000000000001" customHeight="1">
      <c r="A457" s="402"/>
      <c r="B457" s="393"/>
      <c r="C457" s="394"/>
      <c r="D457" s="393"/>
      <c r="E457" s="393"/>
      <c r="F457" s="393"/>
      <c r="G457" s="395"/>
      <c r="H457" s="396"/>
      <c r="I457" s="393"/>
      <c r="J457" s="393"/>
      <c r="K457" s="393"/>
      <c r="L457" s="393"/>
      <c r="M457" s="382"/>
      <c r="N457" s="393"/>
      <c r="O457" s="393"/>
      <c r="P457" s="396"/>
      <c r="Q457" s="393"/>
      <c r="R457" s="393"/>
      <c r="S457" s="393"/>
      <c r="T457" s="393"/>
      <c r="U457" s="393"/>
      <c r="V457" s="393"/>
      <c r="W457" s="393"/>
      <c r="X457" s="393"/>
      <c r="Y457" s="397"/>
      <c r="Z457" s="393"/>
      <c r="AA457" s="393"/>
      <c r="AB457" s="401"/>
      <c r="AC457" s="401"/>
      <c r="AD457" s="401"/>
      <c r="AE457" s="401"/>
      <c r="AF457" s="401"/>
      <c r="AG457" s="401"/>
      <c r="AH457" s="401"/>
      <c r="AI457" s="401"/>
      <c r="AJ457" s="401"/>
      <c r="AK457" s="401"/>
      <c r="AL457" s="401"/>
    </row>
    <row r="458" spans="1:38" s="154" customFormat="1" ht="20.100000000000001" customHeight="1">
      <c r="A458" s="402"/>
      <c r="B458" s="393"/>
      <c r="C458" s="394"/>
      <c r="D458" s="393"/>
      <c r="E458" s="393"/>
      <c r="F458" s="393"/>
      <c r="G458" s="395"/>
      <c r="H458" s="396"/>
      <c r="I458" s="393"/>
      <c r="J458" s="393"/>
      <c r="K458" s="393"/>
      <c r="L458" s="393"/>
      <c r="M458" s="382"/>
      <c r="N458" s="393"/>
      <c r="O458" s="393"/>
      <c r="P458" s="396"/>
      <c r="Q458" s="393"/>
      <c r="R458" s="393"/>
      <c r="S458" s="393"/>
      <c r="T458" s="393"/>
      <c r="U458" s="393"/>
      <c r="V458" s="393"/>
      <c r="W458" s="393"/>
      <c r="X458" s="393"/>
      <c r="Y458" s="397"/>
      <c r="Z458" s="393"/>
      <c r="AA458" s="393"/>
      <c r="AB458" s="401"/>
      <c r="AC458" s="401"/>
      <c r="AD458" s="401"/>
      <c r="AE458" s="401"/>
      <c r="AF458" s="401"/>
      <c r="AG458" s="401"/>
      <c r="AH458" s="401"/>
      <c r="AI458" s="401"/>
      <c r="AJ458" s="401"/>
      <c r="AK458" s="401"/>
      <c r="AL458" s="401"/>
    </row>
    <row r="459" spans="1:38" s="154" customFormat="1" ht="20.100000000000001" customHeight="1">
      <c r="A459" s="402"/>
      <c r="B459" s="393"/>
      <c r="C459" s="394"/>
      <c r="D459" s="393"/>
      <c r="E459" s="393"/>
      <c r="F459" s="393"/>
      <c r="G459" s="395"/>
      <c r="H459" s="396"/>
      <c r="I459" s="393"/>
      <c r="J459" s="393"/>
      <c r="K459" s="393"/>
      <c r="L459" s="393"/>
      <c r="M459" s="382"/>
      <c r="N459" s="393"/>
      <c r="O459" s="393"/>
      <c r="P459" s="396"/>
      <c r="Q459" s="393"/>
      <c r="R459" s="393"/>
      <c r="S459" s="393"/>
      <c r="T459" s="393"/>
      <c r="U459" s="393"/>
      <c r="V459" s="393"/>
      <c r="W459" s="393"/>
      <c r="X459" s="393"/>
      <c r="Y459" s="397"/>
      <c r="Z459" s="393"/>
      <c r="AA459" s="393"/>
      <c r="AB459" s="401"/>
      <c r="AC459" s="401"/>
      <c r="AD459" s="401"/>
      <c r="AE459" s="401"/>
      <c r="AF459" s="401"/>
      <c r="AG459" s="401"/>
      <c r="AH459" s="401"/>
      <c r="AI459" s="401"/>
      <c r="AJ459" s="401"/>
      <c r="AK459" s="401"/>
      <c r="AL459" s="401"/>
    </row>
    <row r="460" spans="1:38" s="154" customFormat="1" ht="20.100000000000001" customHeight="1">
      <c r="A460" s="402"/>
      <c r="B460" s="393"/>
      <c r="C460" s="394"/>
      <c r="D460" s="393"/>
      <c r="E460" s="393"/>
      <c r="F460" s="393"/>
      <c r="G460" s="395"/>
      <c r="H460" s="396"/>
      <c r="I460" s="393"/>
      <c r="J460" s="393"/>
      <c r="K460" s="393"/>
      <c r="L460" s="393"/>
      <c r="M460" s="382"/>
      <c r="N460" s="393"/>
      <c r="O460" s="393"/>
      <c r="P460" s="396"/>
      <c r="Q460" s="393"/>
      <c r="R460" s="393"/>
      <c r="S460" s="393"/>
      <c r="T460" s="393"/>
      <c r="U460" s="393"/>
      <c r="V460" s="393"/>
      <c r="W460" s="393"/>
      <c r="X460" s="393"/>
      <c r="Y460" s="397"/>
      <c r="Z460" s="393"/>
      <c r="AA460" s="393"/>
      <c r="AB460" s="401"/>
      <c r="AC460" s="401"/>
      <c r="AD460" s="401"/>
      <c r="AE460" s="401"/>
      <c r="AF460" s="401"/>
      <c r="AG460" s="401"/>
      <c r="AH460" s="401"/>
      <c r="AI460" s="401"/>
      <c r="AJ460" s="401"/>
      <c r="AK460" s="401"/>
      <c r="AL460" s="401"/>
    </row>
    <row r="461" spans="1:38" s="154" customFormat="1" ht="20.100000000000001" customHeight="1">
      <c r="A461" s="402"/>
      <c r="B461" s="393"/>
      <c r="C461" s="394"/>
      <c r="D461" s="393"/>
      <c r="E461" s="393"/>
      <c r="F461" s="393"/>
      <c r="G461" s="395"/>
      <c r="H461" s="396"/>
      <c r="I461" s="393"/>
      <c r="J461" s="393"/>
      <c r="K461" s="393"/>
      <c r="L461" s="393"/>
      <c r="M461" s="382"/>
      <c r="N461" s="393"/>
      <c r="O461" s="393"/>
      <c r="P461" s="396"/>
      <c r="Q461" s="393"/>
      <c r="R461" s="393"/>
      <c r="S461" s="393"/>
      <c r="T461" s="393"/>
      <c r="U461" s="393"/>
      <c r="V461" s="393"/>
      <c r="W461" s="393"/>
      <c r="X461" s="393"/>
      <c r="Y461" s="397"/>
      <c r="Z461" s="393"/>
      <c r="AA461" s="393"/>
      <c r="AB461" s="401"/>
      <c r="AC461" s="401"/>
      <c r="AD461" s="401"/>
      <c r="AE461" s="401"/>
      <c r="AF461" s="401"/>
      <c r="AG461" s="401"/>
      <c r="AH461" s="401"/>
      <c r="AI461" s="401"/>
      <c r="AJ461" s="401"/>
      <c r="AK461" s="401"/>
      <c r="AL461" s="401"/>
    </row>
    <row r="462" spans="1:38" s="154" customFormat="1" ht="20.100000000000001" customHeight="1">
      <c r="A462" s="402"/>
      <c r="B462" s="393"/>
      <c r="C462" s="394"/>
      <c r="D462" s="393"/>
      <c r="E462" s="393"/>
      <c r="F462" s="393"/>
      <c r="G462" s="395"/>
      <c r="H462" s="396"/>
      <c r="I462" s="393"/>
      <c r="J462" s="393"/>
      <c r="K462" s="393"/>
      <c r="L462" s="393"/>
      <c r="M462" s="382"/>
      <c r="N462" s="393"/>
      <c r="O462" s="393"/>
      <c r="P462" s="396"/>
      <c r="Q462" s="393"/>
      <c r="R462" s="393"/>
      <c r="S462" s="393"/>
      <c r="T462" s="393"/>
      <c r="U462" s="393"/>
      <c r="V462" s="393"/>
      <c r="W462" s="393"/>
      <c r="X462" s="393"/>
      <c r="Y462" s="397"/>
      <c r="Z462" s="393"/>
      <c r="AA462" s="393"/>
      <c r="AB462" s="401"/>
      <c r="AC462" s="401"/>
      <c r="AD462" s="401"/>
      <c r="AE462" s="401"/>
      <c r="AF462" s="401"/>
      <c r="AG462" s="401"/>
      <c r="AH462" s="401"/>
      <c r="AI462" s="401"/>
      <c r="AJ462" s="401"/>
      <c r="AK462" s="401"/>
      <c r="AL462" s="401"/>
    </row>
    <row r="463" spans="1:38" s="154" customFormat="1" ht="20.100000000000001" customHeight="1">
      <c r="A463" s="402"/>
      <c r="B463" s="393"/>
      <c r="C463" s="394"/>
      <c r="D463" s="393"/>
      <c r="E463" s="393"/>
      <c r="F463" s="393"/>
      <c r="G463" s="395"/>
      <c r="H463" s="396"/>
      <c r="I463" s="393"/>
      <c r="J463" s="393"/>
      <c r="K463" s="393"/>
      <c r="L463" s="393"/>
      <c r="M463" s="382"/>
      <c r="N463" s="393"/>
      <c r="O463" s="393"/>
      <c r="P463" s="396"/>
      <c r="Q463" s="393"/>
      <c r="R463" s="393"/>
      <c r="S463" s="393"/>
      <c r="T463" s="393"/>
      <c r="U463" s="393"/>
      <c r="V463" s="393"/>
      <c r="W463" s="393"/>
      <c r="X463" s="393"/>
      <c r="Y463" s="397"/>
      <c r="Z463" s="393"/>
      <c r="AA463" s="393"/>
      <c r="AB463" s="401"/>
      <c r="AC463" s="401"/>
      <c r="AD463" s="401"/>
      <c r="AE463" s="401"/>
      <c r="AF463" s="401"/>
      <c r="AG463" s="401"/>
      <c r="AH463" s="401"/>
      <c r="AI463" s="401"/>
      <c r="AJ463" s="401"/>
      <c r="AK463" s="401"/>
      <c r="AL463" s="401"/>
    </row>
    <row r="464" spans="1:38" s="154" customFormat="1" ht="20.100000000000001" customHeight="1">
      <c r="A464" s="402"/>
      <c r="B464" s="393"/>
      <c r="C464" s="394"/>
      <c r="D464" s="393"/>
      <c r="E464" s="393"/>
      <c r="F464" s="393"/>
      <c r="G464" s="395"/>
      <c r="H464" s="396"/>
      <c r="I464" s="393"/>
      <c r="J464" s="393"/>
      <c r="K464" s="393"/>
      <c r="L464" s="393"/>
      <c r="M464" s="382"/>
      <c r="N464" s="393"/>
      <c r="O464" s="393"/>
      <c r="P464" s="396"/>
      <c r="Q464" s="393"/>
      <c r="R464" s="393"/>
      <c r="S464" s="393"/>
      <c r="T464" s="393"/>
      <c r="U464" s="393"/>
      <c r="V464" s="393"/>
      <c r="W464" s="393"/>
      <c r="X464" s="393"/>
      <c r="Y464" s="397"/>
      <c r="Z464" s="393"/>
      <c r="AA464" s="393"/>
      <c r="AB464" s="401"/>
      <c r="AC464" s="401"/>
      <c r="AD464" s="401"/>
      <c r="AE464" s="401"/>
      <c r="AF464" s="401"/>
      <c r="AG464" s="401"/>
      <c r="AH464" s="401"/>
      <c r="AI464" s="401"/>
      <c r="AJ464" s="401"/>
      <c r="AK464" s="401"/>
      <c r="AL464" s="401"/>
    </row>
    <row r="465" spans="1:38" s="154" customFormat="1" ht="20.100000000000001" customHeight="1">
      <c r="A465" s="402"/>
      <c r="B465" s="393"/>
      <c r="C465" s="394"/>
      <c r="D465" s="393"/>
      <c r="E465" s="393"/>
      <c r="F465" s="393"/>
      <c r="G465" s="395"/>
      <c r="H465" s="396"/>
      <c r="I465" s="393"/>
      <c r="J465" s="393"/>
      <c r="K465" s="393"/>
      <c r="L465" s="393"/>
      <c r="M465" s="382"/>
      <c r="N465" s="393"/>
      <c r="O465" s="393"/>
      <c r="P465" s="396"/>
      <c r="Q465" s="393"/>
      <c r="R465" s="393"/>
      <c r="S465" s="393"/>
      <c r="T465" s="393"/>
      <c r="U465" s="393"/>
      <c r="V465" s="393"/>
      <c r="W465" s="393"/>
      <c r="X465" s="393"/>
      <c r="Y465" s="397"/>
      <c r="Z465" s="393"/>
      <c r="AA465" s="393"/>
      <c r="AB465" s="401"/>
      <c r="AC465" s="401"/>
      <c r="AD465" s="401"/>
      <c r="AE465" s="401"/>
      <c r="AF465" s="401"/>
      <c r="AG465" s="401"/>
      <c r="AH465" s="401"/>
      <c r="AI465" s="401"/>
      <c r="AJ465" s="401"/>
      <c r="AK465" s="401"/>
      <c r="AL465" s="401"/>
    </row>
    <row r="466" spans="1:38" s="154" customFormat="1" ht="20.100000000000001" customHeight="1">
      <c r="A466" s="402"/>
      <c r="B466" s="393"/>
      <c r="C466" s="394"/>
      <c r="D466" s="393"/>
      <c r="E466" s="393"/>
      <c r="F466" s="393"/>
      <c r="G466" s="395"/>
      <c r="H466" s="396"/>
      <c r="I466" s="393"/>
      <c r="J466" s="393"/>
      <c r="K466" s="393"/>
      <c r="L466" s="393"/>
      <c r="M466" s="382"/>
      <c r="N466" s="393"/>
      <c r="O466" s="393"/>
      <c r="P466" s="396"/>
      <c r="Q466" s="393"/>
      <c r="R466" s="393"/>
      <c r="S466" s="393"/>
      <c r="T466" s="393"/>
      <c r="U466" s="393"/>
      <c r="V466" s="393"/>
      <c r="W466" s="393"/>
      <c r="X466" s="393"/>
      <c r="Y466" s="397"/>
      <c r="Z466" s="393"/>
      <c r="AA466" s="393"/>
      <c r="AB466" s="401"/>
      <c r="AC466" s="401"/>
      <c r="AD466" s="401"/>
      <c r="AE466" s="401"/>
      <c r="AF466" s="401"/>
      <c r="AG466" s="401"/>
      <c r="AH466" s="401"/>
      <c r="AI466" s="401"/>
      <c r="AJ466" s="401"/>
      <c r="AK466" s="401"/>
      <c r="AL466" s="401"/>
    </row>
    <row r="467" spans="1:38" s="154" customFormat="1" ht="20.100000000000001" customHeight="1">
      <c r="A467" s="402"/>
      <c r="B467" s="393"/>
      <c r="C467" s="394"/>
      <c r="D467" s="393"/>
      <c r="E467" s="393"/>
      <c r="F467" s="393"/>
      <c r="G467" s="395"/>
      <c r="H467" s="396"/>
      <c r="I467" s="393"/>
      <c r="J467" s="393"/>
      <c r="K467" s="393"/>
      <c r="L467" s="393"/>
      <c r="M467" s="382"/>
      <c r="N467" s="393"/>
      <c r="O467" s="393"/>
      <c r="P467" s="396"/>
      <c r="Q467" s="393"/>
      <c r="R467" s="393"/>
      <c r="S467" s="393"/>
      <c r="T467" s="393"/>
      <c r="U467" s="393"/>
      <c r="V467" s="393"/>
      <c r="W467" s="393"/>
      <c r="X467" s="393"/>
      <c r="Y467" s="397"/>
      <c r="Z467" s="393"/>
      <c r="AA467" s="393"/>
      <c r="AB467" s="401"/>
      <c r="AC467" s="401"/>
      <c r="AD467" s="401"/>
      <c r="AE467" s="401"/>
      <c r="AF467" s="401"/>
      <c r="AG467" s="401"/>
      <c r="AH467" s="401"/>
      <c r="AI467" s="401"/>
      <c r="AJ467" s="401"/>
      <c r="AK467" s="401"/>
      <c r="AL467" s="401"/>
    </row>
    <row r="468" spans="1:38" s="154" customFormat="1" ht="20.100000000000001" customHeight="1">
      <c r="A468" s="402"/>
      <c r="B468" s="393"/>
      <c r="C468" s="394"/>
      <c r="D468" s="393"/>
      <c r="E468" s="393"/>
      <c r="F468" s="393"/>
      <c r="G468" s="395"/>
      <c r="H468" s="396"/>
      <c r="I468" s="393"/>
      <c r="J468" s="393"/>
      <c r="K468" s="393"/>
      <c r="L468" s="393"/>
      <c r="M468" s="382"/>
      <c r="N468" s="393"/>
      <c r="O468" s="393"/>
      <c r="P468" s="396"/>
      <c r="Q468" s="393"/>
      <c r="R468" s="393"/>
      <c r="S468" s="393"/>
      <c r="T468" s="393"/>
      <c r="U468" s="393"/>
      <c r="V468" s="393"/>
      <c r="W468" s="393"/>
      <c r="X468" s="393"/>
      <c r="Y468" s="397"/>
      <c r="Z468" s="393"/>
      <c r="AA468" s="393"/>
      <c r="AB468" s="401"/>
      <c r="AC468" s="401"/>
      <c r="AD468" s="401"/>
      <c r="AE468" s="401"/>
      <c r="AF468" s="401"/>
      <c r="AG468" s="401"/>
      <c r="AH468" s="401"/>
      <c r="AI468" s="401"/>
      <c r="AJ468" s="401"/>
      <c r="AK468" s="401"/>
      <c r="AL468" s="401"/>
    </row>
    <row r="469" spans="1:38" s="154" customFormat="1" ht="20.100000000000001" customHeight="1">
      <c r="A469" s="402"/>
      <c r="B469" s="393"/>
      <c r="C469" s="394"/>
      <c r="D469" s="393"/>
      <c r="E469" s="393"/>
      <c r="F469" s="393"/>
      <c r="G469" s="395"/>
      <c r="H469" s="396"/>
      <c r="I469" s="393"/>
      <c r="J469" s="393"/>
      <c r="K469" s="393"/>
      <c r="L469" s="393"/>
      <c r="M469" s="382"/>
      <c r="N469" s="393"/>
      <c r="O469" s="393"/>
      <c r="P469" s="396"/>
      <c r="Q469" s="393"/>
      <c r="R469" s="393"/>
      <c r="S469" s="393"/>
      <c r="T469" s="393"/>
      <c r="U469" s="393"/>
      <c r="V469" s="393"/>
      <c r="W469" s="393"/>
      <c r="X469" s="393"/>
      <c r="Y469" s="397"/>
      <c r="Z469" s="393"/>
      <c r="AA469" s="393"/>
      <c r="AB469" s="401"/>
      <c r="AC469" s="401"/>
      <c r="AD469" s="401"/>
      <c r="AE469" s="401"/>
      <c r="AF469" s="401"/>
      <c r="AG469" s="401"/>
      <c r="AH469" s="401"/>
      <c r="AI469" s="401"/>
      <c r="AJ469" s="401"/>
      <c r="AK469" s="401"/>
      <c r="AL469" s="401"/>
    </row>
    <row r="470" spans="1:38" s="154" customFormat="1" ht="20.100000000000001" customHeight="1">
      <c r="A470" s="402"/>
      <c r="B470" s="393"/>
      <c r="C470" s="394"/>
      <c r="D470" s="393"/>
      <c r="E470" s="393"/>
      <c r="F470" s="393"/>
      <c r="G470" s="395"/>
      <c r="H470" s="396"/>
      <c r="I470" s="393"/>
      <c r="J470" s="393"/>
      <c r="K470" s="393"/>
      <c r="L470" s="393"/>
      <c r="M470" s="382"/>
      <c r="N470" s="393"/>
      <c r="O470" s="393"/>
      <c r="P470" s="396"/>
      <c r="Q470" s="393"/>
      <c r="R470" s="393"/>
      <c r="S470" s="393"/>
      <c r="T470" s="393"/>
      <c r="U470" s="393"/>
      <c r="V470" s="393"/>
      <c r="W470" s="393"/>
      <c r="X470" s="393"/>
      <c r="Y470" s="397"/>
      <c r="Z470" s="393"/>
      <c r="AA470" s="393"/>
      <c r="AB470" s="401"/>
      <c r="AC470" s="401"/>
      <c r="AD470" s="401"/>
      <c r="AE470" s="401"/>
      <c r="AF470" s="401"/>
      <c r="AG470" s="401"/>
      <c r="AH470" s="401"/>
      <c r="AI470" s="401"/>
      <c r="AJ470" s="401"/>
      <c r="AK470" s="401"/>
      <c r="AL470" s="401"/>
    </row>
    <row r="471" spans="1:38" s="154" customFormat="1" ht="20.100000000000001" customHeight="1">
      <c r="A471" s="402"/>
      <c r="B471" s="393"/>
      <c r="C471" s="394"/>
      <c r="D471" s="393"/>
      <c r="E471" s="393"/>
      <c r="F471" s="393"/>
      <c r="G471" s="395"/>
      <c r="H471" s="396"/>
      <c r="I471" s="393"/>
      <c r="J471" s="393"/>
      <c r="K471" s="393"/>
      <c r="L471" s="393"/>
      <c r="M471" s="382"/>
      <c r="N471" s="393"/>
      <c r="O471" s="393"/>
      <c r="P471" s="396"/>
      <c r="Q471" s="393"/>
      <c r="R471" s="393"/>
      <c r="S471" s="393"/>
      <c r="T471" s="393"/>
      <c r="U471" s="393"/>
      <c r="V471" s="393"/>
      <c r="W471" s="393"/>
      <c r="X471" s="393"/>
      <c r="Y471" s="397"/>
      <c r="Z471" s="393"/>
      <c r="AA471" s="393"/>
      <c r="AB471" s="401"/>
      <c r="AC471" s="401"/>
      <c r="AD471" s="401"/>
      <c r="AE471" s="401"/>
      <c r="AF471" s="401"/>
      <c r="AG471" s="401"/>
      <c r="AH471" s="401"/>
      <c r="AI471" s="401"/>
      <c r="AJ471" s="401"/>
      <c r="AK471" s="401"/>
      <c r="AL471" s="401"/>
    </row>
    <row r="472" spans="1:38" s="154" customFormat="1" ht="20.100000000000001" customHeight="1">
      <c r="A472" s="402"/>
      <c r="B472" s="393"/>
      <c r="C472" s="394"/>
      <c r="D472" s="393"/>
      <c r="E472" s="393"/>
      <c r="F472" s="393"/>
      <c r="G472" s="395"/>
      <c r="H472" s="396"/>
      <c r="I472" s="393"/>
      <c r="J472" s="393"/>
      <c r="K472" s="393"/>
      <c r="L472" s="393"/>
      <c r="M472" s="382"/>
      <c r="N472" s="393"/>
      <c r="O472" s="393"/>
      <c r="P472" s="396"/>
      <c r="Q472" s="393"/>
      <c r="R472" s="393"/>
      <c r="S472" s="393"/>
      <c r="T472" s="393"/>
      <c r="U472" s="393"/>
      <c r="V472" s="393"/>
      <c r="W472" s="393"/>
      <c r="X472" s="393"/>
      <c r="Y472" s="397"/>
      <c r="Z472" s="393"/>
      <c r="AA472" s="393"/>
      <c r="AB472" s="401"/>
      <c r="AC472" s="401"/>
      <c r="AD472" s="401"/>
      <c r="AE472" s="401"/>
      <c r="AF472" s="401"/>
      <c r="AG472" s="401"/>
      <c r="AH472" s="401"/>
      <c r="AI472" s="401"/>
      <c r="AJ472" s="401"/>
      <c r="AK472" s="401"/>
      <c r="AL472" s="401"/>
    </row>
    <row r="473" spans="1:38" s="154" customFormat="1" ht="20.100000000000001" customHeight="1">
      <c r="A473" s="402"/>
      <c r="B473" s="393"/>
      <c r="C473" s="394"/>
      <c r="D473" s="393"/>
      <c r="E473" s="393"/>
      <c r="F473" s="393"/>
      <c r="G473" s="395"/>
      <c r="H473" s="396"/>
      <c r="I473" s="393"/>
      <c r="J473" s="393"/>
      <c r="K473" s="393"/>
      <c r="L473" s="393"/>
      <c r="M473" s="382"/>
      <c r="N473" s="393"/>
      <c r="O473" s="393"/>
      <c r="P473" s="396"/>
      <c r="Q473" s="393"/>
      <c r="R473" s="393"/>
      <c r="S473" s="393"/>
      <c r="T473" s="393"/>
      <c r="U473" s="393"/>
      <c r="V473" s="393"/>
      <c r="W473" s="393"/>
      <c r="X473" s="393"/>
      <c r="Y473" s="397"/>
      <c r="Z473" s="393"/>
      <c r="AA473" s="393"/>
      <c r="AB473" s="401"/>
      <c r="AC473" s="401"/>
      <c r="AD473" s="401"/>
      <c r="AE473" s="401"/>
      <c r="AF473" s="401"/>
      <c r="AG473" s="401"/>
      <c r="AH473" s="401"/>
      <c r="AI473" s="401"/>
      <c r="AJ473" s="401"/>
      <c r="AK473" s="401"/>
      <c r="AL473" s="401"/>
    </row>
    <row r="474" spans="1:38" s="154" customFormat="1" ht="20.100000000000001" customHeight="1">
      <c r="A474" s="402"/>
      <c r="B474" s="393"/>
      <c r="C474" s="394"/>
      <c r="D474" s="393"/>
      <c r="E474" s="393"/>
      <c r="F474" s="393"/>
      <c r="G474" s="395"/>
      <c r="H474" s="396"/>
      <c r="I474" s="393"/>
      <c r="J474" s="393"/>
      <c r="K474" s="393"/>
      <c r="L474" s="393"/>
      <c r="M474" s="382"/>
      <c r="N474" s="393"/>
      <c r="O474" s="393"/>
      <c r="P474" s="396"/>
      <c r="Q474" s="393"/>
      <c r="R474" s="393"/>
      <c r="S474" s="393"/>
      <c r="T474" s="393"/>
      <c r="U474" s="393"/>
      <c r="V474" s="393"/>
      <c r="W474" s="393"/>
      <c r="X474" s="393"/>
      <c r="Y474" s="397"/>
      <c r="Z474" s="393"/>
      <c r="AA474" s="393"/>
      <c r="AB474" s="401"/>
      <c r="AC474" s="401"/>
      <c r="AD474" s="401"/>
      <c r="AE474" s="401"/>
      <c r="AF474" s="401"/>
      <c r="AG474" s="401"/>
      <c r="AH474" s="401"/>
      <c r="AI474" s="401"/>
      <c r="AJ474" s="401"/>
      <c r="AK474" s="401"/>
      <c r="AL474" s="401"/>
    </row>
    <row r="475" spans="1:38" s="154" customFormat="1" ht="20.100000000000001" customHeight="1">
      <c r="A475" s="402"/>
      <c r="B475" s="393"/>
      <c r="C475" s="394"/>
      <c r="D475" s="393"/>
      <c r="E475" s="393"/>
      <c r="F475" s="393"/>
      <c r="G475" s="395"/>
      <c r="H475" s="396"/>
      <c r="I475" s="393"/>
      <c r="J475" s="393"/>
      <c r="K475" s="393"/>
      <c r="L475" s="393"/>
      <c r="M475" s="382"/>
      <c r="N475" s="393"/>
      <c r="O475" s="393"/>
      <c r="P475" s="396"/>
      <c r="Q475" s="393"/>
      <c r="R475" s="393"/>
      <c r="S475" s="393"/>
      <c r="T475" s="393"/>
      <c r="U475" s="393"/>
      <c r="V475" s="393"/>
      <c r="W475" s="393"/>
      <c r="X475" s="393"/>
      <c r="Y475" s="397"/>
      <c r="Z475" s="393"/>
      <c r="AA475" s="393"/>
      <c r="AB475" s="401"/>
      <c r="AC475" s="401"/>
      <c r="AD475" s="401"/>
      <c r="AE475" s="401"/>
      <c r="AF475" s="401"/>
      <c r="AG475" s="401"/>
      <c r="AH475" s="401"/>
      <c r="AI475" s="401"/>
      <c r="AJ475" s="401"/>
      <c r="AK475" s="401"/>
      <c r="AL475" s="401"/>
    </row>
    <row r="476" spans="1:38" s="154" customFormat="1" ht="20.100000000000001" customHeight="1">
      <c r="A476" s="402"/>
      <c r="B476" s="393"/>
      <c r="C476" s="394"/>
      <c r="D476" s="393"/>
      <c r="E476" s="393"/>
      <c r="F476" s="393"/>
      <c r="G476" s="395"/>
      <c r="H476" s="396"/>
      <c r="I476" s="393"/>
      <c r="J476" s="393"/>
      <c r="K476" s="393"/>
      <c r="L476" s="393"/>
      <c r="M476" s="382"/>
      <c r="N476" s="393"/>
      <c r="O476" s="393"/>
      <c r="P476" s="396"/>
      <c r="Q476" s="393"/>
      <c r="R476" s="393"/>
      <c r="S476" s="393"/>
      <c r="T476" s="393"/>
      <c r="U476" s="393"/>
      <c r="V476" s="393"/>
      <c r="W476" s="393"/>
      <c r="X476" s="393"/>
      <c r="Y476" s="397"/>
      <c r="Z476" s="393"/>
      <c r="AA476" s="393"/>
      <c r="AB476" s="401"/>
      <c r="AC476" s="401"/>
      <c r="AD476" s="401"/>
      <c r="AE476" s="401"/>
      <c r="AF476" s="401"/>
      <c r="AG476" s="401"/>
      <c r="AH476" s="401"/>
      <c r="AI476" s="401"/>
      <c r="AJ476" s="401"/>
      <c r="AK476" s="401"/>
      <c r="AL476" s="401"/>
    </row>
    <row r="477" spans="1:38" s="154" customFormat="1" ht="20.100000000000001" customHeight="1">
      <c r="A477" s="402"/>
      <c r="B477" s="393"/>
      <c r="C477" s="394"/>
      <c r="D477" s="393"/>
      <c r="E477" s="393"/>
      <c r="F477" s="393"/>
      <c r="G477" s="395"/>
      <c r="H477" s="396"/>
      <c r="I477" s="393"/>
      <c r="J477" s="393"/>
      <c r="K477" s="393"/>
      <c r="L477" s="393"/>
      <c r="M477" s="382"/>
      <c r="N477" s="393"/>
      <c r="O477" s="393"/>
      <c r="P477" s="396"/>
      <c r="Q477" s="393"/>
      <c r="R477" s="393"/>
      <c r="S477" s="393"/>
      <c r="T477" s="393"/>
      <c r="U477" s="393"/>
      <c r="V477" s="393"/>
      <c r="W477" s="393"/>
      <c r="X477" s="393"/>
      <c r="Y477" s="397"/>
      <c r="Z477" s="393"/>
      <c r="AA477" s="393"/>
      <c r="AB477" s="401"/>
      <c r="AC477" s="401"/>
      <c r="AD477" s="401"/>
      <c r="AE477" s="401"/>
      <c r="AF477" s="401"/>
      <c r="AG477" s="401"/>
      <c r="AH477" s="401"/>
      <c r="AI477" s="401"/>
      <c r="AJ477" s="401"/>
      <c r="AK477" s="401"/>
      <c r="AL477" s="401"/>
    </row>
    <row r="478" spans="1:38" s="154" customFormat="1" ht="20.100000000000001" customHeight="1">
      <c r="A478" s="402"/>
      <c r="B478" s="393"/>
      <c r="C478" s="394"/>
      <c r="D478" s="393"/>
      <c r="E478" s="393"/>
      <c r="F478" s="393"/>
      <c r="G478" s="395"/>
      <c r="H478" s="396"/>
      <c r="I478" s="393"/>
      <c r="J478" s="393"/>
      <c r="K478" s="393"/>
      <c r="L478" s="393"/>
      <c r="M478" s="382"/>
      <c r="N478" s="393"/>
      <c r="O478" s="393"/>
      <c r="P478" s="396"/>
      <c r="Q478" s="393"/>
      <c r="R478" s="393"/>
      <c r="S478" s="393"/>
      <c r="T478" s="393"/>
      <c r="U478" s="393"/>
      <c r="V478" s="393"/>
      <c r="W478" s="393"/>
      <c r="X478" s="393"/>
      <c r="Y478" s="397"/>
      <c r="Z478" s="393"/>
      <c r="AA478" s="393"/>
      <c r="AB478" s="401"/>
      <c r="AC478" s="401"/>
      <c r="AD478" s="401"/>
      <c r="AE478" s="401"/>
      <c r="AF478" s="401"/>
      <c r="AG478" s="401"/>
      <c r="AH478" s="401"/>
      <c r="AI478" s="401"/>
      <c r="AJ478" s="401"/>
      <c r="AK478" s="401"/>
      <c r="AL478" s="401"/>
    </row>
    <row r="479" spans="1:38" s="154" customFormat="1" ht="20.100000000000001" customHeight="1">
      <c r="A479" s="402"/>
      <c r="B479" s="393"/>
      <c r="C479" s="394"/>
      <c r="D479" s="393"/>
      <c r="E479" s="393"/>
      <c r="F479" s="393"/>
      <c r="G479" s="395"/>
      <c r="H479" s="396"/>
      <c r="I479" s="393"/>
      <c r="J479" s="393"/>
      <c r="K479" s="393"/>
      <c r="L479" s="393"/>
      <c r="M479" s="382"/>
      <c r="N479" s="393"/>
      <c r="O479" s="393"/>
      <c r="P479" s="396"/>
      <c r="Q479" s="393"/>
      <c r="R479" s="393"/>
      <c r="S479" s="393"/>
      <c r="T479" s="393"/>
      <c r="U479" s="393"/>
      <c r="V479" s="393"/>
      <c r="W479" s="393"/>
      <c r="X479" s="393"/>
      <c r="Y479" s="397"/>
      <c r="Z479" s="393"/>
      <c r="AA479" s="393"/>
      <c r="AB479" s="401"/>
      <c r="AC479" s="401"/>
      <c r="AD479" s="401"/>
      <c r="AE479" s="401"/>
      <c r="AF479" s="401"/>
      <c r="AG479" s="401"/>
      <c r="AH479" s="401"/>
      <c r="AI479" s="401"/>
      <c r="AJ479" s="401"/>
      <c r="AK479" s="401"/>
      <c r="AL479" s="401"/>
    </row>
    <row r="480" spans="1:38" s="154" customFormat="1" ht="20.100000000000001" customHeight="1">
      <c r="A480" s="402"/>
      <c r="B480" s="393"/>
      <c r="C480" s="394"/>
      <c r="D480" s="393"/>
      <c r="E480" s="393"/>
      <c r="F480" s="393"/>
      <c r="G480" s="395"/>
      <c r="H480" s="396"/>
      <c r="I480" s="393"/>
      <c r="J480" s="393"/>
      <c r="K480" s="393"/>
      <c r="L480" s="393"/>
      <c r="M480" s="382"/>
      <c r="N480" s="393"/>
      <c r="O480" s="393"/>
      <c r="P480" s="396"/>
      <c r="Q480" s="393"/>
      <c r="R480" s="393"/>
      <c r="S480" s="393"/>
      <c r="T480" s="393"/>
      <c r="U480" s="393"/>
      <c r="V480" s="393"/>
      <c r="W480" s="393"/>
      <c r="X480" s="393"/>
      <c r="Y480" s="397"/>
      <c r="Z480" s="393"/>
      <c r="AA480" s="393"/>
      <c r="AB480" s="401"/>
      <c r="AC480" s="401"/>
      <c r="AD480" s="401"/>
      <c r="AE480" s="401"/>
      <c r="AF480" s="401"/>
      <c r="AG480" s="401"/>
      <c r="AH480" s="401"/>
      <c r="AI480" s="401"/>
      <c r="AJ480" s="401"/>
      <c r="AK480" s="401"/>
      <c r="AL480" s="401"/>
    </row>
    <row r="481" spans="1:38" s="154" customFormat="1" ht="20.100000000000001" customHeight="1">
      <c r="A481" s="402"/>
      <c r="B481" s="393"/>
      <c r="C481" s="394"/>
      <c r="D481" s="393"/>
      <c r="E481" s="393"/>
      <c r="F481" s="393"/>
      <c r="G481" s="395"/>
      <c r="H481" s="396"/>
      <c r="I481" s="393"/>
      <c r="J481" s="393"/>
      <c r="K481" s="393"/>
      <c r="L481" s="393"/>
      <c r="M481" s="382"/>
      <c r="N481" s="393"/>
      <c r="O481" s="393"/>
      <c r="P481" s="396"/>
      <c r="Q481" s="393"/>
      <c r="R481" s="393"/>
      <c r="S481" s="393"/>
      <c r="T481" s="393"/>
      <c r="U481" s="393"/>
      <c r="V481" s="393"/>
      <c r="W481" s="393"/>
      <c r="X481" s="393"/>
      <c r="Y481" s="397"/>
      <c r="Z481" s="393"/>
      <c r="AA481" s="393"/>
      <c r="AB481" s="401"/>
      <c r="AC481" s="401"/>
      <c r="AD481" s="401"/>
      <c r="AE481" s="401"/>
      <c r="AF481" s="401"/>
      <c r="AG481" s="401"/>
      <c r="AH481" s="401"/>
      <c r="AI481" s="401"/>
      <c r="AJ481" s="401"/>
      <c r="AK481" s="401"/>
      <c r="AL481" s="401"/>
    </row>
    <row r="482" spans="1:38" s="154" customFormat="1" ht="20.100000000000001" customHeight="1">
      <c r="A482" s="402"/>
      <c r="B482" s="393"/>
      <c r="C482" s="394"/>
      <c r="D482" s="393"/>
      <c r="E482" s="393"/>
      <c r="F482" s="393"/>
      <c r="G482" s="395"/>
      <c r="H482" s="396"/>
      <c r="I482" s="393"/>
      <c r="J482" s="393"/>
      <c r="K482" s="393"/>
      <c r="L482" s="393"/>
      <c r="M482" s="382"/>
      <c r="N482" s="393"/>
      <c r="O482" s="393"/>
      <c r="P482" s="396"/>
      <c r="Q482" s="393"/>
      <c r="R482" s="393"/>
      <c r="S482" s="393"/>
      <c r="T482" s="393"/>
      <c r="U482" s="393"/>
      <c r="V482" s="393"/>
      <c r="W482" s="393"/>
      <c r="X482" s="393"/>
      <c r="Y482" s="397"/>
      <c r="Z482" s="393"/>
      <c r="AA482" s="393"/>
      <c r="AB482" s="401"/>
      <c r="AC482" s="401"/>
      <c r="AD482" s="401"/>
      <c r="AE482" s="401"/>
      <c r="AF482" s="401"/>
      <c r="AG482" s="401"/>
      <c r="AH482" s="401"/>
      <c r="AI482" s="401"/>
      <c r="AJ482" s="401"/>
      <c r="AK482" s="401"/>
      <c r="AL482" s="401"/>
    </row>
    <row r="483" spans="1:38" s="154" customFormat="1" ht="20.100000000000001" customHeight="1">
      <c r="A483" s="402"/>
      <c r="B483" s="393"/>
      <c r="C483" s="394"/>
      <c r="D483" s="393"/>
      <c r="E483" s="393"/>
      <c r="F483" s="393"/>
      <c r="G483" s="395"/>
      <c r="H483" s="396"/>
      <c r="I483" s="393"/>
      <c r="J483" s="393"/>
      <c r="K483" s="393"/>
      <c r="L483" s="393"/>
      <c r="M483" s="382"/>
      <c r="N483" s="393"/>
      <c r="O483" s="393"/>
      <c r="P483" s="396"/>
      <c r="Q483" s="393"/>
      <c r="R483" s="393"/>
      <c r="S483" s="393"/>
      <c r="T483" s="393"/>
      <c r="U483" s="393"/>
      <c r="V483" s="393"/>
      <c r="W483" s="393"/>
      <c r="X483" s="393"/>
      <c r="Y483" s="397"/>
      <c r="Z483" s="393"/>
      <c r="AA483" s="393"/>
      <c r="AB483" s="401"/>
      <c r="AC483" s="401"/>
      <c r="AD483" s="401"/>
      <c r="AE483" s="401"/>
      <c r="AF483" s="401"/>
      <c r="AG483" s="401"/>
      <c r="AH483" s="401"/>
      <c r="AI483" s="401"/>
      <c r="AJ483" s="401"/>
      <c r="AK483" s="401"/>
      <c r="AL483" s="401"/>
    </row>
    <row r="484" spans="1:38" s="154" customFormat="1" ht="20.100000000000001" customHeight="1">
      <c r="A484" s="402"/>
      <c r="B484" s="393"/>
      <c r="C484" s="394"/>
      <c r="D484" s="393"/>
      <c r="E484" s="393"/>
      <c r="F484" s="393"/>
      <c r="G484" s="395"/>
      <c r="H484" s="396"/>
      <c r="I484" s="393"/>
      <c r="J484" s="393"/>
      <c r="K484" s="393"/>
      <c r="L484" s="393"/>
      <c r="M484" s="382"/>
      <c r="N484" s="393"/>
      <c r="O484" s="393"/>
      <c r="P484" s="396"/>
      <c r="Q484" s="393"/>
      <c r="R484" s="393"/>
      <c r="S484" s="393"/>
      <c r="T484" s="393"/>
      <c r="U484" s="393"/>
      <c r="V484" s="393"/>
      <c r="W484" s="393"/>
      <c r="X484" s="393"/>
      <c r="Y484" s="397"/>
      <c r="Z484" s="393"/>
      <c r="AA484" s="393"/>
      <c r="AB484" s="401"/>
      <c r="AC484" s="401"/>
      <c r="AD484" s="401"/>
      <c r="AE484" s="401"/>
      <c r="AF484" s="401"/>
      <c r="AG484" s="401"/>
      <c r="AH484" s="401"/>
      <c r="AI484" s="401"/>
      <c r="AJ484" s="401"/>
      <c r="AK484" s="401"/>
      <c r="AL484" s="401"/>
    </row>
    <row r="485" spans="1:38" s="154" customFormat="1" ht="20.100000000000001" customHeight="1">
      <c r="A485" s="402"/>
      <c r="B485" s="393"/>
      <c r="C485" s="394"/>
      <c r="D485" s="393"/>
      <c r="E485" s="393"/>
      <c r="F485" s="393"/>
      <c r="G485" s="395"/>
      <c r="H485" s="396"/>
      <c r="I485" s="393"/>
      <c r="J485" s="393"/>
      <c r="K485" s="393"/>
      <c r="L485" s="393"/>
      <c r="M485" s="382"/>
      <c r="N485" s="393"/>
      <c r="O485" s="393"/>
      <c r="P485" s="396"/>
      <c r="Q485" s="393"/>
      <c r="R485" s="393"/>
      <c r="S485" s="393"/>
      <c r="T485" s="393"/>
      <c r="U485" s="393"/>
      <c r="V485" s="393"/>
      <c r="W485" s="393"/>
      <c r="X485" s="393"/>
      <c r="Y485" s="397"/>
      <c r="Z485" s="393"/>
      <c r="AA485" s="393"/>
      <c r="AB485" s="401"/>
      <c r="AC485" s="401"/>
      <c r="AD485" s="401"/>
      <c r="AE485" s="401"/>
      <c r="AF485" s="401"/>
      <c r="AG485" s="401"/>
      <c r="AH485" s="401"/>
      <c r="AI485" s="401"/>
      <c r="AJ485" s="401"/>
      <c r="AK485" s="401"/>
      <c r="AL485" s="401"/>
    </row>
    <row r="486" spans="1:38" s="154" customFormat="1" ht="20.100000000000001" customHeight="1">
      <c r="A486" s="402"/>
      <c r="B486" s="393"/>
      <c r="C486" s="394"/>
      <c r="D486" s="393"/>
      <c r="E486" s="393"/>
      <c r="F486" s="393"/>
      <c r="G486" s="395"/>
      <c r="H486" s="396"/>
      <c r="I486" s="393"/>
      <c r="J486" s="393"/>
      <c r="K486" s="393"/>
      <c r="L486" s="393"/>
      <c r="M486" s="382"/>
      <c r="N486" s="393"/>
      <c r="O486" s="393"/>
      <c r="P486" s="396"/>
      <c r="Q486" s="393"/>
      <c r="R486" s="393"/>
      <c r="S486" s="393"/>
      <c r="T486" s="393"/>
      <c r="U486" s="393"/>
      <c r="V486" s="393"/>
      <c r="W486" s="393"/>
      <c r="X486" s="393"/>
      <c r="Y486" s="397"/>
      <c r="Z486" s="393"/>
      <c r="AA486" s="393"/>
      <c r="AB486" s="401"/>
      <c r="AC486" s="401"/>
      <c r="AD486" s="401"/>
      <c r="AE486" s="401"/>
      <c r="AF486" s="401"/>
      <c r="AG486" s="401"/>
      <c r="AH486" s="401"/>
      <c r="AI486" s="401"/>
      <c r="AJ486" s="401"/>
      <c r="AK486" s="401"/>
      <c r="AL486" s="401"/>
    </row>
    <row r="487" spans="1:38" s="154" customFormat="1" ht="20.100000000000001" customHeight="1">
      <c r="A487" s="402"/>
      <c r="B487" s="393"/>
      <c r="C487" s="394"/>
      <c r="D487" s="393"/>
      <c r="E487" s="393"/>
      <c r="F487" s="393"/>
      <c r="G487" s="395"/>
      <c r="H487" s="396"/>
      <c r="I487" s="393"/>
      <c r="J487" s="393"/>
      <c r="K487" s="393"/>
      <c r="L487" s="393"/>
      <c r="M487" s="382"/>
      <c r="N487" s="393"/>
      <c r="O487" s="393"/>
      <c r="P487" s="396"/>
      <c r="Q487" s="393"/>
      <c r="R487" s="393"/>
      <c r="S487" s="393"/>
      <c r="T487" s="393"/>
      <c r="U487" s="393"/>
      <c r="V487" s="393"/>
      <c r="W487" s="393"/>
      <c r="X487" s="393"/>
      <c r="Y487" s="397"/>
      <c r="Z487" s="393"/>
      <c r="AA487" s="393"/>
      <c r="AB487" s="401"/>
      <c r="AC487" s="401"/>
      <c r="AD487" s="401"/>
      <c r="AE487" s="401"/>
      <c r="AF487" s="401"/>
      <c r="AG487" s="401"/>
      <c r="AH487" s="401"/>
      <c r="AI487" s="401"/>
      <c r="AJ487" s="401"/>
      <c r="AK487" s="401"/>
      <c r="AL487" s="401"/>
    </row>
    <row r="488" spans="1:38" s="154" customFormat="1" ht="20.100000000000001" customHeight="1">
      <c r="A488" s="402"/>
      <c r="B488" s="393"/>
      <c r="C488" s="394"/>
      <c r="D488" s="393"/>
      <c r="E488" s="393"/>
      <c r="F488" s="393"/>
      <c r="G488" s="395"/>
      <c r="H488" s="396"/>
      <c r="I488" s="393"/>
      <c r="J488" s="393"/>
      <c r="K488" s="393"/>
      <c r="L488" s="393"/>
      <c r="M488" s="382"/>
      <c r="N488" s="393"/>
      <c r="O488" s="393"/>
      <c r="P488" s="396"/>
      <c r="Q488" s="393"/>
      <c r="R488" s="393"/>
      <c r="S488" s="393"/>
      <c r="T488" s="393"/>
      <c r="U488" s="393"/>
      <c r="V488" s="393"/>
      <c r="W488" s="393"/>
      <c r="X488" s="393"/>
      <c r="Y488" s="397"/>
      <c r="Z488" s="393"/>
      <c r="AA488" s="393"/>
      <c r="AB488" s="401"/>
      <c r="AC488" s="401"/>
      <c r="AD488" s="401"/>
      <c r="AE488" s="401"/>
      <c r="AF488" s="401"/>
      <c r="AG488" s="401"/>
      <c r="AH488" s="401"/>
      <c r="AI488" s="401"/>
      <c r="AJ488" s="401"/>
      <c r="AK488" s="401"/>
      <c r="AL488" s="401"/>
    </row>
    <row r="489" spans="1:38" s="154" customFormat="1" ht="20.100000000000001" customHeight="1">
      <c r="A489" s="402"/>
      <c r="B489" s="393"/>
      <c r="C489" s="394"/>
      <c r="D489" s="393"/>
      <c r="E489" s="393"/>
      <c r="F489" s="393"/>
      <c r="G489" s="395"/>
      <c r="H489" s="396"/>
      <c r="I489" s="393"/>
      <c r="J489" s="393"/>
      <c r="K489" s="393"/>
      <c r="L489" s="393"/>
      <c r="M489" s="382"/>
      <c r="N489" s="393"/>
      <c r="O489" s="393"/>
      <c r="P489" s="396"/>
      <c r="Q489" s="393"/>
      <c r="R489" s="393"/>
      <c r="S489" s="393"/>
      <c r="T489" s="393"/>
      <c r="U489" s="393"/>
      <c r="V489" s="393"/>
      <c r="W489" s="393"/>
      <c r="X489" s="393"/>
      <c r="Y489" s="397"/>
      <c r="Z489" s="393"/>
      <c r="AA489" s="393"/>
      <c r="AB489" s="401"/>
      <c r="AC489" s="401"/>
      <c r="AD489" s="401"/>
      <c r="AE489" s="401"/>
      <c r="AF489" s="401"/>
      <c r="AG489" s="401"/>
      <c r="AH489" s="401"/>
      <c r="AI489" s="401"/>
      <c r="AJ489" s="401"/>
      <c r="AK489" s="401"/>
      <c r="AL489" s="401"/>
    </row>
    <row r="490" spans="1:38" s="154" customFormat="1" ht="20.100000000000001" customHeight="1">
      <c r="A490" s="402"/>
      <c r="B490" s="393"/>
      <c r="C490" s="394"/>
      <c r="D490" s="393"/>
      <c r="E490" s="393"/>
      <c r="F490" s="393"/>
      <c r="G490" s="395"/>
      <c r="H490" s="396"/>
      <c r="I490" s="393"/>
      <c r="J490" s="393"/>
      <c r="K490" s="393"/>
      <c r="L490" s="393"/>
      <c r="M490" s="382"/>
      <c r="N490" s="393"/>
      <c r="O490" s="393"/>
      <c r="P490" s="396"/>
      <c r="Q490" s="393"/>
      <c r="R490" s="393"/>
      <c r="S490" s="393"/>
      <c r="T490" s="393"/>
      <c r="U490" s="393"/>
      <c r="V490" s="393"/>
      <c r="W490" s="393"/>
      <c r="X490" s="393"/>
      <c r="Y490" s="397"/>
      <c r="Z490" s="393"/>
      <c r="AA490" s="393"/>
      <c r="AB490" s="401"/>
      <c r="AC490" s="401"/>
      <c r="AD490" s="401"/>
      <c r="AE490" s="401"/>
      <c r="AF490" s="401"/>
      <c r="AG490" s="401"/>
      <c r="AH490" s="401"/>
      <c r="AI490" s="401"/>
      <c r="AJ490" s="401"/>
      <c r="AK490" s="401"/>
      <c r="AL490" s="401"/>
    </row>
    <row r="491" spans="1:38" s="154" customFormat="1" ht="20.100000000000001" customHeight="1">
      <c r="A491" s="402"/>
      <c r="B491" s="393"/>
      <c r="C491" s="394"/>
      <c r="D491" s="393"/>
      <c r="E491" s="393"/>
      <c r="F491" s="393"/>
      <c r="G491" s="395"/>
      <c r="H491" s="396"/>
      <c r="I491" s="393"/>
      <c r="J491" s="393"/>
      <c r="K491" s="393"/>
      <c r="L491" s="393"/>
      <c r="M491" s="382"/>
      <c r="N491" s="393"/>
      <c r="O491" s="393"/>
      <c r="P491" s="396"/>
      <c r="Q491" s="393"/>
      <c r="R491" s="393"/>
      <c r="S491" s="393"/>
      <c r="T491" s="393"/>
      <c r="U491" s="393"/>
      <c r="V491" s="393"/>
      <c r="W491" s="393"/>
      <c r="X491" s="393"/>
      <c r="Y491" s="397"/>
      <c r="Z491" s="393"/>
      <c r="AA491" s="393"/>
      <c r="AB491" s="401"/>
      <c r="AC491" s="401"/>
      <c r="AD491" s="401"/>
      <c r="AE491" s="401"/>
      <c r="AF491" s="401"/>
      <c r="AG491" s="401"/>
      <c r="AH491" s="401"/>
      <c r="AI491" s="401"/>
      <c r="AJ491" s="401"/>
      <c r="AK491" s="401"/>
      <c r="AL491" s="401"/>
    </row>
    <row r="492" spans="1:38" s="154" customFormat="1" ht="20.100000000000001" customHeight="1">
      <c r="A492" s="402"/>
      <c r="B492" s="393"/>
      <c r="C492" s="394"/>
      <c r="D492" s="393"/>
      <c r="E492" s="393"/>
      <c r="F492" s="393"/>
      <c r="G492" s="395"/>
      <c r="H492" s="396"/>
      <c r="I492" s="393"/>
      <c r="J492" s="393"/>
      <c r="K492" s="393"/>
      <c r="L492" s="393"/>
      <c r="M492" s="382"/>
      <c r="N492" s="393"/>
      <c r="O492" s="393"/>
      <c r="P492" s="396"/>
      <c r="Q492" s="393"/>
      <c r="R492" s="393"/>
      <c r="S492" s="393"/>
      <c r="T492" s="393"/>
      <c r="U492" s="393"/>
      <c r="V492" s="393"/>
      <c r="W492" s="393"/>
      <c r="X492" s="393"/>
      <c r="Y492" s="397"/>
      <c r="Z492" s="393"/>
      <c r="AA492" s="393"/>
      <c r="AB492" s="401"/>
      <c r="AC492" s="401"/>
      <c r="AD492" s="401"/>
      <c r="AE492" s="401"/>
      <c r="AF492" s="401"/>
      <c r="AG492" s="401"/>
      <c r="AH492" s="401"/>
      <c r="AI492" s="401"/>
      <c r="AJ492" s="401"/>
      <c r="AK492" s="401"/>
      <c r="AL492" s="401"/>
    </row>
    <row r="493" spans="1:38" s="154" customFormat="1" ht="20.100000000000001" customHeight="1">
      <c r="A493" s="402"/>
      <c r="B493" s="393"/>
      <c r="C493" s="394"/>
      <c r="D493" s="393"/>
      <c r="E493" s="393"/>
      <c r="F493" s="393"/>
      <c r="G493" s="395"/>
      <c r="H493" s="396"/>
      <c r="I493" s="393"/>
      <c r="J493" s="393"/>
      <c r="K493" s="393"/>
      <c r="L493" s="393"/>
      <c r="M493" s="382"/>
      <c r="N493" s="393"/>
      <c r="O493" s="393"/>
      <c r="P493" s="396"/>
      <c r="Q493" s="393"/>
      <c r="R493" s="393"/>
      <c r="S493" s="393"/>
      <c r="T493" s="393"/>
      <c r="U493" s="393"/>
      <c r="V493" s="393"/>
      <c r="W493" s="393"/>
      <c r="X493" s="393"/>
      <c r="Y493" s="397"/>
      <c r="Z493" s="393"/>
      <c r="AA493" s="393"/>
      <c r="AB493" s="401"/>
      <c r="AC493" s="401"/>
      <c r="AD493" s="401"/>
      <c r="AE493" s="401"/>
      <c r="AF493" s="401"/>
      <c r="AG493" s="401"/>
      <c r="AH493" s="401"/>
      <c r="AI493" s="401"/>
      <c r="AJ493" s="401"/>
      <c r="AK493" s="401"/>
      <c r="AL493" s="401"/>
    </row>
    <row r="494" spans="1:38" s="154" customFormat="1" ht="20.100000000000001" customHeight="1">
      <c r="A494" s="402"/>
      <c r="B494" s="393"/>
      <c r="C494" s="394"/>
      <c r="D494" s="393"/>
      <c r="E494" s="393"/>
      <c r="F494" s="393"/>
      <c r="G494" s="395"/>
      <c r="H494" s="396"/>
      <c r="I494" s="393"/>
      <c r="J494" s="393"/>
      <c r="K494" s="393"/>
      <c r="L494" s="393"/>
      <c r="M494" s="382"/>
      <c r="N494" s="393"/>
      <c r="O494" s="393"/>
      <c r="P494" s="396"/>
      <c r="Q494" s="393"/>
      <c r="R494" s="393"/>
      <c r="S494" s="393"/>
      <c r="T494" s="393"/>
      <c r="U494" s="393"/>
      <c r="V494" s="393"/>
      <c r="W494" s="393"/>
      <c r="X494" s="393"/>
      <c r="Y494" s="397"/>
      <c r="Z494" s="393"/>
      <c r="AA494" s="393"/>
      <c r="AB494" s="401"/>
      <c r="AC494" s="401"/>
      <c r="AD494" s="401"/>
      <c r="AE494" s="401"/>
      <c r="AF494" s="401"/>
      <c r="AG494" s="401"/>
      <c r="AH494" s="401"/>
      <c r="AI494" s="401"/>
      <c r="AJ494" s="401"/>
      <c r="AK494" s="401"/>
      <c r="AL494" s="401"/>
    </row>
    <row r="495" spans="1:38" s="154" customFormat="1" ht="20.100000000000001" customHeight="1">
      <c r="A495" s="402"/>
      <c r="B495" s="393"/>
      <c r="C495" s="394"/>
      <c r="D495" s="393"/>
      <c r="E495" s="393"/>
      <c r="F495" s="393"/>
      <c r="G495" s="395"/>
      <c r="H495" s="396"/>
      <c r="I495" s="393"/>
      <c r="J495" s="393"/>
      <c r="K495" s="393"/>
      <c r="L495" s="393"/>
      <c r="M495" s="382"/>
      <c r="N495" s="393"/>
      <c r="O495" s="393"/>
      <c r="P495" s="396"/>
      <c r="Q495" s="393"/>
      <c r="R495" s="393"/>
      <c r="S495" s="393"/>
      <c r="T495" s="393"/>
      <c r="U495" s="393"/>
      <c r="V495" s="393"/>
      <c r="W495" s="393"/>
      <c r="X495" s="393"/>
      <c r="Y495" s="397"/>
      <c r="Z495" s="393"/>
      <c r="AA495" s="393"/>
      <c r="AB495" s="401"/>
      <c r="AC495" s="401"/>
      <c r="AD495" s="401"/>
      <c r="AE495" s="401"/>
      <c r="AF495" s="401"/>
      <c r="AG495" s="401"/>
      <c r="AH495" s="401"/>
      <c r="AI495" s="401"/>
      <c r="AJ495" s="401"/>
      <c r="AK495" s="401"/>
      <c r="AL495" s="401"/>
    </row>
    <row r="496" spans="1:38" s="154" customFormat="1" ht="20.100000000000001" customHeight="1">
      <c r="A496" s="402"/>
      <c r="B496" s="393"/>
      <c r="C496" s="394"/>
      <c r="D496" s="393"/>
      <c r="E496" s="393"/>
      <c r="F496" s="393"/>
      <c r="G496" s="395"/>
      <c r="H496" s="396"/>
      <c r="I496" s="393"/>
      <c r="J496" s="393"/>
      <c r="K496" s="393"/>
      <c r="L496" s="393"/>
      <c r="M496" s="382"/>
      <c r="N496" s="393"/>
      <c r="O496" s="393"/>
      <c r="P496" s="396"/>
      <c r="Q496" s="393"/>
      <c r="R496" s="393"/>
      <c r="S496" s="393"/>
      <c r="T496" s="393"/>
      <c r="U496" s="393"/>
      <c r="V496" s="393"/>
      <c r="W496" s="393"/>
      <c r="X496" s="393"/>
      <c r="Y496" s="397"/>
      <c r="Z496" s="393"/>
      <c r="AA496" s="393"/>
      <c r="AB496" s="401"/>
      <c r="AC496" s="401"/>
      <c r="AD496" s="401"/>
      <c r="AE496" s="401"/>
      <c r="AF496" s="401"/>
      <c r="AG496" s="401"/>
      <c r="AH496" s="401"/>
      <c r="AI496" s="401"/>
      <c r="AJ496" s="401"/>
      <c r="AK496" s="401"/>
      <c r="AL496" s="401"/>
    </row>
    <row r="497" spans="1:38" s="154" customFormat="1" ht="20.100000000000001" customHeight="1">
      <c r="A497" s="402"/>
      <c r="B497" s="393"/>
      <c r="C497" s="394"/>
      <c r="D497" s="393"/>
      <c r="E497" s="393"/>
      <c r="F497" s="393"/>
      <c r="G497" s="395"/>
      <c r="H497" s="396"/>
      <c r="I497" s="393"/>
      <c r="J497" s="393"/>
      <c r="K497" s="393"/>
      <c r="L497" s="393"/>
      <c r="M497" s="382"/>
      <c r="N497" s="393"/>
      <c r="O497" s="393"/>
      <c r="P497" s="396"/>
      <c r="Q497" s="393"/>
      <c r="R497" s="393"/>
      <c r="S497" s="393"/>
      <c r="T497" s="393"/>
      <c r="U497" s="393"/>
      <c r="V497" s="393"/>
      <c r="W497" s="393"/>
      <c r="X497" s="393"/>
      <c r="Y497" s="397"/>
      <c r="Z497" s="393"/>
      <c r="AA497" s="393"/>
      <c r="AB497" s="401"/>
      <c r="AC497" s="401"/>
      <c r="AD497" s="401"/>
      <c r="AE497" s="401"/>
      <c r="AF497" s="401"/>
      <c r="AG497" s="401"/>
      <c r="AH497" s="401"/>
      <c r="AI497" s="401"/>
      <c r="AJ497" s="401"/>
      <c r="AK497" s="401"/>
      <c r="AL497" s="401"/>
    </row>
    <row r="498" spans="1:38" s="154" customFormat="1" ht="20.100000000000001" customHeight="1">
      <c r="A498" s="402"/>
      <c r="B498" s="393"/>
      <c r="C498" s="394"/>
      <c r="D498" s="393"/>
      <c r="E498" s="393"/>
      <c r="F498" s="393"/>
      <c r="G498" s="395"/>
      <c r="H498" s="396"/>
      <c r="I498" s="393"/>
      <c r="J498" s="393"/>
      <c r="K498" s="393"/>
      <c r="L498" s="393"/>
      <c r="M498" s="382"/>
      <c r="N498" s="393"/>
      <c r="O498" s="393"/>
      <c r="P498" s="396"/>
      <c r="Q498" s="393"/>
      <c r="R498" s="393"/>
      <c r="S498" s="393"/>
      <c r="T498" s="393"/>
      <c r="U498" s="393"/>
      <c r="V498" s="393"/>
      <c r="W498" s="393"/>
      <c r="X498" s="393"/>
      <c r="Y498" s="397"/>
      <c r="Z498" s="393"/>
      <c r="AA498" s="393"/>
      <c r="AB498" s="401"/>
      <c r="AC498" s="401"/>
      <c r="AD498" s="401"/>
      <c r="AE498" s="401"/>
      <c r="AF498" s="401"/>
      <c r="AG498" s="401"/>
      <c r="AH498" s="401"/>
      <c r="AI498" s="401"/>
      <c r="AJ498" s="401"/>
      <c r="AK498" s="401"/>
      <c r="AL498" s="401"/>
    </row>
    <row r="499" spans="1:38" s="154" customFormat="1" ht="20.100000000000001" customHeight="1">
      <c r="A499" s="402"/>
      <c r="B499" s="393"/>
      <c r="C499" s="394"/>
      <c r="D499" s="393"/>
      <c r="E499" s="393"/>
      <c r="F499" s="393"/>
      <c r="G499" s="395"/>
      <c r="H499" s="396"/>
      <c r="I499" s="393"/>
      <c r="J499" s="393"/>
      <c r="K499" s="393"/>
      <c r="L499" s="393"/>
      <c r="M499" s="382"/>
      <c r="N499" s="393"/>
      <c r="O499" s="393"/>
      <c r="P499" s="396"/>
      <c r="Q499" s="393"/>
      <c r="R499" s="393"/>
      <c r="S499" s="393"/>
      <c r="T499" s="393"/>
      <c r="U499" s="393"/>
      <c r="V499" s="393"/>
      <c r="W499" s="393"/>
      <c r="X499" s="393"/>
      <c r="Y499" s="397"/>
      <c r="Z499" s="393"/>
      <c r="AA499" s="393"/>
      <c r="AB499" s="401"/>
      <c r="AC499" s="401"/>
      <c r="AD499" s="401"/>
      <c r="AE499" s="401"/>
      <c r="AF499" s="401"/>
      <c r="AG499" s="401"/>
      <c r="AH499" s="401"/>
      <c r="AI499" s="401"/>
      <c r="AJ499" s="401"/>
      <c r="AK499" s="401"/>
      <c r="AL499" s="401"/>
    </row>
    <row r="500" spans="1:38" s="154" customFormat="1" ht="20.100000000000001" customHeight="1">
      <c r="A500" s="402"/>
      <c r="B500" s="393"/>
      <c r="C500" s="394"/>
      <c r="D500" s="393"/>
      <c r="E500" s="393"/>
      <c r="F500" s="393"/>
      <c r="G500" s="395"/>
      <c r="H500" s="396"/>
      <c r="I500" s="393"/>
      <c r="J500" s="393"/>
      <c r="K500" s="393"/>
      <c r="L500" s="393"/>
      <c r="M500" s="382"/>
      <c r="N500" s="393"/>
      <c r="O500" s="393"/>
      <c r="P500" s="396"/>
      <c r="Q500" s="393"/>
      <c r="R500" s="393"/>
      <c r="S500" s="393"/>
      <c r="T500" s="393"/>
      <c r="U500" s="393"/>
      <c r="V500" s="393"/>
      <c r="W500" s="393"/>
      <c r="X500" s="393"/>
      <c r="Y500" s="397"/>
      <c r="Z500" s="393"/>
      <c r="AA500" s="393"/>
      <c r="AB500" s="401"/>
      <c r="AC500" s="401"/>
      <c r="AD500" s="401"/>
      <c r="AE500" s="401"/>
      <c r="AF500" s="401"/>
      <c r="AG500" s="401"/>
      <c r="AH500" s="401"/>
      <c r="AI500" s="401"/>
      <c r="AJ500" s="401"/>
      <c r="AK500" s="401"/>
      <c r="AL500" s="401"/>
    </row>
    <row r="501" spans="1:38" s="154" customFormat="1" ht="20.100000000000001" customHeight="1">
      <c r="A501" s="402"/>
      <c r="B501" s="393"/>
      <c r="C501" s="394"/>
      <c r="D501" s="393"/>
      <c r="E501" s="393"/>
      <c r="F501" s="393"/>
      <c r="G501" s="395"/>
      <c r="H501" s="396"/>
      <c r="I501" s="393"/>
      <c r="J501" s="393"/>
      <c r="K501" s="393"/>
      <c r="L501" s="393"/>
      <c r="M501" s="382"/>
      <c r="N501" s="393"/>
      <c r="O501" s="393"/>
      <c r="P501" s="396"/>
      <c r="Q501" s="393"/>
      <c r="R501" s="393"/>
      <c r="S501" s="393"/>
      <c r="T501" s="393"/>
      <c r="U501" s="393"/>
      <c r="V501" s="393"/>
      <c r="W501" s="393"/>
      <c r="X501" s="393"/>
      <c r="Y501" s="397"/>
      <c r="Z501" s="393"/>
      <c r="AA501" s="393"/>
      <c r="AB501" s="401"/>
      <c r="AC501" s="401"/>
      <c r="AD501" s="401"/>
      <c r="AE501" s="401"/>
      <c r="AF501" s="401"/>
      <c r="AG501" s="401"/>
      <c r="AH501" s="401"/>
      <c r="AI501" s="401"/>
      <c r="AJ501" s="401"/>
      <c r="AK501" s="401"/>
      <c r="AL501" s="401"/>
    </row>
    <row r="502" spans="1:38" s="154" customFormat="1" ht="20.100000000000001" customHeight="1">
      <c r="A502" s="402"/>
      <c r="B502" s="393"/>
      <c r="C502" s="394"/>
      <c r="D502" s="393"/>
      <c r="E502" s="393"/>
      <c r="F502" s="393"/>
      <c r="G502" s="395"/>
      <c r="H502" s="396"/>
      <c r="I502" s="393"/>
      <c r="J502" s="393"/>
      <c r="K502" s="393"/>
      <c r="L502" s="393"/>
      <c r="M502" s="382"/>
      <c r="N502" s="393"/>
      <c r="O502" s="393"/>
      <c r="P502" s="396"/>
      <c r="Q502" s="393"/>
      <c r="R502" s="393"/>
      <c r="S502" s="393"/>
      <c r="T502" s="393"/>
      <c r="U502" s="393"/>
      <c r="V502" s="393"/>
      <c r="W502" s="393"/>
      <c r="X502" s="393"/>
      <c r="Y502" s="397"/>
      <c r="Z502" s="393"/>
      <c r="AA502" s="393"/>
      <c r="AB502" s="401"/>
      <c r="AC502" s="401"/>
      <c r="AD502" s="401"/>
      <c r="AE502" s="401"/>
      <c r="AF502" s="401"/>
      <c r="AG502" s="401"/>
      <c r="AH502" s="401"/>
      <c r="AI502" s="401"/>
      <c r="AJ502" s="401"/>
      <c r="AK502" s="401"/>
      <c r="AL502" s="401"/>
    </row>
    <row r="503" spans="1:38" s="154" customFormat="1" ht="20.100000000000001" customHeight="1">
      <c r="A503" s="402"/>
      <c r="B503" s="393"/>
      <c r="C503" s="394"/>
      <c r="D503" s="393"/>
      <c r="E503" s="393"/>
      <c r="F503" s="393"/>
      <c r="G503" s="395"/>
      <c r="H503" s="396"/>
      <c r="I503" s="393"/>
      <c r="J503" s="393"/>
      <c r="K503" s="393"/>
      <c r="L503" s="393"/>
      <c r="M503" s="382"/>
      <c r="N503" s="393"/>
      <c r="O503" s="393"/>
      <c r="P503" s="396"/>
      <c r="Q503" s="393"/>
      <c r="R503" s="393"/>
      <c r="S503" s="393"/>
      <c r="T503" s="393"/>
      <c r="U503" s="393"/>
      <c r="V503" s="393"/>
      <c r="W503" s="393"/>
      <c r="X503" s="393"/>
      <c r="Y503" s="397"/>
      <c r="Z503" s="393"/>
      <c r="AA503" s="393"/>
      <c r="AB503" s="401"/>
      <c r="AC503" s="401"/>
      <c r="AD503" s="401"/>
      <c r="AE503" s="401"/>
      <c r="AF503" s="401"/>
      <c r="AG503" s="401"/>
      <c r="AH503" s="401"/>
      <c r="AI503" s="401"/>
      <c r="AJ503" s="401"/>
      <c r="AK503" s="401"/>
      <c r="AL503" s="401"/>
    </row>
    <row r="504" spans="1:38" s="154" customFormat="1" ht="20.100000000000001" customHeight="1">
      <c r="A504" s="402"/>
      <c r="B504" s="393"/>
      <c r="C504" s="394"/>
      <c r="D504" s="393"/>
      <c r="E504" s="393"/>
      <c r="F504" s="393"/>
      <c r="G504" s="395"/>
      <c r="H504" s="396"/>
      <c r="I504" s="393"/>
      <c r="J504" s="393"/>
      <c r="K504" s="393"/>
      <c r="L504" s="393"/>
      <c r="M504" s="382"/>
      <c r="N504" s="393"/>
      <c r="O504" s="393"/>
      <c r="P504" s="396"/>
      <c r="Q504" s="393"/>
      <c r="R504" s="393"/>
      <c r="S504" s="393"/>
      <c r="T504" s="393"/>
      <c r="U504" s="393"/>
      <c r="V504" s="393"/>
      <c r="W504" s="393"/>
      <c r="X504" s="393"/>
      <c r="Y504" s="397"/>
      <c r="Z504" s="393"/>
      <c r="AA504" s="393"/>
      <c r="AB504" s="401"/>
      <c r="AC504" s="401"/>
      <c r="AD504" s="401"/>
      <c r="AE504" s="401"/>
      <c r="AF504" s="401"/>
      <c r="AG504" s="401"/>
      <c r="AH504" s="401"/>
      <c r="AI504" s="401"/>
      <c r="AJ504" s="401"/>
      <c r="AK504" s="401"/>
      <c r="AL504" s="401"/>
    </row>
    <row r="505" spans="1:38" s="154" customFormat="1" ht="20.100000000000001" customHeight="1">
      <c r="A505" s="402"/>
      <c r="B505" s="393"/>
      <c r="C505" s="394"/>
      <c r="D505" s="393"/>
      <c r="E505" s="393"/>
      <c r="F505" s="393"/>
      <c r="G505" s="395"/>
      <c r="H505" s="396"/>
      <c r="I505" s="393"/>
      <c r="J505" s="393"/>
      <c r="K505" s="393"/>
      <c r="L505" s="393"/>
      <c r="M505" s="382"/>
      <c r="N505" s="393"/>
      <c r="O505" s="393"/>
      <c r="P505" s="396"/>
      <c r="Q505" s="393"/>
      <c r="R505" s="393"/>
      <c r="S505" s="393"/>
      <c r="T505" s="393"/>
      <c r="U505" s="393"/>
      <c r="V505" s="393"/>
      <c r="W505" s="393"/>
      <c r="X505" s="393"/>
      <c r="Y505" s="397"/>
      <c r="Z505" s="393"/>
      <c r="AA505" s="393"/>
      <c r="AB505" s="401"/>
      <c r="AC505" s="401"/>
      <c r="AD505" s="401"/>
      <c r="AE505" s="401"/>
      <c r="AF505" s="401"/>
      <c r="AG505" s="401"/>
      <c r="AH505" s="401"/>
      <c r="AI505" s="401"/>
      <c r="AJ505" s="401"/>
      <c r="AK505" s="401"/>
      <c r="AL505" s="401"/>
    </row>
    <row r="506" spans="1:38" s="154" customFormat="1" ht="20.100000000000001" customHeight="1">
      <c r="A506" s="402"/>
      <c r="B506" s="393"/>
      <c r="C506" s="394"/>
      <c r="D506" s="393"/>
      <c r="E506" s="393"/>
      <c r="F506" s="393"/>
      <c r="G506" s="395"/>
      <c r="H506" s="396"/>
      <c r="I506" s="393"/>
      <c r="J506" s="393"/>
      <c r="K506" s="393"/>
      <c r="L506" s="393"/>
      <c r="M506" s="382"/>
      <c r="N506" s="393"/>
      <c r="O506" s="393"/>
      <c r="P506" s="396"/>
      <c r="Q506" s="393"/>
      <c r="R506" s="393"/>
      <c r="S506" s="393"/>
      <c r="T506" s="393"/>
      <c r="U506" s="393"/>
      <c r="V506" s="393"/>
      <c r="W506" s="393"/>
      <c r="X506" s="393"/>
      <c r="Y506" s="397"/>
      <c r="Z506" s="393"/>
      <c r="AA506" s="393"/>
      <c r="AB506" s="401"/>
      <c r="AC506" s="401"/>
      <c r="AD506" s="401"/>
      <c r="AE506" s="401"/>
      <c r="AF506" s="401"/>
      <c r="AG506" s="401"/>
      <c r="AH506" s="401"/>
      <c r="AI506" s="401"/>
      <c r="AJ506" s="401"/>
      <c r="AK506" s="401"/>
      <c r="AL506" s="401"/>
    </row>
    <row r="507" spans="1:38" s="154" customFormat="1" ht="20.100000000000001" customHeight="1">
      <c r="A507" s="402"/>
      <c r="B507" s="393"/>
      <c r="C507" s="394"/>
      <c r="D507" s="393"/>
      <c r="E507" s="393"/>
      <c r="F507" s="393"/>
      <c r="G507" s="395"/>
      <c r="H507" s="396"/>
      <c r="I507" s="393"/>
      <c r="J507" s="393"/>
      <c r="K507" s="393"/>
      <c r="L507" s="393"/>
      <c r="M507" s="382"/>
      <c r="N507" s="393"/>
      <c r="O507" s="393"/>
      <c r="P507" s="396"/>
      <c r="Q507" s="393"/>
      <c r="R507" s="393"/>
      <c r="S507" s="393"/>
      <c r="T507" s="393"/>
      <c r="U507" s="393"/>
      <c r="V507" s="393"/>
      <c r="W507" s="393"/>
      <c r="X507" s="393"/>
      <c r="Y507" s="397"/>
      <c r="Z507" s="393"/>
      <c r="AA507" s="393"/>
      <c r="AB507" s="401"/>
      <c r="AC507" s="401"/>
      <c r="AD507" s="401"/>
      <c r="AE507" s="401"/>
      <c r="AF507" s="401"/>
      <c r="AG507" s="401"/>
      <c r="AH507" s="401"/>
      <c r="AI507" s="401"/>
      <c r="AJ507" s="401"/>
      <c r="AK507" s="401"/>
      <c r="AL507" s="401"/>
    </row>
    <row r="508" spans="1:38" s="154" customFormat="1" ht="20.100000000000001" customHeight="1">
      <c r="A508" s="402"/>
      <c r="B508" s="393"/>
      <c r="C508" s="394"/>
      <c r="D508" s="393"/>
      <c r="E508" s="393"/>
      <c r="F508" s="393"/>
      <c r="G508" s="395"/>
      <c r="H508" s="396"/>
      <c r="I508" s="393"/>
      <c r="J508" s="393"/>
      <c r="K508" s="393"/>
      <c r="L508" s="393"/>
      <c r="M508" s="382"/>
      <c r="N508" s="393"/>
      <c r="O508" s="393"/>
      <c r="P508" s="396"/>
      <c r="Q508" s="393"/>
      <c r="R508" s="393"/>
      <c r="S508" s="393"/>
      <c r="T508" s="393"/>
      <c r="U508" s="393"/>
      <c r="V508" s="393"/>
      <c r="W508" s="393"/>
      <c r="X508" s="393"/>
      <c r="Y508" s="397"/>
      <c r="Z508" s="393"/>
      <c r="AA508" s="393"/>
      <c r="AB508" s="401"/>
      <c r="AC508" s="401"/>
      <c r="AD508" s="401"/>
      <c r="AE508" s="401"/>
      <c r="AF508" s="401"/>
      <c r="AG508" s="401"/>
      <c r="AH508" s="401"/>
      <c r="AI508" s="401"/>
      <c r="AJ508" s="401"/>
      <c r="AK508" s="401"/>
      <c r="AL508" s="401"/>
    </row>
    <row r="509" spans="1:38" s="154" customFormat="1" ht="20.100000000000001" customHeight="1">
      <c r="A509" s="402"/>
      <c r="B509" s="393"/>
      <c r="C509" s="394"/>
      <c r="D509" s="393"/>
      <c r="E509" s="393"/>
      <c r="F509" s="393"/>
      <c r="G509" s="395"/>
      <c r="H509" s="396"/>
      <c r="I509" s="393"/>
      <c r="J509" s="393"/>
      <c r="K509" s="393"/>
      <c r="L509" s="393"/>
      <c r="M509" s="382"/>
      <c r="N509" s="393"/>
      <c r="O509" s="393"/>
      <c r="P509" s="396"/>
      <c r="Q509" s="393"/>
      <c r="R509" s="393"/>
      <c r="S509" s="393"/>
      <c r="T509" s="393"/>
      <c r="U509" s="393"/>
      <c r="V509" s="393"/>
      <c r="W509" s="393"/>
      <c r="X509" s="393"/>
      <c r="Y509" s="397"/>
      <c r="Z509" s="393"/>
      <c r="AA509" s="393"/>
      <c r="AB509" s="401"/>
      <c r="AC509" s="401"/>
      <c r="AD509" s="401"/>
      <c r="AE509" s="401"/>
      <c r="AF509" s="401"/>
      <c r="AG509" s="401"/>
      <c r="AH509" s="401"/>
      <c r="AI509" s="401"/>
      <c r="AJ509" s="401"/>
      <c r="AK509" s="401"/>
      <c r="AL509" s="401"/>
    </row>
    <row r="510" spans="1:38" s="154" customFormat="1" ht="20.100000000000001" customHeight="1">
      <c r="A510" s="402"/>
      <c r="B510" s="393"/>
      <c r="C510" s="394"/>
      <c r="D510" s="393"/>
      <c r="E510" s="393"/>
      <c r="F510" s="393"/>
      <c r="G510" s="395"/>
      <c r="H510" s="396"/>
      <c r="I510" s="393"/>
      <c r="J510" s="393"/>
      <c r="K510" s="393"/>
      <c r="L510" s="393"/>
      <c r="M510" s="382"/>
      <c r="N510" s="393"/>
      <c r="O510" s="393"/>
      <c r="P510" s="396"/>
      <c r="Q510" s="393"/>
      <c r="R510" s="393"/>
      <c r="S510" s="393"/>
      <c r="T510" s="393"/>
      <c r="U510" s="393"/>
      <c r="V510" s="393"/>
      <c r="W510" s="393"/>
      <c r="X510" s="393"/>
      <c r="Y510" s="397"/>
      <c r="Z510" s="393"/>
      <c r="AA510" s="393"/>
      <c r="AB510" s="401"/>
      <c r="AC510" s="401"/>
      <c r="AD510" s="401"/>
      <c r="AE510" s="401"/>
      <c r="AF510" s="401"/>
      <c r="AG510" s="401"/>
      <c r="AH510" s="401"/>
      <c r="AI510" s="401"/>
      <c r="AJ510" s="401"/>
      <c r="AK510" s="401"/>
      <c r="AL510" s="401"/>
    </row>
    <row r="511" spans="1:38" s="154" customFormat="1" ht="20.100000000000001" customHeight="1">
      <c r="A511" s="402"/>
      <c r="B511" s="393"/>
      <c r="C511" s="394"/>
      <c r="D511" s="393"/>
      <c r="E511" s="393"/>
      <c r="F511" s="393"/>
      <c r="G511" s="395"/>
      <c r="H511" s="396"/>
      <c r="I511" s="393"/>
      <c r="J511" s="393"/>
      <c r="K511" s="393"/>
      <c r="L511" s="393"/>
      <c r="M511" s="382"/>
      <c r="N511" s="393"/>
      <c r="O511" s="393"/>
      <c r="P511" s="396"/>
      <c r="Q511" s="393"/>
      <c r="R511" s="393"/>
      <c r="S511" s="393"/>
      <c r="T511" s="393"/>
      <c r="U511" s="393"/>
      <c r="V511" s="393"/>
      <c r="W511" s="393"/>
      <c r="X511" s="393"/>
      <c r="Y511" s="397"/>
      <c r="Z511" s="393"/>
      <c r="AA511" s="393"/>
      <c r="AB511" s="401"/>
      <c r="AC511" s="401"/>
      <c r="AD511" s="401"/>
      <c r="AE511" s="401"/>
      <c r="AF511" s="401"/>
      <c r="AG511" s="401"/>
      <c r="AH511" s="401"/>
      <c r="AI511" s="401"/>
      <c r="AJ511" s="401"/>
      <c r="AK511" s="401"/>
      <c r="AL511" s="401"/>
    </row>
    <row r="512" spans="1:38" s="154" customFormat="1" ht="20.100000000000001" customHeight="1">
      <c r="A512" s="402"/>
      <c r="B512" s="393"/>
      <c r="C512" s="394"/>
      <c r="D512" s="393"/>
      <c r="E512" s="393"/>
      <c r="F512" s="393"/>
      <c r="G512" s="395"/>
      <c r="H512" s="396"/>
      <c r="I512" s="393"/>
      <c r="J512" s="393"/>
      <c r="K512" s="393"/>
      <c r="L512" s="393"/>
      <c r="M512" s="382"/>
      <c r="N512" s="393"/>
      <c r="O512" s="393"/>
      <c r="P512" s="396"/>
      <c r="Q512" s="393"/>
      <c r="R512" s="393"/>
      <c r="S512" s="393"/>
      <c r="T512" s="393"/>
      <c r="U512" s="393"/>
      <c r="V512" s="393"/>
      <c r="W512" s="393"/>
      <c r="X512" s="393"/>
      <c r="Y512" s="397"/>
      <c r="Z512" s="393"/>
      <c r="AA512" s="393"/>
      <c r="AB512" s="401"/>
      <c r="AC512" s="401"/>
      <c r="AD512" s="401"/>
      <c r="AE512" s="401"/>
      <c r="AF512" s="401"/>
      <c r="AG512" s="401"/>
      <c r="AH512" s="401"/>
      <c r="AI512" s="401"/>
      <c r="AJ512" s="401"/>
      <c r="AK512" s="401"/>
      <c r="AL512" s="401"/>
    </row>
    <row r="513" spans="1:38" s="154" customFormat="1" ht="20.100000000000001" customHeight="1">
      <c r="A513" s="402"/>
      <c r="B513" s="393"/>
      <c r="C513" s="394"/>
      <c r="D513" s="393"/>
      <c r="E513" s="393"/>
      <c r="F513" s="393"/>
      <c r="G513" s="395"/>
      <c r="H513" s="396"/>
      <c r="I513" s="393"/>
      <c r="J513" s="393"/>
      <c r="K513" s="393"/>
      <c r="L513" s="393"/>
      <c r="M513" s="382"/>
      <c r="N513" s="393"/>
      <c r="O513" s="393"/>
      <c r="P513" s="396"/>
      <c r="Q513" s="393"/>
      <c r="R513" s="393"/>
      <c r="S513" s="393"/>
      <c r="T513" s="393"/>
      <c r="U513" s="393"/>
      <c r="V513" s="393"/>
      <c r="W513" s="393"/>
      <c r="X513" s="393"/>
      <c r="Y513" s="397"/>
      <c r="Z513" s="393"/>
      <c r="AA513" s="393"/>
      <c r="AB513" s="401"/>
      <c r="AC513" s="401"/>
      <c r="AD513" s="401"/>
      <c r="AE513" s="401"/>
      <c r="AF513" s="401"/>
      <c r="AG513" s="401"/>
      <c r="AH513" s="401"/>
      <c r="AI513" s="401"/>
      <c r="AJ513" s="401"/>
      <c r="AK513" s="401"/>
      <c r="AL513" s="401"/>
    </row>
    <row r="514" spans="1:38" s="154" customFormat="1" ht="20.100000000000001" customHeight="1">
      <c r="A514" s="402"/>
      <c r="B514" s="393"/>
      <c r="C514" s="394"/>
      <c r="D514" s="393"/>
      <c r="E514" s="393"/>
      <c r="F514" s="393"/>
      <c r="G514" s="395"/>
      <c r="H514" s="396"/>
      <c r="I514" s="393"/>
      <c r="J514" s="393"/>
      <c r="K514" s="393"/>
      <c r="L514" s="393"/>
      <c r="M514" s="382"/>
      <c r="N514" s="393"/>
      <c r="O514" s="393"/>
      <c r="P514" s="396"/>
      <c r="Q514" s="393"/>
      <c r="R514" s="393"/>
      <c r="S514" s="393"/>
      <c r="T514" s="393"/>
      <c r="U514" s="393"/>
      <c r="V514" s="393"/>
      <c r="W514" s="393"/>
      <c r="X514" s="393"/>
      <c r="Y514" s="397"/>
      <c r="Z514" s="393"/>
      <c r="AA514" s="393"/>
      <c r="AB514" s="401"/>
      <c r="AC514" s="401"/>
      <c r="AD514" s="401"/>
      <c r="AE514" s="401"/>
      <c r="AF514" s="401"/>
      <c r="AG514" s="401"/>
      <c r="AH514" s="401"/>
      <c r="AI514" s="401"/>
      <c r="AJ514" s="401"/>
      <c r="AK514" s="401"/>
      <c r="AL514" s="401"/>
    </row>
    <row r="515" spans="1:38" s="154" customFormat="1" ht="20.100000000000001" customHeight="1">
      <c r="A515" s="402"/>
      <c r="B515" s="393"/>
      <c r="C515" s="394"/>
      <c r="D515" s="393"/>
      <c r="E515" s="393"/>
      <c r="F515" s="393"/>
      <c r="G515" s="395"/>
      <c r="H515" s="396"/>
      <c r="I515" s="393"/>
      <c r="J515" s="393"/>
      <c r="K515" s="393"/>
      <c r="L515" s="393"/>
      <c r="M515" s="382"/>
      <c r="N515" s="393"/>
      <c r="O515" s="393"/>
      <c r="P515" s="396"/>
      <c r="Q515" s="393"/>
      <c r="R515" s="393"/>
      <c r="S515" s="393"/>
      <c r="T515" s="393"/>
      <c r="U515" s="393"/>
      <c r="V515" s="393"/>
      <c r="W515" s="393"/>
      <c r="X515" s="393"/>
      <c r="Y515" s="397"/>
      <c r="Z515" s="393"/>
      <c r="AA515" s="393"/>
      <c r="AB515" s="401"/>
      <c r="AC515" s="401"/>
      <c r="AD515" s="401"/>
      <c r="AE515" s="401"/>
      <c r="AF515" s="401"/>
      <c r="AG515" s="401"/>
      <c r="AH515" s="401"/>
      <c r="AI515" s="401"/>
      <c r="AJ515" s="401"/>
      <c r="AK515" s="401"/>
      <c r="AL515" s="401"/>
    </row>
    <row r="516" spans="1:38" s="154" customFormat="1" ht="20.100000000000001" customHeight="1">
      <c r="A516" s="402"/>
      <c r="B516" s="393"/>
      <c r="C516" s="394"/>
      <c r="D516" s="393"/>
      <c r="E516" s="393"/>
      <c r="F516" s="393"/>
      <c r="G516" s="395"/>
      <c r="H516" s="396"/>
      <c r="I516" s="393"/>
      <c r="J516" s="393"/>
      <c r="K516" s="393"/>
      <c r="L516" s="393"/>
      <c r="M516" s="382"/>
      <c r="N516" s="393"/>
      <c r="O516" s="393"/>
      <c r="P516" s="396"/>
      <c r="Q516" s="393"/>
      <c r="R516" s="393"/>
      <c r="S516" s="393"/>
      <c r="T516" s="393"/>
      <c r="U516" s="393"/>
      <c r="V516" s="393"/>
      <c r="W516" s="393"/>
      <c r="X516" s="393"/>
      <c r="Y516" s="397"/>
      <c r="Z516" s="393"/>
      <c r="AA516" s="393"/>
      <c r="AB516" s="401"/>
      <c r="AC516" s="401"/>
      <c r="AD516" s="401"/>
      <c r="AE516" s="401"/>
      <c r="AF516" s="401"/>
      <c r="AG516" s="401"/>
      <c r="AH516" s="401"/>
      <c r="AI516" s="401"/>
      <c r="AJ516" s="401"/>
      <c r="AK516" s="401"/>
      <c r="AL516" s="401"/>
    </row>
    <row r="517" spans="1:38" s="154" customFormat="1" ht="20.100000000000001" customHeight="1">
      <c r="A517" s="402"/>
      <c r="B517" s="393"/>
      <c r="C517" s="394"/>
      <c r="D517" s="393"/>
      <c r="E517" s="393"/>
      <c r="F517" s="393"/>
      <c r="G517" s="395"/>
      <c r="H517" s="396"/>
      <c r="I517" s="393"/>
      <c r="J517" s="393"/>
      <c r="K517" s="393"/>
      <c r="L517" s="393"/>
      <c r="M517" s="382"/>
      <c r="N517" s="393"/>
      <c r="O517" s="393"/>
      <c r="P517" s="396"/>
      <c r="Q517" s="393"/>
      <c r="R517" s="393"/>
      <c r="S517" s="393"/>
      <c r="T517" s="393"/>
      <c r="U517" s="393"/>
      <c r="V517" s="393"/>
      <c r="W517" s="393"/>
      <c r="X517" s="393"/>
      <c r="Y517" s="397"/>
      <c r="Z517" s="393"/>
      <c r="AA517" s="393"/>
      <c r="AB517" s="401"/>
      <c r="AC517" s="401"/>
      <c r="AD517" s="401"/>
      <c r="AE517" s="401"/>
      <c r="AF517" s="401"/>
      <c r="AG517" s="401"/>
      <c r="AH517" s="401"/>
      <c r="AI517" s="401"/>
      <c r="AJ517" s="401"/>
      <c r="AK517" s="401"/>
      <c r="AL517" s="401"/>
    </row>
    <row r="518" spans="1:38" s="154" customFormat="1" ht="20.100000000000001" customHeight="1">
      <c r="A518" s="402"/>
      <c r="B518" s="393"/>
      <c r="C518" s="394"/>
      <c r="D518" s="393"/>
      <c r="E518" s="393"/>
      <c r="F518" s="393"/>
      <c r="G518" s="395"/>
      <c r="H518" s="396"/>
      <c r="I518" s="393"/>
      <c r="J518" s="393"/>
      <c r="K518" s="393"/>
      <c r="L518" s="393"/>
      <c r="M518" s="382"/>
      <c r="N518" s="393"/>
      <c r="O518" s="393"/>
      <c r="P518" s="396"/>
      <c r="Q518" s="393"/>
      <c r="R518" s="393"/>
      <c r="S518" s="393"/>
      <c r="T518" s="393"/>
      <c r="U518" s="393"/>
      <c r="V518" s="393"/>
      <c r="W518" s="393"/>
      <c r="X518" s="393"/>
      <c r="Y518" s="397"/>
      <c r="Z518" s="393"/>
      <c r="AA518" s="393"/>
      <c r="AB518" s="401"/>
      <c r="AC518" s="401"/>
      <c r="AD518" s="401"/>
      <c r="AE518" s="401"/>
      <c r="AF518" s="401"/>
      <c r="AG518" s="401"/>
      <c r="AH518" s="401"/>
      <c r="AI518" s="401"/>
      <c r="AJ518" s="401"/>
      <c r="AK518" s="401"/>
      <c r="AL518" s="401"/>
    </row>
    <row r="519" spans="1:38" s="154" customFormat="1" ht="20.100000000000001" customHeight="1">
      <c r="A519" s="402"/>
      <c r="B519" s="393"/>
      <c r="C519" s="394"/>
      <c r="D519" s="393"/>
      <c r="E519" s="393"/>
      <c r="F519" s="393"/>
      <c r="G519" s="395"/>
      <c r="H519" s="396"/>
      <c r="I519" s="393"/>
      <c r="J519" s="393"/>
      <c r="K519" s="393"/>
      <c r="L519" s="393"/>
      <c r="M519" s="382"/>
      <c r="N519" s="393"/>
      <c r="O519" s="393"/>
      <c r="P519" s="396"/>
      <c r="Q519" s="393"/>
      <c r="R519" s="393"/>
      <c r="S519" s="393"/>
      <c r="T519" s="393"/>
      <c r="U519" s="393"/>
      <c r="V519" s="393"/>
      <c r="W519" s="393"/>
      <c r="X519" s="393"/>
      <c r="Y519" s="397"/>
      <c r="Z519" s="393"/>
      <c r="AA519" s="393"/>
      <c r="AB519" s="401"/>
      <c r="AC519" s="401"/>
      <c r="AD519" s="401"/>
      <c r="AE519" s="401"/>
      <c r="AF519" s="401"/>
      <c r="AG519" s="401"/>
      <c r="AH519" s="401"/>
      <c r="AI519" s="401"/>
      <c r="AJ519" s="401"/>
      <c r="AK519" s="401"/>
      <c r="AL519" s="401"/>
    </row>
    <row r="520" spans="1:38" s="154" customFormat="1" ht="20.100000000000001" customHeight="1">
      <c r="A520" s="402"/>
      <c r="B520" s="393"/>
      <c r="C520" s="394"/>
      <c r="D520" s="393"/>
      <c r="E520" s="393"/>
      <c r="F520" s="393"/>
      <c r="G520" s="395"/>
      <c r="H520" s="396"/>
      <c r="I520" s="393"/>
      <c r="J520" s="393"/>
      <c r="K520" s="393"/>
      <c r="L520" s="393"/>
      <c r="M520" s="382"/>
      <c r="N520" s="393"/>
      <c r="O520" s="393"/>
      <c r="P520" s="396"/>
      <c r="Q520" s="393"/>
      <c r="R520" s="393"/>
      <c r="S520" s="393"/>
      <c r="T520" s="393"/>
      <c r="U520" s="393"/>
      <c r="V520" s="393"/>
      <c r="W520" s="393"/>
      <c r="X520" s="393"/>
      <c r="Y520" s="397"/>
      <c r="Z520" s="393"/>
      <c r="AA520" s="393"/>
      <c r="AB520" s="401"/>
      <c r="AC520" s="401"/>
      <c r="AD520" s="401"/>
      <c r="AE520" s="401"/>
      <c r="AF520" s="401"/>
      <c r="AG520" s="401"/>
      <c r="AH520" s="401"/>
      <c r="AI520" s="401"/>
      <c r="AJ520" s="401"/>
      <c r="AK520" s="401"/>
      <c r="AL520" s="401"/>
    </row>
    <row r="521" spans="1:38" s="154" customFormat="1" ht="20.100000000000001" customHeight="1">
      <c r="A521" s="402"/>
      <c r="B521" s="393"/>
      <c r="C521" s="394"/>
      <c r="D521" s="393"/>
      <c r="E521" s="393"/>
      <c r="F521" s="393"/>
      <c r="G521" s="395"/>
      <c r="H521" s="396"/>
      <c r="I521" s="393"/>
      <c r="J521" s="393"/>
      <c r="K521" s="393"/>
      <c r="L521" s="393"/>
      <c r="M521" s="382"/>
      <c r="N521" s="393"/>
      <c r="O521" s="393"/>
      <c r="P521" s="396"/>
      <c r="Q521" s="393"/>
      <c r="R521" s="393"/>
      <c r="S521" s="393"/>
      <c r="T521" s="393"/>
      <c r="U521" s="393"/>
      <c r="V521" s="393"/>
      <c r="W521" s="393"/>
      <c r="X521" s="393"/>
      <c r="Y521" s="397"/>
      <c r="Z521" s="393"/>
      <c r="AA521" s="393"/>
      <c r="AB521" s="401"/>
      <c r="AC521" s="401"/>
      <c r="AD521" s="401"/>
      <c r="AE521" s="401"/>
      <c r="AF521" s="401"/>
      <c r="AG521" s="401"/>
      <c r="AH521" s="401"/>
      <c r="AI521" s="401"/>
      <c r="AJ521" s="401"/>
      <c r="AK521" s="401"/>
      <c r="AL521" s="401"/>
    </row>
    <row r="522" spans="1:38" s="154" customFormat="1" ht="20.100000000000001" customHeight="1">
      <c r="A522" s="402"/>
      <c r="B522" s="393"/>
      <c r="C522" s="394"/>
      <c r="D522" s="393"/>
      <c r="E522" s="393"/>
      <c r="F522" s="393"/>
      <c r="G522" s="395"/>
      <c r="H522" s="396"/>
      <c r="I522" s="393"/>
      <c r="J522" s="393"/>
      <c r="K522" s="393"/>
      <c r="L522" s="393"/>
      <c r="M522" s="382"/>
      <c r="N522" s="393"/>
      <c r="O522" s="393"/>
      <c r="P522" s="396"/>
      <c r="Q522" s="393"/>
      <c r="R522" s="393"/>
      <c r="S522" s="393"/>
      <c r="T522" s="393"/>
      <c r="U522" s="393"/>
      <c r="V522" s="393"/>
      <c r="W522" s="393"/>
      <c r="X522" s="393"/>
      <c r="Y522" s="397"/>
      <c r="Z522" s="393"/>
      <c r="AA522" s="393"/>
      <c r="AB522" s="401"/>
      <c r="AC522" s="401"/>
      <c r="AD522" s="401"/>
      <c r="AE522" s="401"/>
      <c r="AF522" s="401"/>
      <c r="AG522" s="401"/>
      <c r="AH522" s="401"/>
      <c r="AI522" s="401"/>
      <c r="AJ522" s="401"/>
      <c r="AK522" s="401"/>
      <c r="AL522" s="401"/>
    </row>
    <row r="523" spans="1:38" s="154" customFormat="1" ht="20.100000000000001" customHeight="1">
      <c r="A523" s="402"/>
      <c r="B523" s="393"/>
      <c r="C523" s="394"/>
      <c r="D523" s="393"/>
      <c r="E523" s="393"/>
      <c r="F523" s="393"/>
      <c r="G523" s="395"/>
      <c r="H523" s="396"/>
      <c r="I523" s="393"/>
      <c r="J523" s="393"/>
      <c r="K523" s="393"/>
      <c r="L523" s="393"/>
      <c r="M523" s="382"/>
      <c r="N523" s="393"/>
      <c r="O523" s="393"/>
      <c r="P523" s="396"/>
      <c r="Q523" s="393"/>
      <c r="R523" s="393"/>
      <c r="S523" s="393"/>
      <c r="T523" s="393"/>
      <c r="U523" s="393"/>
      <c r="V523" s="393"/>
      <c r="W523" s="393"/>
      <c r="X523" s="393"/>
      <c r="Y523" s="397"/>
      <c r="Z523" s="393"/>
      <c r="AA523" s="393"/>
      <c r="AB523" s="401"/>
      <c r="AC523" s="401"/>
      <c r="AD523" s="401"/>
      <c r="AE523" s="401"/>
      <c r="AF523" s="401"/>
      <c r="AG523" s="401"/>
      <c r="AH523" s="401"/>
      <c r="AI523" s="401"/>
      <c r="AJ523" s="401"/>
      <c r="AK523" s="401"/>
      <c r="AL523" s="401"/>
    </row>
    <row r="524" spans="1:38" s="154" customFormat="1" ht="20.100000000000001" customHeight="1">
      <c r="A524" s="402"/>
      <c r="B524" s="393"/>
      <c r="C524" s="394"/>
      <c r="D524" s="393"/>
      <c r="E524" s="393"/>
      <c r="F524" s="393"/>
      <c r="G524" s="395"/>
      <c r="H524" s="396"/>
      <c r="I524" s="393"/>
      <c r="J524" s="393"/>
      <c r="K524" s="393"/>
      <c r="L524" s="393"/>
      <c r="M524" s="382"/>
      <c r="N524" s="393"/>
      <c r="O524" s="393"/>
      <c r="P524" s="396"/>
      <c r="Q524" s="393"/>
      <c r="R524" s="393"/>
      <c r="S524" s="393"/>
      <c r="T524" s="393"/>
      <c r="U524" s="393"/>
      <c r="V524" s="393"/>
      <c r="W524" s="393"/>
      <c r="X524" s="393"/>
      <c r="Y524" s="397"/>
      <c r="Z524" s="393"/>
      <c r="AA524" s="393"/>
      <c r="AB524" s="401"/>
      <c r="AC524" s="401"/>
      <c r="AD524" s="401"/>
      <c r="AE524" s="401"/>
      <c r="AF524" s="401"/>
      <c r="AG524" s="401"/>
      <c r="AH524" s="401"/>
      <c r="AI524" s="401"/>
      <c r="AJ524" s="401"/>
      <c r="AK524" s="401"/>
      <c r="AL524" s="401"/>
    </row>
    <row r="525" spans="1:38" s="154" customFormat="1" ht="20.100000000000001" customHeight="1">
      <c r="A525" s="402"/>
      <c r="B525" s="393"/>
      <c r="C525" s="394"/>
      <c r="D525" s="393"/>
      <c r="E525" s="393"/>
      <c r="F525" s="393"/>
      <c r="G525" s="395"/>
      <c r="H525" s="396"/>
      <c r="I525" s="393"/>
      <c r="J525" s="393"/>
      <c r="K525" s="393"/>
      <c r="L525" s="393"/>
      <c r="M525" s="382"/>
      <c r="N525" s="393"/>
      <c r="O525" s="393"/>
      <c r="P525" s="396"/>
      <c r="Q525" s="393"/>
      <c r="R525" s="393"/>
      <c r="S525" s="393"/>
      <c r="T525" s="393"/>
      <c r="U525" s="393"/>
      <c r="V525" s="393"/>
      <c r="W525" s="393"/>
      <c r="X525" s="393"/>
      <c r="Y525" s="397"/>
      <c r="Z525" s="393"/>
      <c r="AA525" s="393"/>
      <c r="AB525" s="401"/>
      <c r="AC525" s="401"/>
      <c r="AD525" s="401"/>
      <c r="AE525" s="401"/>
      <c r="AF525" s="401"/>
      <c r="AG525" s="401"/>
      <c r="AH525" s="401"/>
      <c r="AI525" s="401"/>
      <c r="AJ525" s="401"/>
      <c r="AK525" s="401"/>
      <c r="AL525" s="401"/>
    </row>
    <row r="526" spans="1:38" s="154" customFormat="1" ht="20.100000000000001" customHeight="1">
      <c r="A526" s="402"/>
      <c r="B526" s="393"/>
      <c r="C526" s="394"/>
      <c r="D526" s="393"/>
      <c r="E526" s="393"/>
      <c r="F526" s="393"/>
      <c r="G526" s="395"/>
      <c r="H526" s="396"/>
      <c r="I526" s="393"/>
      <c r="J526" s="393"/>
      <c r="K526" s="393"/>
      <c r="L526" s="393"/>
      <c r="M526" s="382"/>
      <c r="N526" s="393"/>
      <c r="O526" s="393"/>
      <c r="P526" s="396"/>
      <c r="Q526" s="393"/>
      <c r="R526" s="393"/>
      <c r="S526" s="393"/>
      <c r="T526" s="393"/>
      <c r="U526" s="393"/>
      <c r="V526" s="393"/>
      <c r="W526" s="393"/>
      <c r="X526" s="393"/>
      <c r="Y526" s="397"/>
      <c r="Z526" s="393"/>
      <c r="AA526" s="393"/>
      <c r="AB526" s="401"/>
      <c r="AC526" s="401"/>
      <c r="AD526" s="401"/>
      <c r="AE526" s="401"/>
      <c r="AF526" s="401"/>
      <c r="AG526" s="401"/>
      <c r="AH526" s="401"/>
      <c r="AI526" s="401"/>
      <c r="AJ526" s="401"/>
      <c r="AK526" s="401"/>
      <c r="AL526" s="401"/>
    </row>
    <row r="527" spans="1:38" s="154" customFormat="1" ht="20.100000000000001" customHeight="1">
      <c r="A527" s="402"/>
      <c r="B527" s="393"/>
      <c r="C527" s="394"/>
      <c r="D527" s="393"/>
      <c r="E527" s="393"/>
      <c r="F527" s="393"/>
      <c r="G527" s="395"/>
      <c r="H527" s="396"/>
      <c r="I527" s="393"/>
      <c r="J527" s="393"/>
      <c r="K527" s="393"/>
      <c r="L527" s="393"/>
      <c r="M527" s="382"/>
      <c r="N527" s="393"/>
      <c r="O527" s="393"/>
      <c r="P527" s="396"/>
      <c r="Q527" s="393"/>
      <c r="R527" s="393"/>
      <c r="S527" s="393"/>
      <c r="T527" s="393"/>
      <c r="U527" s="393"/>
      <c r="V527" s="393"/>
      <c r="W527" s="393"/>
      <c r="X527" s="393"/>
      <c r="Y527" s="397"/>
      <c r="Z527" s="393"/>
      <c r="AA527" s="393"/>
      <c r="AB527" s="401"/>
      <c r="AC527" s="401"/>
      <c r="AD527" s="401"/>
      <c r="AE527" s="401"/>
      <c r="AF527" s="401"/>
      <c r="AG527" s="401"/>
      <c r="AH527" s="401"/>
      <c r="AI527" s="401"/>
      <c r="AJ527" s="401"/>
      <c r="AK527" s="401"/>
      <c r="AL527" s="401"/>
    </row>
    <row r="528" spans="1:38" s="154" customFormat="1" ht="20.100000000000001" customHeight="1">
      <c r="A528" s="402"/>
      <c r="B528" s="393"/>
      <c r="C528" s="394"/>
      <c r="D528" s="393"/>
      <c r="E528" s="393"/>
      <c r="F528" s="393"/>
      <c r="G528" s="395"/>
      <c r="H528" s="396"/>
      <c r="I528" s="393"/>
      <c r="J528" s="393"/>
      <c r="K528" s="393"/>
      <c r="L528" s="393"/>
      <c r="M528" s="382"/>
      <c r="N528" s="393"/>
      <c r="O528" s="393"/>
      <c r="P528" s="396"/>
      <c r="Q528" s="393"/>
      <c r="R528" s="393"/>
      <c r="S528" s="393"/>
      <c r="T528" s="393"/>
      <c r="U528" s="393"/>
      <c r="V528" s="393"/>
      <c r="W528" s="393"/>
      <c r="X528" s="393"/>
      <c r="Y528" s="397"/>
      <c r="Z528" s="393"/>
      <c r="AA528" s="393"/>
      <c r="AB528" s="401"/>
      <c r="AC528" s="401"/>
      <c r="AD528" s="401"/>
      <c r="AE528" s="401"/>
      <c r="AF528" s="401"/>
      <c r="AG528" s="401"/>
      <c r="AH528" s="401"/>
      <c r="AI528" s="401"/>
      <c r="AJ528" s="401"/>
      <c r="AK528" s="401"/>
      <c r="AL528" s="401"/>
    </row>
    <row r="529" spans="1:38" s="154" customFormat="1" ht="20.100000000000001" customHeight="1">
      <c r="A529" s="402"/>
      <c r="B529" s="393"/>
      <c r="C529" s="394"/>
      <c r="D529" s="393"/>
      <c r="E529" s="393"/>
      <c r="F529" s="393"/>
      <c r="G529" s="395"/>
      <c r="H529" s="396"/>
      <c r="I529" s="393"/>
      <c r="J529" s="393"/>
      <c r="K529" s="393"/>
      <c r="L529" s="393"/>
      <c r="M529" s="382"/>
      <c r="N529" s="393"/>
      <c r="O529" s="393"/>
      <c r="P529" s="396"/>
      <c r="Q529" s="393"/>
      <c r="R529" s="393"/>
      <c r="S529" s="393"/>
      <c r="T529" s="393"/>
      <c r="U529" s="393"/>
      <c r="V529" s="393"/>
      <c r="W529" s="393"/>
      <c r="X529" s="393"/>
      <c r="Y529" s="397"/>
      <c r="Z529" s="393"/>
      <c r="AA529" s="393"/>
      <c r="AB529" s="401"/>
      <c r="AC529" s="401"/>
      <c r="AD529" s="401"/>
      <c r="AE529" s="401"/>
      <c r="AF529" s="401"/>
      <c r="AG529" s="401"/>
      <c r="AH529" s="401"/>
      <c r="AI529" s="401"/>
      <c r="AJ529" s="401"/>
      <c r="AK529" s="401"/>
      <c r="AL529" s="401"/>
    </row>
    <row r="530" spans="1:38" s="154" customFormat="1" ht="20.100000000000001" customHeight="1">
      <c r="A530" s="402"/>
      <c r="B530" s="393"/>
      <c r="C530" s="394"/>
      <c r="D530" s="393"/>
      <c r="E530" s="393"/>
      <c r="F530" s="393"/>
      <c r="G530" s="395"/>
      <c r="H530" s="396"/>
      <c r="I530" s="393"/>
      <c r="J530" s="393"/>
      <c r="K530" s="393"/>
      <c r="L530" s="393"/>
      <c r="M530" s="382"/>
      <c r="N530" s="393"/>
      <c r="O530" s="393"/>
      <c r="P530" s="396"/>
      <c r="Q530" s="393"/>
      <c r="R530" s="393"/>
      <c r="S530" s="393"/>
      <c r="T530" s="393"/>
      <c r="U530" s="393"/>
      <c r="V530" s="393"/>
      <c r="W530" s="393"/>
      <c r="X530" s="393"/>
      <c r="Y530" s="397"/>
      <c r="Z530" s="393"/>
      <c r="AA530" s="393"/>
      <c r="AB530" s="401"/>
      <c r="AC530" s="401"/>
      <c r="AD530" s="401"/>
      <c r="AE530" s="401"/>
      <c r="AF530" s="401"/>
      <c r="AG530" s="401"/>
      <c r="AH530" s="401"/>
      <c r="AI530" s="401"/>
      <c r="AJ530" s="401"/>
      <c r="AK530" s="401"/>
      <c r="AL530" s="401"/>
    </row>
    <row r="531" spans="1:38" s="154" customFormat="1" ht="20.100000000000001" customHeight="1">
      <c r="A531" s="402"/>
      <c r="B531" s="393"/>
      <c r="C531" s="394"/>
      <c r="D531" s="393"/>
      <c r="E531" s="393"/>
      <c r="F531" s="393"/>
      <c r="G531" s="395"/>
      <c r="H531" s="396"/>
      <c r="I531" s="393"/>
      <c r="J531" s="393"/>
      <c r="K531" s="393"/>
      <c r="L531" s="393"/>
      <c r="M531" s="382"/>
      <c r="N531" s="393"/>
      <c r="O531" s="393"/>
      <c r="P531" s="396"/>
      <c r="Q531" s="393"/>
      <c r="R531" s="393"/>
      <c r="S531" s="393"/>
      <c r="T531" s="393"/>
      <c r="U531" s="393"/>
      <c r="V531" s="393"/>
      <c r="W531" s="393"/>
      <c r="X531" s="393"/>
      <c r="Y531" s="397"/>
      <c r="Z531" s="393"/>
      <c r="AA531" s="393"/>
      <c r="AB531" s="401"/>
      <c r="AC531" s="401"/>
      <c r="AD531" s="401"/>
      <c r="AE531" s="401"/>
      <c r="AF531" s="401"/>
      <c r="AG531" s="401"/>
      <c r="AH531" s="401"/>
      <c r="AI531" s="401"/>
      <c r="AJ531" s="401"/>
      <c r="AK531" s="401"/>
      <c r="AL531" s="401"/>
    </row>
    <row r="532" spans="1:38" s="154" customFormat="1" ht="20.100000000000001" customHeight="1">
      <c r="A532" s="402"/>
      <c r="B532" s="393"/>
      <c r="C532" s="394"/>
      <c r="D532" s="393"/>
      <c r="E532" s="393"/>
      <c r="F532" s="393"/>
      <c r="G532" s="395"/>
      <c r="H532" s="396"/>
      <c r="I532" s="393"/>
      <c r="J532" s="393"/>
      <c r="K532" s="393"/>
      <c r="L532" s="393"/>
      <c r="M532" s="382"/>
      <c r="N532" s="393"/>
      <c r="O532" s="393"/>
      <c r="P532" s="396"/>
      <c r="Q532" s="393"/>
      <c r="R532" s="393"/>
      <c r="S532" s="393"/>
      <c r="T532" s="393"/>
      <c r="U532" s="393"/>
      <c r="V532" s="393"/>
      <c r="W532" s="393"/>
      <c r="X532" s="393"/>
      <c r="Y532" s="397"/>
      <c r="Z532" s="393"/>
      <c r="AA532" s="393"/>
      <c r="AB532" s="401"/>
      <c r="AC532" s="401"/>
      <c r="AD532" s="401"/>
      <c r="AE532" s="401"/>
      <c r="AF532" s="401"/>
      <c r="AG532" s="401"/>
      <c r="AH532" s="401"/>
      <c r="AI532" s="401"/>
      <c r="AJ532" s="401"/>
      <c r="AK532" s="401"/>
      <c r="AL532" s="401"/>
    </row>
    <row r="533" spans="1:38" s="154" customFormat="1" ht="20.100000000000001" customHeight="1">
      <c r="A533" s="402"/>
      <c r="B533" s="393"/>
      <c r="C533" s="394"/>
      <c r="D533" s="393"/>
      <c r="E533" s="393"/>
      <c r="F533" s="393"/>
      <c r="G533" s="395"/>
      <c r="H533" s="396"/>
      <c r="I533" s="393"/>
      <c r="J533" s="393"/>
      <c r="K533" s="393"/>
      <c r="L533" s="393"/>
      <c r="M533" s="382"/>
      <c r="N533" s="393"/>
      <c r="O533" s="393"/>
      <c r="P533" s="396"/>
      <c r="Q533" s="393"/>
      <c r="R533" s="393"/>
      <c r="S533" s="393"/>
      <c r="T533" s="393"/>
      <c r="U533" s="393"/>
      <c r="V533" s="393"/>
      <c r="W533" s="393"/>
      <c r="X533" s="393"/>
      <c r="Y533" s="397"/>
      <c r="Z533" s="393"/>
      <c r="AA533" s="393"/>
      <c r="AB533" s="401"/>
      <c r="AC533" s="401"/>
      <c r="AD533" s="401"/>
      <c r="AE533" s="401"/>
      <c r="AF533" s="401"/>
      <c r="AG533" s="401"/>
      <c r="AH533" s="401"/>
      <c r="AI533" s="401"/>
      <c r="AJ533" s="401"/>
      <c r="AK533" s="401"/>
      <c r="AL533" s="401"/>
    </row>
    <row r="534" spans="1:38" s="154" customFormat="1" ht="20.100000000000001" customHeight="1">
      <c r="A534" s="402"/>
      <c r="B534" s="393"/>
      <c r="C534" s="394"/>
      <c r="D534" s="393"/>
      <c r="E534" s="393"/>
      <c r="F534" s="393"/>
      <c r="G534" s="395"/>
      <c r="H534" s="396"/>
      <c r="I534" s="393"/>
      <c r="J534" s="393"/>
      <c r="K534" s="393"/>
      <c r="L534" s="393"/>
      <c r="M534" s="382"/>
      <c r="N534" s="393"/>
      <c r="O534" s="393"/>
      <c r="P534" s="396"/>
      <c r="Q534" s="393"/>
      <c r="R534" s="393"/>
      <c r="S534" s="393"/>
      <c r="T534" s="393"/>
      <c r="U534" s="393"/>
      <c r="V534" s="393"/>
      <c r="W534" s="393"/>
      <c r="X534" s="393"/>
      <c r="Y534" s="397"/>
      <c r="Z534" s="393"/>
      <c r="AA534" s="393"/>
      <c r="AB534" s="401"/>
      <c r="AC534" s="401"/>
      <c r="AD534" s="401"/>
      <c r="AE534" s="401"/>
      <c r="AF534" s="401"/>
      <c r="AG534" s="401"/>
      <c r="AH534" s="401"/>
      <c r="AI534" s="401"/>
      <c r="AJ534" s="401"/>
      <c r="AK534" s="401"/>
      <c r="AL534" s="401"/>
    </row>
    <row r="535" spans="1:38" s="154" customFormat="1" ht="20.100000000000001" customHeight="1">
      <c r="A535" s="402"/>
      <c r="B535" s="393"/>
      <c r="C535" s="394"/>
      <c r="D535" s="393"/>
      <c r="E535" s="393"/>
      <c r="F535" s="393"/>
      <c r="G535" s="395"/>
      <c r="H535" s="396"/>
      <c r="I535" s="393"/>
      <c r="J535" s="393"/>
      <c r="K535" s="393"/>
      <c r="L535" s="393"/>
      <c r="M535" s="382"/>
      <c r="N535" s="393"/>
      <c r="O535" s="393"/>
      <c r="P535" s="396"/>
      <c r="Q535" s="393"/>
      <c r="R535" s="393"/>
      <c r="S535" s="393"/>
      <c r="T535" s="393"/>
      <c r="U535" s="393"/>
      <c r="V535" s="393"/>
      <c r="W535" s="393"/>
      <c r="X535" s="393"/>
      <c r="Y535" s="397"/>
      <c r="Z535" s="393"/>
      <c r="AA535" s="393"/>
      <c r="AB535" s="401"/>
      <c r="AC535" s="401"/>
      <c r="AD535" s="401"/>
      <c r="AE535" s="401"/>
      <c r="AF535" s="401"/>
      <c r="AG535" s="401"/>
      <c r="AH535" s="401"/>
      <c r="AI535" s="401"/>
      <c r="AJ535" s="401"/>
      <c r="AK535" s="401"/>
      <c r="AL535" s="401"/>
    </row>
    <row r="536" spans="1:38" s="154" customFormat="1" ht="20.100000000000001" customHeight="1">
      <c r="A536" s="402"/>
      <c r="B536" s="393"/>
      <c r="C536" s="394"/>
      <c r="D536" s="393"/>
      <c r="E536" s="393"/>
      <c r="F536" s="393"/>
      <c r="G536" s="395"/>
      <c r="H536" s="396"/>
      <c r="I536" s="393"/>
      <c r="J536" s="393"/>
      <c r="K536" s="393"/>
      <c r="L536" s="393"/>
      <c r="M536" s="382"/>
      <c r="N536" s="393"/>
      <c r="O536" s="393"/>
      <c r="P536" s="396"/>
      <c r="Q536" s="393"/>
      <c r="R536" s="393"/>
      <c r="S536" s="393"/>
      <c r="T536" s="393"/>
      <c r="U536" s="393"/>
      <c r="V536" s="393"/>
      <c r="W536" s="393"/>
      <c r="X536" s="393"/>
      <c r="Y536" s="397"/>
      <c r="Z536" s="393"/>
      <c r="AA536" s="393"/>
      <c r="AB536" s="401"/>
      <c r="AC536" s="401"/>
      <c r="AD536" s="401"/>
      <c r="AE536" s="401"/>
      <c r="AF536" s="401"/>
      <c r="AG536" s="401"/>
      <c r="AH536" s="401"/>
      <c r="AI536" s="401"/>
      <c r="AJ536" s="401"/>
      <c r="AK536" s="401"/>
      <c r="AL536" s="401"/>
    </row>
    <row r="537" spans="1:38" s="154" customFormat="1" ht="20.100000000000001" customHeight="1">
      <c r="A537" s="402"/>
      <c r="B537" s="393"/>
      <c r="C537" s="394"/>
      <c r="D537" s="393"/>
      <c r="E537" s="393"/>
      <c r="F537" s="393"/>
      <c r="G537" s="395"/>
      <c r="H537" s="396"/>
      <c r="I537" s="393"/>
      <c r="J537" s="393"/>
      <c r="K537" s="393"/>
      <c r="L537" s="393"/>
      <c r="M537" s="382"/>
      <c r="N537" s="393"/>
      <c r="O537" s="393"/>
      <c r="P537" s="396"/>
      <c r="Q537" s="393"/>
      <c r="R537" s="393"/>
      <c r="S537" s="393"/>
      <c r="T537" s="393"/>
      <c r="U537" s="393"/>
      <c r="V537" s="393"/>
      <c r="W537" s="393"/>
      <c r="X537" s="393"/>
      <c r="Y537" s="397"/>
      <c r="Z537" s="393"/>
      <c r="AA537" s="393"/>
      <c r="AB537" s="401"/>
      <c r="AC537" s="401"/>
      <c r="AD537" s="401"/>
      <c r="AE537" s="401"/>
      <c r="AF537" s="401"/>
      <c r="AG537" s="401"/>
      <c r="AH537" s="401"/>
      <c r="AI537" s="401"/>
      <c r="AJ537" s="401"/>
      <c r="AK537" s="401"/>
      <c r="AL537" s="401"/>
    </row>
    <row r="538" spans="1:38" s="154" customFormat="1" ht="20.100000000000001" customHeight="1">
      <c r="A538" s="402"/>
      <c r="B538" s="393"/>
      <c r="C538" s="394"/>
      <c r="D538" s="393"/>
      <c r="E538" s="393"/>
      <c r="F538" s="393"/>
      <c r="G538" s="395"/>
      <c r="H538" s="396"/>
      <c r="I538" s="393"/>
      <c r="J538" s="393"/>
      <c r="K538" s="393"/>
      <c r="L538" s="393"/>
      <c r="M538" s="382"/>
      <c r="N538" s="393"/>
      <c r="O538" s="393"/>
      <c r="P538" s="396"/>
      <c r="Q538" s="393"/>
      <c r="R538" s="393"/>
      <c r="S538" s="393"/>
      <c r="T538" s="393"/>
      <c r="U538" s="393"/>
      <c r="V538" s="393"/>
      <c r="W538" s="393"/>
      <c r="X538" s="393"/>
      <c r="Y538" s="397"/>
      <c r="Z538" s="393"/>
      <c r="AA538" s="393"/>
      <c r="AB538" s="401"/>
      <c r="AC538" s="401"/>
      <c r="AD538" s="401"/>
      <c r="AE538" s="401"/>
      <c r="AF538" s="401"/>
      <c r="AG538" s="401"/>
      <c r="AH538" s="401"/>
      <c r="AI538" s="401"/>
      <c r="AJ538" s="401"/>
      <c r="AK538" s="401"/>
      <c r="AL538" s="401"/>
    </row>
    <row r="539" spans="1:38" s="154" customFormat="1" ht="20.100000000000001" customHeight="1">
      <c r="A539" s="402"/>
      <c r="B539" s="393"/>
      <c r="C539" s="394"/>
      <c r="D539" s="393"/>
      <c r="E539" s="393"/>
      <c r="F539" s="393"/>
      <c r="G539" s="395"/>
      <c r="H539" s="396"/>
      <c r="I539" s="393"/>
      <c r="J539" s="393"/>
      <c r="K539" s="393"/>
      <c r="L539" s="393"/>
      <c r="M539" s="382"/>
      <c r="N539" s="393"/>
      <c r="O539" s="393"/>
      <c r="P539" s="396"/>
      <c r="Q539" s="393"/>
      <c r="R539" s="393"/>
      <c r="S539" s="393"/>
      <c r="T539" s="393"/>
      <c r="U539" s="393"/>
      <c r="V539" s="393"/>
      <c r="W539" s="393"/>
      <c r="X539" s="393"/>
      <c r="Y539" s="397"/>
      <c r="Z539" s="393"/>
      <c r="AA539" s="393"/>
      <c r="AB539" s="401"/>
      <c r="AC539" s="401"/>
      <c r="AD539" s="401"/>
      <c r="AE539" s="401"/>
      <c r="AF539" s="401"/>
      <c r="AG539" s="401"/>
      <c r="AH539" s="401"/>
      <c r="AI539" s="401"/>
      <c r="AJ539" s="401"/>
      <c r="AK539" s="401"/>
      <c r="AL539" s="401"/>
    </row>
    <row r="540" spans="1:38" s="154" customFormat="1" ht="20.100000000000001" customHeight="1">
      <c r="A540" s="402"/>
      <c r="B540" s="393"/>
      <c r="C540" s="394"/>
      <c r="D540" s="393"/>
      <c r="E540" s="393"/>
      <c r="F540" s="393"/>
      <c r="G540" s="395"/>
      <c r="H540" s="396"/>
      <c r="I540" s="393"/>
      <c r="J540" s="393"/>
      <c r="K540" s="393"/>
      <c r="L540" s="393"/>
      <c r="M540" s="382"/>
      <c r="N540" s="393"/>
      <c r="O540" s="393"/>
      <c r="P540" s="396"/>
      <c r="Q540" s="393"/>
      <c r="R540" s="393"/>
      <c r="S540" s="393"/>
      <c r="T540" s="393"/>
      <c r="U540" s="393"/>
      <c r="V540" s="393"/>
      <c r="W540" s="393"/>
      <c r="X540" s="393"/>
      <c r="Y540" s="397"/>
      <c r="Z540" s="393"/>
      <c r="AA540" s="393"/>
      <c r="AB540" s="401"/>
      <c r="AC540" s="401"/>
      <c r="AD540" s="401"/>
      <c r="AE540" s="401"/>
      <c r="AF540" s="401"/>
      <c r="AG540" s="401"/>
      <c r="AH540" s="401"/>
      <c r="AI540" s="401"/>
      <c r="AJ540" s="401"/>
      <c r="AK540" s="401"/>
      <c r="AL540" s="401"/>
    </row>
    <row r="541" spans="1:38" s="154" customFormat="1" ht="20.100000000000001" customHeight="1">
      <c r="A541" s="402"/>
      <c r="B541" s="393"/>
      <c r="C541" s="394"/>
      <c r="D541" s="393"/>
      <c r="E541" s="393"/>
      <c r="F541" s="393"/>
      <c r="G541" s="395"/>
      <c r="H541" s="396"/>
      <c r="I541" s="393"/>
      <c r="J541" s="393"/>
      <c r="K541" s="393"/>
      <c r="L541" s="393"/>
      <c r="M541" s="382"/>
      <c r="N541" s="393"/>
      <c r="O541" s="393"/>
      <c r="P541" s="396"/>
      <c r="Q541" s="393"/>
      <c r="R541" s="393"/>
      <c r="S541" s="393"/>
      <c r="T541" s="393"/>
      <c r="U541" s="393"/>
      <c r="V541" s="393"/>
      <c r="W541" s="393"/>
      <c r="X541" s="393"/>
      <c r="Y541" s="397"/>
      <c r="Z541" s="393"/>
      <c r="AA541" s="393"/>
      <c r="AB541" s="401"/>
      <c r="AC541" s="401"/>
      <c r="AD541" s="401"/>
      <c r="AE541" s="401"/>
      <c r="AF541" s="401"/>
      <c r="AG541" s="401"/>
      <c r="AH541" s="401"/>
      <c r="AI541" s="401"/>
      <c r="AJ541" s="401"/>
      <c r="AK541" s="401"/>
      <c r="AL541" s="401"/>
    </row>
    <row r="542" spans="1:38" s="154" customFormat="1" ht="20.100000000000001" customHeight="1">
      <c r="A542" s="402"/>
      <c r="B542" s="393"/>
      <c r="C542" s="394"/>
      <c r="D542" s="393"/>
      <c r="E542" s="393"/>
      <c r="F542" s="393"/>
      <c r="G542" s="395"/>
      <c r="H542" s="396"/>
      <c r="I542" s="393"/>
      <c r="J542" s="393"/>
      <c r="K542" s="393"/>
      <c r="L542" s="393"/>
      <c r="M542" s="382"/>
      <c r="N542" s="393"/>
      <c r="O542" s="393"/>
      <c r="P542" s="396"/>
      <c r="Q542" s="393"/>
      <c r="R542" s="393"/>
      <c r="S542" s="393"/>
      <c r="T542" s="393"/>
      <c r="U542" s="393"/>
      <c r="V542" s="393"/>
      <c r="W542" s="393"/>
      <c r="X542" s="393"/>
      <c r="Y542" s="397"/>
      <c r="Z542" s="393"/>
      <c r="AA542" s="393"/>
      <c r="AB542" s="401"/>
      <c r="AC542" s="401"/>
      <c r="AD542" s="401"/>
      <c r="AE542" s="401"/>
      <c r="AF542" s="401"/>
      <c r="AG542" s="401"/>
      <c r="AH542" s="401"/>
      <c r="AI542" s="401"/>
      <c r="AJ542" s="401"/>
      <c r="AK542" s="401"/>
      <c r="AL542" s="401"/>
    </row>
    <row r="543" spans="1:38" s="154" customFormat="1" ht="20.100000000000001" customHeight="1">
      <c r="A543" s="402"/>
      <c r="B543" s="393"/>
      <c r="C543" s="394"/>
      <c r="D543" s="393"/>
      <c r="E543" s="393"/>
      <c r="F543" s="393"/>
      <c r="G543" s="395"/>
      <c r="H543" s="396"/>
      <c r="I543" s="393"/>
      <c r="J543" s="393"/>
      <c r="K543" s="393"/>
      <c r="L543" s="393"/>
      <c r="M543" s="382"/>
      <c r="N543" s="393"/>
      <c r="O543" s="393"/>
      <c r="P543" s="396"/>
      <c r="Q543" s="393"/>
      <c r="R543" s="393"/>
      <c r="S543" s="393"/>
      <c r="T543" s="393"/>
      <c r="U543" s="393"/>
      <c r="V543" s="393"/>
      <c r="W543" s="393"/>
      <c r="X543" s="393"/>
      <c r="Y543" s="397"/>
      <c r="Z543" s="393"/>
      <c r="AA543" s="393"/>
      <c r="AB543" s="401"/>
      <c r="AC543" s="401"/>
      <c r="AD543" s="401"/>
      <c r="AE543" s="401"/>
      <c r="AF543" s="401"/>
      <c r="AG543" s="401"/>
      <c r="AH543" s="401"/>
      <c r="AI543" s="401"/>
      <c r="AJ543" s="401"/>
      <c r="AK543" s="401"/>
      <c r="AL543" s="401"/>
    </row>
    <row r="544" spans="1:38" s="154" customFormat="1" ht="20.100000000000001" customHeight="1">
      <c r="A544" s="402"/>
      <c r="B544" s="393"/>
      <c r="C544" s="394"/>
      <c r="D544" s="393"/>
      <c r="E544" s="393"/>
      <c r="F544" s="393"/>
      <c r="G544" s="395"/>
      <c r="H544" s="396"/>
      <c r="I544" s="393"/>
      <c r="J544" s="393"/>
      <c r="K544" s="393"/>
      <c r="L544" s="393"/>
      <c r="M544" s="382"/>
      <c r="N544" s="393"/>
      <c r="O544" s="393"/>
      <c r="P544" s="396"/>
      <c r="Q544" s="393"/>
      <c r="R544" s="393"/>
      <c r="S544" s="393"/>
      <c r="T544" s="393"/>
      <c r="U544" s="393"/>
      <c r="V544" s="393"/>
      <c r="W544" s="393"/>
      <c r="X544" s="393"/>
      <c r="Y544" s="397"/>
      <c r="Z544" s="393"/>
      <c r="AA544" s="393"/>
      <c r="AB544" s="401"/>
      <c r="AC544" s="401"/>
      <c r="AD544" s="401"/>
      <c r="AE544" s="401"/>
      <c r="AF544" s="401"/>
      <c r="AG544" s="401"/>
      <c r="AH544" s="401"/>
      <c r="AI544" s="401"/>
      <c r="AJ544" s="401"/>
      <c r="AK544" s="401"/>
      <c r="AL544" s="401"/>
    </row>
    <row r="545" spans="1:38" s="154" customFormat="1" ht="20.100000000000001" customHeight="1">
      <c r="A545" s="402"/>
      <c r="B545" s="393"/>
      <c r="C545" s="394"/>
      <c r="D545" s="393"/>
      <c r="E545" s="393"/>
      <c r="F545" s="393"/>
      <c r="G545" s="395"/>
      <c r="H545" s="396"/>
      <c r="I545" s="393"/>
      <c r="J545" s="393"/>
      <c r="K545" s="393"/>
      <c r="L545" s="393"/>
      <c r="M545" s="382"/>
      <c r="N545" s="393"/>
      <c r="O545" s="393"/>
      <c r="P545" s="396"/>
      <c r="Q545" s="393"/>
      <c r="R545" s="393"/>
      <c r="S545" s="393"/>
      <c r="T545" s="393"/>
      <c r="U545" s="393"/>
      <c r="V545" s="393"/>
      <c r="W545" s="393"/>
      <c r="X545" s="393"/>
      <c r="Y545" s="397"/>
      <c r="Z545" s="393"/>
      <c r="AA545" s="393"/>
      <c r="AB545" s="401"/>
      <c r="AC545" s="401"/>
      <c r="AD545" s="401"/>
      <c r="AE545" s="401"/>
      <c r="AF545" s="401"/>
      <c r="AG545" s="401"/>
      <c r="AH545" s="401"/>
      <c r="AI545" s="401"/>
      <c r="AJ545" s="401"/>
      <c r="AK545" s="401"/>
      <c r="AL545" s="401"/>
    </row>
    <row r="546" spans="1:38" s="154" customFormat="1" ht="20.100000000000001" customHeight="1">
      <c r="A546" s="402"/>
      <c r="B546" s="393"/>
      <c r="C546" s="394"/>
      <c r="D546" s="393"/>
      <c r="E546" s="393"/>
      <c r="F546" s="393"/>
      <c r="G546" s="395"/>
      <c r="H546" s="396"/>
      <c r="I546" s="393"/>
      <c r="J546" s="393"/>
      <c r="K546" s="393"/>
      <c r="L546" s="393"/>
      <c r="M546" s="382"/>
      <c r="N546" s="393"/>
      <c r="O546" s="393"/>
      <c r="P546" s="396"/>
      <c r="Q546" s="393"/>
      <c r="R546" s="393"/>
      <c r="S546" s="393"/>
      <c r="T546" s="393"/>
      <c r="U546" s="393"/>
      <c r="V546" s="393"/>
      <c r="W546" s="393"/>
      <c r="X546" s="393"/>
      <c r="Y546" s="397"/>
      <c r="Z546" s="393"/>
      <c r="AA546" s="393"/>
      <c r="AB546" s="401"/>
      <c r="AC546" s="401"/>
      <c r="AD546" s="401"/>
      <c r="AE546" s="401"/>
      <c r="AF546" s="401"/>
      <c r="AG546" s="401"/>
      <c r="AH546" s="401"/>
      <c r="AI546" s="401"/>
      <c r="AJ546" s="401"/>
      <c r="AK546" s="401"/>
      <c r="AL546" s="401"/>
    </row>
    <row r="547" spans="1:38" s="154" customFormat="1" ht="20.100000000000001" customHeight="1">
      <c r="A547" s="402"/>
      <c r="B547" s="393"/>
      <c r="C547" s="394"/>
      <c r="D547" s="393"/>
      <c r="E547" s="393"/>
      <c r="F547" s="393"/>
      <c r="G547" s="395"/>
      <c r="H547" s="396"/>
      <c r="I547" s="393"/>
      <c r="J547" s="393"/>
      <c r="K547" s="393"/>
      <c r="L547" s="393"/>
      <c r="M547" s="382"/>
      <c r="N547" s="393"/>
      <c r="O547" s="393"/>
      <c r="P547" s="396"/>
      <c r="Q547" s="393"/>
      <c r="R547" s="393"/>
      <c r="S547" s="393"/>
      <c r="T547" s="393"/>
      <c r="U547" s="393"/>
      <c r="V547" s="393"/>
      <c r="W547" s="393"/>
      <c r="X547" s="393"/>
      <c r="Y547" s="397"/>
      <c r="Z547" s="393"/>
      <c r="AA547" s="393"/>
      <c r="AB547" s="401"/>
      <c r="AC547" s="401"/>
      <c r="AD547" s="401"/>
      <c r="AE547" s="401"/>
      <c r="AF547" s="401"/>
      <c r="AG547" s="401"/>
      <c r="AH547" s="401"/>
      <c r="AI547" s="401"/>
      <c r="AJ547" s="401"/>
      <c r="AK547" s="401"/>
      <c r="AL547" s="401"/>
    </row>
    <row r="548" spans="1:38" s="154" customFormat="1" ht="20.100000000000001" customHeight="1">
      <c r="A548" s="402"/>
      <c r="B548" s="393"/>
      <c r="C548" s="394"/>
      <c r="D548" s="393"/>
      <c r="E548" s="393"/>
      <c r="F548" s="393"/>
      <c r="G548" s="395"/>
      <c r="H548" s="396"/>
      <c r="I548" s="393"/>
      <c r="J548" s="393"/>
      <c r="K548" s="393"/>
      <c r="L548" s="393"/>
      <c r="M548" s="382"/>
      <c r="N548" s="393"/>
      <c r="O548" s="393"/>
      <c r="P548" s="396"/>
      <c r="Q548" s="393"/>
      <c r="R548" s="393"/>
      <c r="S548" s="393"/>
      <c r="T548" s="393"/>
      <c r="U548" s="393"/>
      <c r="V548" s="393"/>
      <c r="W548" s="393"/>
      <c r="X548" s="393"/>
      <c r="Y548" s="397"/>
      <c r="Z548" s="393"/>
      <c r="AA548" s="393"/>
      <c r="AB548" s="401"/>
      <c r="AC548" s="401"/>
      <c r="AD548" s="401"/>
      <c r="AE548" s="401"/>
      <c r="AF548" s="401"/>
      <c r="AG548" s="401"/>
      <c r="AH548" s="401"/>
      <c r="AI548" s="401"/>
      <c r="AJ548" s="401"/>
      <c r="AK548" s="401"/>
      <c r="AL548" s="401"/>
    </row>
    <row r="549" spans="1:38" s="154" customFormat="1" ht="20.100000000000001" customHeight="1">
      <c r="A549" s="402"/>
      <c r="B549" s="393"/>
      <c r="C549" s="394"/>
      <c r="D549" s="393"/>
      <c r="E549" s="393"/>
      <c r="F549" s="393"/>
      <c r="G549" s="395"/>
      <c r="H549" s="396"/>
      <c r="I549" s="393"/>
      <c r="J549" s="393"/>
      <c r="K549" s="393"/>
      <c r="L549" s="393"/>
      <c r="M549" s="382"/>
      <c r="N549" s="393"/>
      <c r="O549" s="393"/>
      <c r="P549" s="396"/>
      <c r="Q549" s="393"/>
      <c r="R549" s="393"/>
      <c r="S549" s="393"/>
      <c r="T549" s="393"/>
      <c r="U549" s="393"/>
      <c r="V549" s="393"/>
      <c r="W549" s="393"/>
      <c r="X549" s="393"/>
      <c r="Y549" s="397"/>
      <c r="Z549" s="393"/>
      <c r="AA549" s="393"/>
      <c r="AB549" s="401"/>
      <c r="AC549" s="401"/>
      <c r="AD549" s="401"/>
      <c r="AE549" s="401"/>
      <c r="AF549" s="401"/>
      <c r="AG549" s="401"/>
      <c r="AH549" s="401"/>
      <c r="AI549" s="401"/>
      <c r="AJ549" s="401"/>
      <c r="AK549" s="401"/>
      <c r="AL549" s="401"/>
    </row>
    <row r="550" spans="1:38" s="154" customFormat="1" ht="20.100000000000001" customHeight="1">
      <c r="A550" s="402"/>
      <c r="B550" s="393"/>
      <c r="C550" s="394"/>
      <c r="D550" s="393"/>
      <c r="E550" s="393"/>
      <c r="F550" s="393"/>
      <c r="G550" s="395"/>
      <c r="H550" s="396"/>
      <c r="I550" s="393"/>
      <c r="J550" s="393"/>
      <c r="K550" s="393"/>
      <c r="L550" s="393"/>
      <c r="M550" s="382"/>
      <c r="N550" s="393"/>
      <c r="O550" s="393"/>
      <c r="P550" s="396"/>
      <c r="Q550" s="393"/>
      <c r="R550" s="393"/>
      <c r="S550" s="393"/>
      <c r="T550" s="393"/>
      <c r="U550" s="393"/>
      <c r="V550" s="393"/>
      <c r="W550" s="393"/>
      <c r="X550" s="393"/>
      <c r="Y550" s="397"/>
      <c r="Z550" s="393"/>
      <c r="AA550" s="393"/>
      <c r="AB550" s="401"/>
      <c r="AC550" s="401"/>
      <c r="AD550" s="401"/>
      <c r="AE550" s="401"/>
      <c r="AF550" s="401"/>
      <c r="AG550" s="401"/>
      <c r="AH550" s="401"/>
      <c r="AI550" s="401"/>
      <c r="AJ550" s="401"/>
      <c r="AK550" s="401"/>
      <c r="AL550" s="401"/>
    </row>
    <row r="551" spans="1:38" s="154" customFormat="1" ht="20.100000000000001" customHeight="1">
      <c r="A551" s="402"/>
      <c r="B551" s="393"/>
      <c r="C551" s="394"/>
      <c r="D551" s="393"/>
      <c r="E551" s="393"/>
      <c r="F551" s="393"/>
      <c r="G551" s="395"/>
      <c r="H551" s="396"/>
      <c r="I551" s="393"/>
      <c r="J551" s="393"/>
      <c r="K551" s="393"/>
      <c r="L551" s="393"/>
      <c r="M551" s="382"/>
      <c r="N551" s="393"/>
      <c r="O551" s="393"/>
      <c r="P551" s="396"/>
      <c r="Q551" s="393"/>
      <c r="R551" s="393"/>
      <c r="S551" s="393"/>
      <c r="T551" s="393"/>
      <c r="U551" s="393"/>
      <c r="V551" s="393"/>
      <c r="W551" s="393"/>
      <c r="X551" s="393"/>
      <c r="Y551" s="397"/>
      <c r="Z551" s="393"/>
      <c r="AA551" s="393"/>
      <c r="AB551" s="401"/>
      <c r="AC551" s="401"/>
      <c r="AD551" s="401"/>
      <c r="AE551" s="401"/>
      <c r="AF551" s="401"/>
      <c r="AG551" s="401"/>
      <c r="AH551" s="401"/>
      <c r="AI551" s="401"/>
      <c r="AJ551" s="401"/>
      <c r="AK551" s="401"/>
      <c r="AL551" s="401"/>
    </row>
    <row r="552" spans="1:38" s="154" customFormat="1" ht="20.100000000000001" customHeight="1">
      <c r="A552" s="402"/>
      <c r="B552" s="393"/>
      <c r="C552" s="394"/>
      <c r="D552" s="393"/>
      <c r="E552" s="393"/>
      <c r="F552" s="393"/>
      <c r="G552" s="395"/>
      <c r="H552" s="396"/>
      <c r="I552" s="393"/>
      <c r="J552" s="393"/>
      <c r="K552" s="393"/>
      <c r="L552" s="393"/>
      <c r="M552" s="382"/>
      <c r="N552" s="393"/>
      <c r="O552" s="393"/>
      <c r="P552" s="396"/>
      <c r="Q552" s="393"/>
      <c r="R552" s="393"/>
      <c r="S552" s="393"/>
      <c r="T552" s="393"/>
      <c r="U552" s="393"/>
      <c r="V552" s="393"/>
      <c r="W552" s="393"/>
      <c r="X552" s="393"/>
      <c r="Y552" s="397"/>
      <c r="Z552" s="393"/>
      <c r="AA552" s="393"/>
      <c r="AB552" s="401"/>
      <c r="AC552" s="401"/>
      <c r="AD552" s="401"/>
      <c r="AE552" s="401"/>
      <c r="AF552" s="401"/>
      <c r="AG552" s="401"/>
      <c r="AH552" s="401"/>
      <c r="AI552" s="401"/>
      <c r="AJ552" s="401"/>
      <c r="AK552" s="401"/>
      <c r="AL552" s="401"/>
    </row>
    <row r="553" spans="1:38" s="154" customFormat="1" ht="20.100000000000001" customHeight="1">
      <c r="A553" s="402"/>
      <c r="B553" s="393"/>
      <c r="C553" s="394"/>
      <c r="D553" s="393"/>
      <c r="E553" s="393"/>
      <c r="F553" s="393"/>
      <c r="G553" s="395"/>
      <c r="H553" s="396"/>
      <c r="I553" s="393"/>
      <c r="J553" s="393"/>
      <c r="K553" s="393"/>
      <c r="L553" s="393"/>
      <c r="M553" s="382"/>
      <c r="N553" s="393"/>
      <c r="O553" s="393"/>
      <c r="P553" s="396"/>
      <c r="Q553" s="393"/>
      <c r="R553" s="393"/>
      <c r="S553" s="393"/>
      <c r="T553" s="393"/>
      <c r="U553" s="393"/>
      <c r="V553" s="393"/>
      <c r="W553" s="393"/>
      <c r="X553" s="393"/>
      <c r="Y553" s="397"/>
      <c r="Z553" s="393"/>
      <c r="AA553" s="393"/>
      <c r="AB553" s="401"/>
      <c r="AC553" s="401"/>
      <c r="AD553" s="401"/>
      <c r="AE553" s="401"/>
      <c r="AF553" s="401"/>
      <c r="AG553" s="401"/>
      <c r="AH553" s="401"/>
      <c r="AI553" s="401"/>
      <c r="AJ553" s="401"/>
      <c r="AK553" s="401"/>
      <c r="AL553" s="401"/>
    </row>
    <row r="554" spans="1:38" s="154" customFormat="1" ht="20.100000000000001" customHeight="1">
      <c r="A554" s="402"/>
      <c r="B554" s="393"/>
      <c r="C554" s="394"/>
      <c r="D554" s="393"/>
      <c r="E554" s="393"/>
      <c r="F554" s="393"/>
      <c r="G554" s="395"/>
      <c r="H554" s="396"/>
      <c r="I554" s="393"/>
      <c r="J554" s="393"/>
      <c r="K554" s="393"/>
      <c r="L554" s="393"/>
      <c r="M554" s="382"/>
      <c r="N554" s="393"/>
      <c r="O554" s="393"/>
      <c r="P554" s="396"/>
      <c r="Q554" s="393"/>
      <c r="R554" s="393"/>
      <c r="S554" s="393"/>
      <c r="T554" s="393"/>
      <c r="U554" s="393"/>
      <c r="V554" s="393"/>
      <c r="W554" s="393"/>
      <c r="X554" s="393"/>
      <c r="Y554" s="397"/>
      <c r="Z554" s="393"/>
      <c r="AA554" s="393"/>
      <c r="AB554" s="401"/>
      <c r="AC554" s="401"/>
      <c r="AD554" s="401"/>
      <c r="AE554" s="401"/>
      <c r="AF554" s="401"/>
      <c r="AG554" s="401"/>
      <c r="AH554" s="401"/>
      <c r="AI554" s="401"/>
      <c r="AJ554" s="401"/>
      <c r="AK554" s="401"/>
      <c r="AL554" s="401"/>
    </row>
    <row r="555" spans="1:38" s="154" customFormat="1" ht="20.100000000000001" customHeight="1">
      <c r="A555" s="402"/>
      <c r="B555" s="393"/>
      <c r="C555" s="394"/>
      <c r="D555" s="393"/>
      <c r="E555" s="393"/>
      <c r="F555" s="393"/>
      <c r="G555" s="395"/>
      <c r="H555" s="396"/>
      <c r="I555" s="393"/>
      <c r="J555" s="393"/>
      <c r="K555" s="393"/>
      <c r="L555" s="393"/>
      <c r="M555" s="382"/>
      <c r="N555" s="393"/>
      <c r="O555" s="393"/>
      <c r="P555" s="396"/>
      <c r="Q555" s="393"/>
      <c r="R555" s="393"/>
      <c r="S555" s="393"/>
      <c r="T555" s="393"/>
      <c r="U555" s="393"/>
      <c r="V555" s="393"/>
      <c r="W555" s="393"/>
      <c r="X555" s="393"/>
      <c r="Y555" s="397"/>
      <c r="Z555" s="393"/>
      <c r="AA555" s="393"/>
      <c r="AB555" s="401"/>
      <c r="AC555" s="401"/>
      <c r="AD555" s="401"/>
      <c r="AE555" s="401"/>
      <c r="AF555" s="401"/>
      <c r="AG555" s="401"/>
      <c r="AH555" s="401"/>
      <c r="AI555" s="401"/>
      <c r="AJ555" s="401"/>
      <c r="AK555" s="401"/>
      <c r="AL555" s="401"/>
    </row>
    <row r="556" spans="1:38" s="154" customFormat="1" ht="20.100000000000001" customHeight="1">
      <c r="A556" s="402"/>
      <c r="B556" s="393"/>
      <c r="C556" s="394"/>
      <c r="D556" s="393"/>
      <c r="E556" s="393"/>
      <c r="F556" s="393"/>
      <c r="G556" s="395"/>
      <c r="H556" s="396"/>
      <c r="I556" s="393"/>
      <c r="J556" s="393"/>
      <c r="K556" s="393"/>
      <c r="L556" s="393"/>
      <c r="M556" s="382"/>
      <c r="N556" s="393"/>
      <c r="O556" s="393"/>
      <c r="P556" s="396"/>
      <c r="Q556" s="393"/>
      <c r="R556" s="393"/>
      <c r="S556" s="393"/>
      <c r="T556" s="393"/>
      <c r="U556" s="393"/>
      <c r="V556" s="393"/>
      <c r="W556" s="393"/>
      <c r="X556" s="393"/>
      <c r="Y556" s="397"/>
      <c r="Z556" s="393"/>
      <c r="AA556" s="393"/>
      <c r="AB556" s="401"/>
      <c r="AC556" s="401"/>
      <c r="AD556" s="401"/>
      <c r="AE556" s="401"/>
      <c r="AF556" s="401"/>
      <c r="AG556" s="401"/>
      <c r="AH556" s="401"/>
      <c r="AI556" s="401"/>
      <c r="AJ556" s="401"/>
      <c r="AK556" s="401"/>
      <c r="AL556" s="401"/>
    </row>
    <row r="557" spans="1:38" s="154" customFormat="1" ht="20.100000000000001" customHeight="1">
      <c r="A557" s="402"/>
      <c r="B557" s="393"/>
      <c r="C557" s="394"/>
      <c r="D557" s="393"/>
      <c r="E557" s="393"/>
      <c r="F557" s="393"/>
      <c r="G557" s="395"/>
      <c r="H557" s="396"/>
      <c r="I557" s="393"/>
      <c r="J557" s="393"/>
      <c r="K557" s="393"/>
      <c r="L557" s="393"/>
      <c r="M557" s="382"/>
      <c r="N557" s="393"/>
      <c r="O557" s="393"/>
      <c r="P557" s="396"/>
      <c r="Q557" s="393"/>
      <c r="R557" s="393"/>
      <c r="S557" s="393"/>
      <c r="T557" s="393"/>
      <c r="U557" s="393"/>
      <c r="V557" s="393"/>
      <c r="W557" s="393"/>
      <c r="X557" s="393"/>
      <c r="Y557" s="397"/>
      <c r="Z557" s="393"/>
      <c r="AA557" s="393"/>
      <c r="AB557" s="401"/>
      <c r="AC557" s="401"/>
      <c r="AD557" s="401"/>
      <c r="AE557" s="401"/>
      <c r="AF557" s="401"/>
      <c r="AG557" s="401"/>
      <c r="AH557" s="401"/>
      <c r="AI557" s="401"/>
      <c r="AJ557" s="401"/>
      <c r="AK557" s="401"/>
      <c r="AL557" s="401"/>
    </row>
    <row r="558" spans="1:38" s="154" customFormat="1" ht="20.100000000000001" customHeight="1">
      <c r="A558" s="402"/>
      <c r="B558" s="393"/>
      <c r="C558" s="394"/>
      <c r="D558" s="393"/>
      <c r="E558" s="393"/>
      <c r="F558" s="393"/>
      <c r="G558" s="395"/>
      <c r="H558" s="396"/>
      <c r="I558" s="393"/>
      <c r="J558" s="393"/>
      <c r="K558" s="393"/>
      <c r="L558" s="393"/>
      <c r="M558" s="382"/>
      <c r="N558" s="393"/>
      <c r="O558" s="393"/>
      <c r="P558" s="396"/>
      <c r="Q558" s="393"/>
      <c r="R558" s="393"/>
      <c r="S558" s="393"/>
      <c r="T558" s="393"/>
      <c r="U558" s="393"/>
      <c r="V558" s="393"/>
      <c r="W558" s="393"/>
      <c r="X558" s="393"/>
      <c r="Y558" s="397"/>
      <c r="Z558" s="393"/>
      <c r="AA558" s="393"/>
      <c r="AB558" s="401"/>
      <c r="AC558" s="401"/>
      <c r="AD558" s="401"/>
      <c r="AE558" s="401"/>
      <c r="AF558" s="401"/>
      <c r="AG558" s="401"/>
      <c r="AH558" s="401"/>
      <c r="AI558" s="401"/>
      <c r="AJ558" s="401"/>
      <c r="AK558" s="401"/>
      <c r="AL558" s="401"/>
    </row>
    <row r="559" spans="1:38" s="154" customFormat="1" ht="20.100000000000001" customHeight="1">
      <c r="A559" s="402"/>
      <c r="B559" s="393"/>
      <c r="C559" s="394"/>
      <c r="D559" s="393"/>
      <c r="E559" s="393"/>
      <c r="F559" s="393"/>
      <c r="G559" s="395"/>
      <c r="H559" s="396"/>
      <c r="I559" s="393"/>
      <c r="J559" s="393"/>
      <c r="K559" s="393"/>
      <c r="L559" s="393"/>
      <c r="M559" s="382"/>
      <c r="N559" s="393"/>
      <c r="O559" s="393"/>
      <c r="P559" s="396"/>
      <c r="Q559" s="393"/>
      <c r="R559" s="393"/>
      <c r="S559" s="393"/>
      <c r="T559" s="393"/>
      <c r="U559" s="393"/>
      <c r="V559" s="393"/>
      <c r="W559" s="393"/>
      <c r="X559" s="393"/>
      <c r="Y559" s="397"/>
      <c r="Z559" s="393"/>
      <c r="AA559" s="393"/>
      <c r="AB559" s="401"/>
      <c r="AC559" s="401"/>
      <c r="AD559" s="401"/>
      <c r="AE559" s="401"/>
      <c r="AF559" s="401"/>
      <c r="AG559" s="401"/>
      <c r="AH559" s="401"/>
      <c r="AI559" s="401"/>
      <c r="AJ559" s="401"/>
      <c r="AK559" s="401"/>
      <c r="AL559" s="401"/>
    </row>
    <row r="560" spans="1:38" s="154" customFormat="1" ht="20.100000000000001" customHeight="1">
      <c r="A560" s="402"/>
      <c r="B560" s="393"/>
      <c r="C560" s="394"/>
      <c r="D560" s="393"/>
      <c r="E560" s="393"/>
      <c r="F560" s="393"/>
      <c r="G560" s="395"/>
      <c r="H560" s="396"/>
      <c r="I560" s="393"/>
      <c r="J560" s="393"/>
      <c r="K560" s="393"/>
      <c r="L560" s="393"/>
      <c r="M560" s="382"/>
      <c r="N560" s="393"/>
      <c r="O560" s="393"/>
      <c r="P560" s="396"/>
      <c r="Q560" s="393"/>
      <c r="R560" s="393"/>
      <c r="S560" s="393"/>
      <c r="T560" s="393"/>
      <c r="U560" s="393"/>
      <c r="V560" s="393"/>
      <c r="W560" s="393"/>
      <c r="X560" s="393"/>
      <c r="Y560" s="397"/>
      <c r="Z560" s="393"/>
      <c r="AA560" s="393"/>
      <c r="AB560" s="401"/>
      <c r="AC560" s="401"/>
      <c r="AD560" s="401"/>
      <c r="AE560" s="401"/>
      <c r="AF560" s="401"/>
      <c r="AG560" s="401"/>
      <c r="AH560" s="401"/>
      <c r="AI560" s="401"/>
      <c r="AJ560" s="401"/>
      <c r="AK560" s="401"/>
      <c r="AL560" s="401"/>
    </row>
    <row r="561" spans="1:38" s="154" customFormat="1" ht="20.100000000000001" customHeight="1">
      <c r="A561" s="402"/>
      <c r="B561" s="393"/>
      <c r="C561" s="394"/>
      <c r="D561" s="393"/>
      <c r="E561" s="393"/>
      <c r="F561" s="393"/>
      <c r="G561" s="395"/>
      <c r="H561" s="396"/>
      <c r="I561" s="393"/>
      <c r="J561" s="393"/>
      <c r="K561" s="393"/>
      <c r="L561" s="393"/>
      <c r="M561" s="382"/>
      <c r="N561" s="393"/>
      <c r="O561" s="393"/>
      <c r="P561" s="396"/>
      <c r="Q561" s="393"/>
      <c r="R561" s="393"/>
      <c r="S561" s="393"/>
      <c r="T561" s="393"/>
      <c r="U561" s="393"/>
      <c r="V561" s="393"/>
      <c r="W561" s="393"/>
      <c r="X561" s="393"/>
      <c r="Y561" s="397"/>
      <c r="Z561" s="393"/>
      <c r="AA561" s="393"/>
      <c r="AB561" s="401"/>
      <c r="AC561" s="401"/>
      <c r="AD561" s="401"/>
      <c r="AE561" s="401"/>
      <c r="AF561" s="401"/>
      <c r="AG561" s="401"/>
      <c r="AH561" s="401"/>
      <c r="AI561" s="401"/>
      <c r="AJ561" s="401"/>
      <c r="AK561" s="401"/>
      <c r="AL561" s="401"/>
    </row>
    <row r="562" spans="1:38" s="154" customFormat="1" ht="20.100000000000001" customHeight="1">
      <c r="A562" s="402"/>
      <c r="B562" s="393"/>
      <c r="C562" s="394"/>
      <c r="D562" s="393"/>
      <c r="E562" s="393"/>
      <c r="F562" s="393"/>
      <c r="G562" s="395"/>
      <c r="H562" s="396"/>
      <c r="I562" s="393"/>
      <c r="J562" s="393"/>
      <c r="K562" s="393"/>
      <c r="L562" s="393"/>
      <c r="M562" s="382"/>
      <c r="N562" s="393"/>
      <c r="O562" s="393"/>
      <c r="P562" s="396"/>
      <c r="Q562" s="393"/>
      <c r="R562" s="393"/>
      <c r="S562" s="393"/>
      <c r="T562" s="393"/>
      <c r="U562" s="393"/>
      <c r="V562" s="393"/>
      <c r="W562" s="393"/>
      <c r="X562" s="393"/>
      <c r="Y562" s="397"/>
      <c r="Z562" s="393"/>
      <c r="AA562" s="393"/>
      <c r="AB562" s="401"/>
      <c r="AC562" s="401"/>
      <c r="AD562" s="401"/>
      <c r="AE562" s="401"/>
      <c r="AF562" s="401"/>
      <c r="AG562" s="401"/>
      <c r="AH562" s="401"/>
      <c r="AI562" s="401"/>
      <c r="AJ562" s="401"/>
      <c r="AK562" s="401"/>
      <c r="AL562" s="401"/>
    </row>
    <row r="563" spans="1:38" s="154" customFormat="1" ht="20.100000000000001" customHeight="1">
      <c r="A563" s="402"/>
      <c r="B563" s="393"/>
      <c r="C563" s="394"/>
      <c r="D563" s="393"/>
      <c r="E563" s="393"/>
      <c r="F563" s="393"/>
      <c r="G563" s="395"/>
      <c r="H563" s="396"/>
      <c r="I563" s="393"/>
      <c r="J563" s="393"/>
      <c r="K563" s="393"/>
      <c r="L563" s="393"/>
      <c r="M563" s="382"/>
      <c r="N563" s="393"/>
      <c r="O563" s="393"/>
      <c r="P563" s="396"/>
      <c r="Q563" s="393"/>
      <c r="R563" s="393"/>
      <c r="S563" s="393"/>
      <c r="T563" s="393"/>
      <c r="U563" s="393"/>
      <c r="V563" s="393"/>
      <c r="W563" s="393"/>
      <c r="X563" s="393"/>
      <c r="Y563" s="397"/>
      <c r="Z563" s="393"/>
      <c r="AA563" s="393"/>
      <c r="AB563" s="401"/>
      <c r="AC563" s="401"/>
      <c r="AD563" s="401"/>
      <c r="AE563" s="401"/>
      <c r="AF563" s="401"/>
      <c r="AG563" s="401"/>
      <c r="AH563" s="401"/>
      <c r="AI563" s="401"/>
      <c r="AJ563" s="401"/>
      <c r="AK563" s="401"/>
      <c r="AL563" s="401"/>
    </row>
    <row r="564" spans="1:38" s="154" customFormat="1" ht="20.100000000000001" customHeight="1">
      <c r="A564" s="402"/>
      <c r="B564" s="393"/>
      <c r="C564" s="394"/>
      <c r="D564" s="393"/>
      <c r="E564" s="393"/>
      <c r="F564" s="393"/>
      <c r="G564" s="395"/>
      <c r="H564" s="396"/>
      <c r="I564" s="393"/>
      <c r="J564" s="393"/>
      <c r="K564" s="393"/>
      <c r="L564" s="393"/>
      <c r="M564" s="382"/>
      <c r="N564" s="393"/>
      <c r="O564" s="393"/>
      <c r="P564" s="396"/>
      <c r="Q564" s="393"/>
      <c r="R564" s="393"/>
      <c r="S564" s="393"/>
      <c r="T564" s="393"/>
      <c r="U564" s="393"/>
      <c r="V564" s="393"/>
      <c r="W564" s="393"/>
      <c r="X564" s="393"/>
      <c r="Y564" s="397"/>
      <c r="Z564" s="393"/>
      <c r="AA564" s="393"/>
      <c r="AB564" s="401"/>
      <c r="AC564" s="401"/>
      <c r="AD564" s="401"/>
      <c r="AE564" s="401"/>
      <c r="AF564" s="401"/>
      <c r="AG564" s="401"/>
      <c r="AH564" s="401"/>
      <c r="AI564" s="401"/>
      <c r="AJ564" s="401"/>
      <c r="AK564" s="401"/>
      <c r="AL564" s="401"/>
    </row>
    <row r="565" spans="1:38" s="154" customFormat="1" ht="20.100000000000001" customHeight="1">
      <c r="A565" s="402"/>
      <c r="B565" s="393"/>
      <c r="C565" s="394"/>
      <c r="D565" s="393"/>
      <c r="E565" s="393"/>
      <c r="F565" s="393"/>
      <c r="G565" s="395"/>
      <c r="H565" s="396"/>
      <c r="I565" s="393"/>
      <c r="J565" s="393"/>
      <c r="K565" s="393"/>
      <c r="L565" s="393"/>
      <c r="M565" s="382"/>
      <c r="N565" s="393"/>
      <c r="O565" s="393"/>
      <c r="P565" s="396"/>
      <c r="Q565" s="393"/>
      <c r="R565" s="393"/>
      <c r="S565" s="393"/>
      <c r="T565" s="393"/>
      <c r="U565" s="393"/>
      <c r="V565" s="393"/>
      <c r="W565" s="393"/>
      <c r="X565" s="393"/>
      <c r="Y565" s="397"/>
      <c r="Z565" s="393"/>
      <c r="AA565" s="393"/>
      <c r="AB565" s="401"/>
      <c r="AC565" s="401"/>
      <c r="AD565" s="401"/>
      <c r="AE565" s="401"/>
      <c r="AF565" s="401"/>
      <c r="AG565" s="401"/>
      <c r="AH565" s="401"/>
      <c r="AI565" s="401"/>
      <c r="AJ565" s="401"/>
      <c r="AK565" s="401"/>
      <c r="AL565" s="401"/>
    </row>
    <row r="566" spans="1:38" s="154" customFormat="1" ht="20.100000000000001" customHeight="1">
      <c r="A566" s="402"/>
      <c r="B566" s="393"/>
      <c r="C566" s="394"/>
      <c r="D566" s="393"/>
      <c r="E566" s="393"/>
      <c r="F566" s="393"/>
      <c r="G566" s="395"/>
      <c r="H566" s="396"/>
      <c r="I566" s="393"/>
      <c r="J566" s="393"/>
      <c r="K566" s="393"/>
      <c r="L566" s="393"/>
      <c r="M566" s="382"/>
      <c r="N566" s="393"/>
      <c r="O566" s="393"/>
      <c r="P566" s="396"/>
      <c r="Q566" s="393"/>
      <c r="R566" s="393"/>
      <c r="S566" s="393"/>
      <c r="T566" s="393"/>
      <c r="U566" s="393"/>
      <c r="V566" s="393"/>
      <c r="W566" s="393"/>
      <c r="X566" s="393"/>
      <c r="Y566" s="397"/>
      <c r="Z566" s="393"/>
      <c r="AA566" s="393"/>
      <c r="AB566" s="401"/>
      <c r="AC566" s="401"/>
      <c r="AD566" s="401"/>
      <c r="AE566" s="401"/>
      <c r="AF566" s="401"/>
      <c r="AG566" s="401"/>
      <c r="AH566" s="401"/>
      <c r="AI566" s="401"/>
      <c r="AJ566" s="401"/>
      <c r="AK566" s="401"/>
      <c r="AL566" s="401"/>
    </row>
    <row r="567" spans="1:38" s="154" customFormat="1" ht="20.100000000000001" customHeight="1">
      <c r="A567" s="402"/>
      <c r="B567" s="393"/>
      <c r="C567" s="394"/>
      <c r="D567" s="393"/>
      <c r="E567" s="393"/>
      <c r="F567" s="393"/>
      <c r="G567" s="395"/>
      <c r="H567" s="396"/>
      <c r="I567" s="393"/>
      <c r="J567" s="393"/>
      <c r="K567" s="393"/>
      <c r="L567" s="393"/>
      <c r="M567" s="382"/>
      <c r="N567" s="393"/>
      <c r="O567" s="393"/>
      <c r="P567" s="396"/>
      <c r="Q567" s="393"/>
      <c r="R567" s="393"/>
      <c r="S567" s="393"/>
      <c r="T567" s="393"/>
      <c r="U567" s="393"/>
      <c r="V567" s="393"/>
      <c r="W567" s="393"/>
      <c r="X567" s="393"/>
      <c r="Y567" s="397"/>
      <c r="Z567" s="393"/>
      <c r="AA567" s="393"/>
      <c r="AB567" s="401"/>
      <c r="AC567" s="401"/>
      <c r="AD567" s="401"/>
      <c r="AE567" s="401"/>
      <c r="AF567" s="401"/>
      <c r="AG567" s="401"/>
      <c r="AH567" s="401"/>
      <c r="AI567" s="401"/>
      <c r="AJ567" s="401"/>
      <c r="AK567" s="401"/>
      <c r="AL567" s="401"/>
    </row>
    <row r="568" spans="1:38" s="154" customFormat="1" ht="20.100000000000001" customHeight="1">
      <c r="A568" s="402"/>
      <c r="B568" s="393"/>
      <c r="C568" s="394"/>
      <c r="D568" s="393"/>
      <c r="E568" s="393"/>
      <c r="F568" s="393"/>
      <c r="G568" s="395"/>
      <c r="H568" s="396"/>
      <c r="I568" s="393"/>
      <c r="J568" s="393"/>
      <c r="K568" s="393"/>
      <c r="L568" s="393"/>
      <c r="M568" s="382"/>
      <c r="N568" s="393"/>
      <c r="O568" s="393"/>
      <c r="P568" s="396"/>
      <c r="Q568" s="393"/>
      <c r="R568" s="393"/>
      <c r="S568" s="393"/>
      <c r="T568" s="393"/>
      <c r="U568" s="393"/>
      <c r="V568" s="393"/>
      <c r="W568" s="393"/>
      <c r="X568" s="393"/>
      <c r="Y568" s="397"/>
      <c r="Z568" s="393"/>
      <c r="AA568" s="393"/>
      <c r="AB568" s="401"/>
      <c r="AC568" s="401"/>
      <c r="AD568" s="401"/>
      <c r="AE568" s="401"/>
      <c r="AF568" s="401"/>
      <c r="AG568" s="401"/>
      <c r="AH568" s="401"/>
      <c r="AI568" s="401"/>
      <c r="AJ568" s="401"/>
      <c r="AK568" s="401"/>
      <c r="AL568" s="401"/>
    </row>
    <row r="569" spans="1:38" s="154" customFormat="1" ht="20.100000000000001" customHeight="1">
      <c r="A569" s="402"/>
      <c r="B569" s="393"/>
      <c r="C569" s="394"/>
      <c r="D569" s="393"/>
      <c r="E569" s="393"/>
      <c r="F569" s="393"/>
      <c r="G569" s="395"/>
      <c r="H569" s="396"/>
      <c r="I569" s="393"/>
      <c r="J569" s="393"/>
      <c r="K569" s="393"/>
      <c r="L569" s="393"/>
      <c r="M569" s="382"/>
      <c r="N569" s="393"/>
      <c r="O569" s="393"/>
      <c r="P569" s="396"/>
      <c r="Q569" s="393"/>
      <c r="R569" s="393"/>
      <c r="S569" s="393"/>
      <c r="T569" s="393"/>
      <c r="U569" s="393"/>
      <c r="V569" s="393"/>
      <c r="W569" s="393"/>
      <c r="X569" s="393"/>
      <c r="Y569" s="397"/>
      <c r="Z569" s="393"/>
      <c r="AA569" s="393"/>
      <c r="AB569" s="401"/>
      <c r="AC569" s="401"/>
      <c r="AD569" s="401"/>
      <c r="AE569" s="401"/>
      <c r="AF569" s="401"/>
      <c r="AG569" s="401"/>
      <c r="AH569" s="401"/>
      <c r="AI569" s="401"/>
      <c r="AJ569" s="401"/>
      <c r="AK569" s="401"/>
      <c r="AL569" s="401"/>
    </row>
    <row r="570" spans="1:38" s="154" customFormat="1" ht="20.100000000000001" customHeight="1">
      <c r="A570" s="402"/>
      <c r="B570" s="393"/>
      <c r="C570" s="394"/>
      <c r="D570" s="393"/>
      <c r="E570" s="393"/>
      <c r="F570" s="393"/>
      <c r="G570" s="395"/>
      <c r="H570" s="396"/>
      <c r="I570" s="393"/>
      <c r="J570" s="393"/>
      <c r="K570" s="393"/>
      <c r="L570" s="393"/>
      <c r="M570" s="382"/>
      <c r="N570" s="393"/>
      <c r="O570" s="393"/>
      <c r="P570" s="396"/>
      <c r="Q570" s="393"/>
      <c r="R570" s="393"/>
      <c r="S570" s="393"/>
      <c r="T570" s="393"/>
      <c r="U570" s="393"/>
      <c r="V570" s="393"/>
      <c r="W570" s="393"/>
      <c r="X570" s="393"/>
      <c r="Y570" s="397"/>
      <c r="Z570" s="393"/>
      <c r="AA570" s="393"/>
      <c r="AB570" s="401"/>
      <c r="AC570" s="401"/>
      <c r="AD570" s="401"/>
      <c r="AE570" s="401"/>
      <c r="AF570" s="401"/>
      <c r="AG570" s="401"/>
      <c r="AH570" s="401"/>
      <c r="AI570" s="401"/>
      <c r="AJ570" s="401"/>
      <c r="AK570" s="401"/>
      <c r="AL570" s="401"/>
    </row>
    <row r="571" spans="1:38" s="154" customFormat="1" ht="20.100000000000001" customHeight="1">
      <c r="A571" s="402"/>
      <c r="B571" s="393"/>
      <c r="C571" s="394"/>
      <c r="D571" s="393"/>
      <c r="E571" s="393"/>
      <c r="F571" s="393"/>
      <c r="G571" s="395"/>
      <c r="H571" s="396"/>
      <c r="I571" s="393"/>
      <c r="J571" s="393"/>
      <c r="K571" s="393"/>
      <c r="L571" s="393"/>
      <c r="M571" s="382"/>
      <c r="N571" s="393"/>
      <c r="O571" s="393"/>
      <c r="P571" s="396"/>
      <c r="Q571" s="393"/>
      <c r="R571" s="393"/>
      <c r="S571" s="393"/>
      <c r="T571" s="393"/>
      <c r="U571" s="393"/>
      <c r="V571" s="393"/>
      <c r="W571" s="393"/>
      <c r="X571" s="393"/>
      <c r="Y571" s="397"/>
      <c r="Z571" s="393"/>
      <c r="AA571" s="393"/>
      <c r="AB571" s="401"/>
      <c r="AC571" s="401"/>
      <c r="AD571" s="401"/>
      <c r="AE571" s="401"/>
      <c r="AF571" s="401"/>
      <c r="AG571" s="401"/>
      <c r="AH571" s="401"/>
      <c r="AI571" s="401"/>
      <c r="AJ571" s="401"/>
      <c r="AK571" s="401"/>
      <c r="AL571" s="401"/>
    </row>
    <row r="572" spans="1:38" s="154" customFormat="1" ht="20.100000000000001" customHeight="1">
      <c r="A572" s="402"/>
      <c r="B572" s="393"/>
      <c r="C572" s="394"/>
      <c r="D572" s="393"/>
      <c r="E572" s="393"/>
      <c r="F572" s="393"/>
      <c r="G572" s="395"/>
      <c r="H572" s="396"/>
      <c r="I572" s="393"/>
      <c r="J572" s="393"/>
      <c r="K572" s="393"/>
      <c r="L572" s="393"/>
      <c r="M572" s="382"/>
      <c r="N572" s="393"/>
      <c r="O572" s="393"/>
      <c r="P572" s="396"/>
      <c r="Q572" s="393"/>
      <c r="R572" s="393"/>
      <c r="S572" s="393"/>
      <c r="T572" s="393"/>
      <c r="U572" s="393"/>
      <c r="V572" s="393"/>
      <c r="W572" s="393"/>
      <c r="X572" s="393"/>
      <c r="Y572" s="397"/>
      <c r="Z572" s="393"/>
      <c r="AA572" s="393"/>
      <c r="AB572" s="401"/>
      <c r="AC572" s="401"/>
      <c r="AD572" s="401"/>
      <c r="AE572" s="401"/>
      <c r="AF572" s="401"/>
      <c r="AG572" s="401"/>
      <c r="AH572" s="401"/>
      <c r="AI572" s="401"/>
      <c r="AJ572" s="401"/>
      <c r="AK572" s="401"/>
      <c r="AL572" s="401"/>
    </row>
    <row r="573" spans="1:38" s="154" customFormat="1" ht="20.100000000000001" customHeight="1">
      <c r="A573" s="402"/>
      <c r="B573" s="393"/>
      <c r="C573" s="394"/>
      <c r="D573" s="393"/>
      <c r="E573" s="393"/>
      <c r="F573" s="393"/>
      <c r="G573" s="395"/>
      <c r="H573" s="396"/>
      <c r="I573" s="393"/>
      <c r="J573" s="393"/>
      <c r="K573" s="393"/>
      <c r="L573" s="393"/>
      <c r="M573" s="382"/>
      <c r="N573" s="393"/>
      <c r="O573" s="393"/>
      <c r="P573" s="396"/>
      <c r="Q573" s="393"/>
      <c r="R573" s="393"/>
      <c r="S573" s="393"/>
      <c r="T573" s="393"/>
      <c r="U573" s="393"/>
      <c r="V573" s="393"/>
      <c r="W573" s="393"/>
      <c r="X573" s="393"/>
      <c r="Y573" s="397"/>
      <c r="Z573" s="393"/>
      <c r="AA573" s="393"/>
      <c r="AB573" s="401"/>
      <c r="AC573" s="401"/>
      <c r="AD573" s="401"/>
      <c r="AE573" s="401"/>
      <c r="AF573" s="401"/>
      <c r="AG573" s="401"/>
      <c r="AH573" s="401"/>
      <c r="AI573" s="401"/>
      <c r="AJ573" s="401"/>
      <c r="AK573" s="401"/>
      <c r="AL573" s="401"/>
    </row>
    <row r="574" spans="1:38" s="154" customFormat="1" ht="20.100000000000001" customHeight="1">
      <c r="A574" s="402"/>
      <c r="B574" s="393"/>
      <c r="C574" s="394"/>
      <c r="D574" s="393"/>
      <c r="E574" s="393"/>
      <c r="F574" s="393"/>
      <c r="G574" s="395"/>
      <c r="H574" s="396"/>
      <c r="I574" s="393"/>
      <c r="J574" s="393"/>
      <c r="K574" s="393"/>
      <c r="L574" s="393"/>
      <c r="M574" s="382"/>
      <c r="N574" s="393"/>
      <c r="O574" s="393"/>
      <c r="P574" s="396"/>
      <c r="Q574" s="393"/>
      <c r="R574" s="393"/>
      <c r="S574" s="393"/>
      <c r="T574" s="393"/>
      <c r="U574" s="393"/>
      <c r="V574" s="393"/>
      <c r="W574" s="393"/>
      <c r="X574" s="393"/>
      <c r="Y574" s="397"/>
      <c r="Z574" s="393"/>
      <c r="AA574" s="393"/>
      <c r="AB574" s="401"/>
      <c r="AC574" s="401"/>
      <c r="AD574" s="401"/>
      <c r="AE574" s="401"/>
      <c r="AF574" s="401"/>
      <c r="AG574" s="401"/>
      <c r="AH574" s="401"/>
      <c r="AI574" s="401"/>
      <c r="AJ574" s="401"/>
      <c r="AK574" s="401"/>
      <c r="AL574" s="401"/>
    </row>
    <row r="575" spans="1:38" s="154" customFormat="1" ht="20.100000000000001" customHeight="1">
      <c r="A575" s="402"/>
      <c r="B575" s="393"/>
      <c r="C575" s="394"/>
      <c r="D575" s="393"/>
      <c r="E575" s="393"/>
      <c r="F575" s="393"/>
      <c r="G575" s="395"/>
      <c r="H575" s="396"/>
      <c r="I575" s="393"/>
      <c r="J575" s="393"/>
      <c r="K575" s="393"/>
      <c r="L575" s="393"/>
      <c r="M575" s="382"/>
      <c r="N575" s="393"/>
      <c r="O575" s="393"/>
      <c r="P575" s="396"/>
      <c r="Q575" s="393"/>
      <c r="R575" s="393"/>
      <c r="S575" s="393"/>
      <c r="T575" s="393"/>
      <c r="U575" s="393"/>
      <c r="V575" s="393"/>
      <c r="W575" s="393"/>
      <c r="X575" s="393"/>
      <c r="Y575" s="397"/>
      <c r="Z575" s="393"/>
      <c r="AA575" s="393"/>
      <c r="AB575" s="401"/>
      <c r="AC575" s="401"/>
      <c r="AD575" s="401"/>
      <c r="AE575" s="401"/>
      <c r="AF575" s="401"/>
      <c r="AG575" s="401"/>
      <c r="AH575" s="401"/>
      <c r="AI575" s="401"/>
      <c r="AJ575" s="401"/>
      <c r="AK575" s="401"/>
      <c r="AL575" s="401"/>
    </row>
    <row r="576" spans="1:38" s="154" customFormat="1" ht="20.100000000000001" customHeight="1">
      <c r="A576" s="402"/>
      <c r="B576" s="393"/>
      <c r="C576" s="394"/>
      <c r="D576" s="393"/>
      <c r="E576" s="393"/>
      <c r="F576" s="393"/>
      <c r="G576" s="395"/>
      <c r="H576" s="396"/>
      <c r="I576" s="393"/>
      <c r="J576" s="393"/>
      <c r="K576" s="393"/>
      <c r="L576" s="393"/>
      <c r="M576" s="382"/>
      <c r="N576" s="393"/>
      <c r="O576" s="393"/>
      <c r="P576" s="396"/>
      <c r="Q576" s="393"/>
      <c r="R576" s="393"/>
      <c r="S576" s="393"/>
      <c r="T576" s="393"/>
      <c r="U576" s="393"/>
      <c r="V576" s="393"/>
      <c r="W576" s="393"/>
      <c r="X576" s="393"/>
      <c r="Y576" s="397"/>
      <c r="Z576" s="393"/>
      <c r="AA576" s="393"/>
      <c r="AB576" s="401"/>
      <c r="AC576" s="401"/>
      <c r="AD576" s="401"/>
      <c r="AE576" s="401"/>
      <c r="AF576" s="401"/>
      <c r="AG576" s="401"/>
      <c r="AH576" s="401"/>
      <c r="AI576" s="401"/>
      <c r="AJ576" s="401"/>
      <c r="AK576" s="401"/>
      <c r="AL576" s="401"/>
    </row>
    <row r="577" spans="1:38" s="154" customFormat="1" ht="20.100000000000001" customHeight="1">
      <c r="A577" s="402"/>
      <c r="B577" s="393"/>
      <c r="C577" s="394"/>
      <c r="D577" s="393"/>
      <c r="E577" s="393"/>
      <c r="F577" s="393"/>
      <c r="G577" s="395"/>
      <c r="H577" s="396"/>
      <c r="I577" s="393"/>
      <c r="J577" s="393"/>
      <c r="K577" s="393"/>
      <c r="L577" s="393"/>
      <c r="M577" s="382"/>
      <c r="N577" s="393"/>
      <c r="O577" s="393"/>
      <c r="P577" s="396"/>
      <c r="Q577" s="393"/>
      <c r="R577" s="393"/>
      <c r="S577" s="393"/>
      <c r="T577" s="393"/>
      <c r="U577" s="393"/>
      <c r="V577" s="393"/>
      <c r="W577" s="393"/>
      <c r="X577" s="393"/>
      <c r="Y577" s="397"/>
      <c r="Z577" s="393"/>
      <c r="AA577" s="393"/>
      <c r="AB577" s="401"/>
      <c r="AC577" s="401"/>
      <c r="AD577" s="401"/>
      <c r="AE577" s="401"/>
      <c r="AF577" s="401"/>
      <c r="AG577" s="401"/>
      <c r="AH577" s="401"/>
      <c r="AI577" s="401"/>
      <c r="AJ577" s="401"/>
      <c r="AK577" s="401"/>
      <c r="AL577" s="401"/>
    </row>
    <row r="578" spans="1:38" s="154" customFormat="1" ht="20.100000000000001" customHeight="1">
      <c r="A578" s="402"/>
      <c r="B578" s="393"/>
      <c r="C578" s="394"/>
      <c r="D578" s="393"/>
      <c r="E578" s="393"/>
      <c r="F578" s="393"/>
      <c r="G578" s="395"/>
      <c r="H578" s="396"/>
      <c r="I578" s="393"/>
      <c r="J578" s="393"/>
      <c r="K578" s="393"/>
      <c r="L578" s="393"/>
      <c r="M578" s="382"/>
      <c r="N578" s="393"/>
      <c r="O578" s="393"/>
      <c r="P578" s="396"/>
      <c r="Q578" s="393"/>
      <c r="R578" s="393"/>
      <c r="S578" s="393"/>
      <c r="T578" s="393"/>
      <c r="U578" s="393"/>
      <c r="V578" s="393"/>
      <c r="W578" s="393"/>
      <c r="X578" s="393"/>
      <c r="Y578" s="397"/>
      <c r="Z578" s="393"/>
      <c r="AA578" s="393"/>
      <c r="AB578" s="401"/>
      <c r="AC578" s="401"/>
      <c r="AD578" s="401"/>
      <c r="AE578" s="401"/>
      <c r="AF578" s="401"/>
      <c r="AG578" s="401"/>
      <c r="AH578" s="401"/>
      <c r="AI578" s="401"/>
      <c r="AJ578" s="401"/>
      <c r="AK578" s="401"/>
      <c r="AL578" s="401"/>
    </row>
    <row r="579" spans="1:38" s="154" customFormat="1" ht="20.100000000000001" customHeight="1">
      <c r="A579" s="402"/>
      <c r="B579" s="393"/>
      <c r="C579" s="394"/>
      <c r="D579" s="393"/>
      <c r="E579" s="393"/>
      <c r="F579" s="393"/>
      <c r="G579" s="395"/>
      <c r="H579" s="396"/>
      <c r="I579" s="393"/>
      <c r="J579" s="393"/>
      <c r="K579" s="393"/>
      <c r="L579" s="393"/>
      <c r="M579" s="382"/>
      <c r="N579" s="393"/>
      <c r="O579" s="393"/>
      <c r="P579" s="396"/>
      <c r="Q579" s="393"/>
      <c r="R579" s="393"/>
      <c r="S579" s="393"/>
      <c r="T579" s="393"/>
      <c r="U579" s="393"/>
      <c r="V579" s="393"/>
      <c r="W579" s="393"/>
      <c r="X579" s="393"/>
      <c r="Y579" s="397"/>
      <c r="Z579" s="393"/>
      <c r="AA579" s="393"/>
      <c r="AB579" s="401"/>
      <c r="AC579" s="401"/>
      <c r="AD579" s="401"/>
      <c r="AE579" s="401"/>
      <c r="AF579" s="401"/>
      <c r="AG579" s="401"/>
      <c r="AH579" s="401"/>
      <c r="AI579" s="401"/>
      <c r="AJ579" s="401"/>
      <c r="AK579" s="401"/>
      <c r="AL579" s="401"/>
    </row>
    <row r="580" spans="1:38" s="154" customFormat="1" ht="20.100000000000001" customHeight="1">
      <c r="A580" s="402"/>
      <c r="B580" s="393"/>
      <c r="C580" s="394"/>
      <c r="D580" s="393"/>
      <c r="E580" s="393"/>
      <c r="F580" s="393"/>
      <c r="G580" s="395"/>
      <c r="H580" s="396"/>
      <c r="I580" s="393"/>
      <c r="J580" s="393"/>
      <c r="K580" s="393"/>
      <c r="L580" s="393"/>
      <c r="M580" s="382"/>
      <c r="N580" s="393"/>
      <c r="O580" s="393"/>
      <c r="P580" s="396"/>
      <c r="Q580" s="393"/>
      <c r="R580" s="393"/>
      <c r="S580" s="393"/>
      <c r="T580" s="393"/>
      <c r="U580" s="393"/>
      <c r="V580" s="393"/>
      <c r="W580" s="393"/>
      <c r="X580" s="393"/>
      <c r="Y580" s="397"/>
      <c r="Z580" s="393"/>
      <c r="AA580" s="393"/>
      <c r="AB580" s="401"/>
      <c r="AC580" s="401"/>
      <c r="AD580" s="401"/>
      <c r="AE580" s="401"/>
      <c r="AF580" s="401"/>
      <c r="AG580" s="401"/>
      <c r="AH580" s="401"/>
      <c r="AI580" s="401"/>
      <c r="AJ580" s="401"/>
      <c r="AK580" s="401"/>
      <c r="AL580" s="401"/>
    </row>
    <row r="581" spans="1:38" s="154" customFormat="1" ht="20.100000000000001" customHeight="1">
      <c r="A581" s="402"/>
      <c r="B581" s="393"/>
      <c r="C581" s="394"/>
      <c r="D581" s="393"/>
      <c r="E581" s="393"/>
      <c r="F581" s="393"/>
      <c r="G581" s="395"/>
      <c r="H581" s="396"/>
      <c r="I581" s="393"/>
      <c r="J581" s="393"/>
      <c r="K581" s="393"/>
      <c r="L581" s="393"/>
      <c r="M581" s="382"/>
      <c r="N581" s="393"/>
      <c r="O581" s="393"/>
      <c r="P581" s="396"/>
      <c r="Q581" s="393"/>
      <c r="R581" s="393"/>
      <c r="S581" s="393"/>
      <c r="T581" s="393"/>
      <c r="U581" s="393"/>
      <c r="V581" s="393"/>
      <c r="W581" s="393"/>
      <c r="X581" s="393"/>
      <c r="Y581" s="397"/>
      <c r="Z581" s="393"/>
      <c r="AA581" s="393"/>
      <c r="AB581" s="401"/>
      <c r="AC581" s="401"/>
      <c r="AD581" s="401"/>
      <c r="AE581" s="401"/>
      <c r="AF581" s="401"/>
      <c r="AG581" s="401"/>
      <c r="AH581" s="401"/>
      <c r="AI581" s="401"/>
      <c r="AJ581" s="401"/>
      <c r="AK581" s="401"/>
      <c r="AL581" s="401"/>
    </row>
    <row r="582" spans="1:38" s="154" customFormat="1" ht="20.100000000000001" customHeight="1">
      <c r="A582" s="402"/>
      <c r="B582" s="393"/>
      <c r="C582" s="394"/>
      <c r="D582" s="393"/>
      <c r="E582" s="393"/>
      <c r="F582" s="393"/>
      <c r="G582" s="395"/>
      <c r="H582" s="396"/>
      <c r="I582" s="393"/>
      <c r="J582" s="393"/>
      <c r="K582" s="393"/>
      <c r="L582" s="393"/>
      <c r="M582" s="382"/>
      <c r="N582" s="393"/>
      <c r="O582" s="393"/>
      <c r="P582" s="396"/>
      <c r="Q582" s="393"/>
      <c r="R582" s="393"/>
      <c r="S582" s="393"/>
      <c r="T582" s="393"/>
      <c r="U582" s="393"/>
      <c r="V582" s="393"/>
      <c r="W582" s="393"/>
      <c r="X582" s="393"/>
      <c r="Y582" s="397"/>
      <c r="Z582" s="393"/>
      <c r="AA582" s="393"/>
      <c r="AB582" s="401"/>
      <c r="AC582" s="401"/>
      <c r="AD582" s="401"/>
      <c r="AE582" s="401"/>
      <c r="AF582" s="401"/>
      <c r="AG582" s="401"/>
      <c r="AH582" s="401"/>
      <c r="AI582" s="401"/>
      <c r="AJ582" s="401"/>
      <c r="AK582" s="401"/>
      <c r="AL582" s="401"/>
    </row>
    <row r="583" spans="1:38" s="154" customFormat="1" ht="20.100000000000001" customHeight="1">
      <c r="A583" s="402"/>
      <c r="B583" s="393"/>
      <c r="C583" s="394"/>
      <c r="D583" s="393"/>
      <c r="E583" s="393"/>
      <c r="F583" s="393"/>
      <c r="G583" s="395"/>
      <c r="H583" s="396"/>
      <c r="I583" s="393"/>
      <c r="J583" s="393"/>
      <c r="K583" s="393"/>
      <c r="L583" s="393"/>
      <c r="M583" s="382"/>
      <c r="N583" s="393"/>
      <c r="O583" s="393"/>
      <c r="P583" s="396"/>
      <c r="Q583" s="393"/>
      <c r="R583" s="393"/>
      <c r="S583" s="393"/>
      <c r="T583" s="393"/>
      <c r="U583" s="393"/>
      <c r="V583" s="393"/>
      <c r="W583" s="393"/>
      <c r="X583" s="393"/>
      <c r="Y583" s="397"/>
      <c r="Z583" s="393"/>
      <c r="AA583" s="393"/>
      <c r="AB583" s="401"/>
      <c r="AC583" s="401"/>
      <c r="AD583" s="401"/>
      <c r="AE583" s="401"/>
      <c r="AF583" s="401"/>
      <c r="AG583" s="401"/>
      <c r="AH583" s="401"/>
      <c r="AI583" s="401"/>
      <c r="AJ583" s="401"/>
      <c r="AK583" s="401"/>
      <c r="AL583" s="401"/>
    </row>
    <row r="584" spans="1:38" s="154" customFormat="1" ht="20.100000000000001" customHeight="1">
      <c r="A584" s="402"/>
      <c r="B584" s="393"/>
      <c r="C584" s="394"/>
      <c r="D584" s="393"/>
      <c r="E584" s="393"/>
      <c r="F584" s="393"/>
      <c r="G584" s="395"/>
      <c r="H584" s="396"/>
      <c r="I584" s="393"/>
      <c r="J584" s="393"/>
      <c r="K584" s="393"/>
      <c r="L584" s="393"/>
      <c r="M584" s="382"/>
      <c r="N584" s="393"/>
      <c r="O584" s="393"/>
      <c r="P584" s="396"/>
      <c r="Q584" s="393"/>
      <c r="R584" s="393"/>
      <c r="S584" s="393"/>
      <c r="T584" s="393"/>
      <c r="U584" s="393"/>
      <c r="V584" s="393"/>
      <c r="W584" s="393"/>
      <c r="X584" s="393"/>
      <c r="Y584" s="397"/>
      <c r="Z584" s="393"/>
      <c r="AA584" s="393"/>
      <c r="AB584" s="401"/>
      <c r="AC584" s="401"/>
      <c r="AD584" s="401"/>
      <c r="AE584" s="401"/>
      <c r="AF584" s="401"/>
      <c r="AG584" s="401"/>
      <c r="AH584" s="401"/>
      <c r="AI584" s="401"/>
      <c r="AJ584" s="401"/>
      <c r="AK584" s="401"/>
      <c r="AL584" s="401"/>
    </row>
    <row r="585" spans="1:38" s="154" customFormat="1" ht="20.100000000000001" customHeight="1">
      <c r="A585" s="402"/>
      <c r="B585" s="393"/>
      <c r="C585" s="394"/>
      <c r="D585" s="393"/>
      <c r="E585" s="393"/>
      <c r="F585" s="393"/>
      <c r="G585" s="395"/>
      <c r="H585" s="396"/>
      <c r="I585" s="393"/>
      <c r="J585" s="393"/>
      <c r="K585" s="393"/>
      <c r="L585" s="393"/>
      <c r="M585" s="382"/>
      <c r="N585" s="393"/>
      <c r="O585" s="393"/>
      <c r="P585" s="396"/>
      <c r="Q585" s="393"/>
      <c r="R585" s="393"/>
      <c r="S585" s="393"/>
      <c r="T585" s="393"/>
      <c r="U585" s="393"/>
      <c r="V585" s="393"/>
      <c r="W585" s="393"/>
      <c r="X585" s="393"/>
      <c r="Y585" s="397"/>
      <c r="Z585" s="393"/>
      <c r="AA585" s="393"/>
      <c r="AB585" s="401"/>
      <c r="AC585" s="401"/>
      <c r="AD585" s="401"/>
      <c r="AE585" s="401"/>
      <c r="AF585" s="401"/>
      <c r="AG585" s="401"/>
      <c r="AH585" s="401"/>
      <c r="AI585" s="401"/>
      <c r="AJ585" s="401"/>
      <c r="AK585" s="401"/>
      <c r="AL585" s="401"/>
    </row>
    <row r="586" spans="1:38" s="154" customFormat="1" ht="20.100000000000001" customHeight="1">
      <c r="A586" s="402"/>
      <c r="B586" s="393"/>
      <c r="C586" s="394"/>
      <c r="D586" s="393"/>
      <c r="E586" s="393"/>
      <c r="F586" s="393"/>
      <c r="G586" s="395"/>
      <c r="H586" s="396"/>
      <c r="I586" s="393"/>
      <c r="J586" s="393"/>
      <c r="K586" s="393"/>
      <c r="L586" s="393"/>
      <c r="M586" s="382"/>
      <c r="N586" s="393"/>
      <c r="O586" s="393"/>
      <c r="P586" s="396"/>
      <c r="Q586" s="393"/>
      <c r="R586" s="393"/>
      <c r="S586" s="393"/>
      <c r="T586" s="393"/>
      <c r="U586" s="393"/>
      <c r="V586" s="393"/>
      <c r="W586" s="393"/>
      <c r="X586" s="393"/>
      <c r="Y586" s="397"/>
      <c r="Z586" s="393"/>
      <c r="AA586" s="393"/>
      <c r="AB586" s="401"/>
      <c r="AC586" s="401"/>
      <c r="AD586" s="401"/>
      <c r="AE586" s="401"/>
      <c r="AF586" s="401"/>
      <c r="AG586" s="401"/>
      <c r="AH586" s="401"/>
      <c r="AI586" s="401"/>
      <c r="AJ586" s="401"/>
      <c r="AK586" s="401"/>
      <c r="AL586" s="401"/>
    </row>
    <row r="587" spans="1:38" s="154" customFormat="1" ht="20.100000000000001" customHeight="1">
      <c r="A587" s="402"/>
      <c r="B587" s="393"/>
      <c r="C587" s="394"/>
      <c r="D587" s="393"/>
      <c r="E587" s="393"/>
      <c r="F587" s="393"/>
      <c r="G587" s="395"/>
      <c r="H587" s="396"/>
      <c r="I587" s="393"/>
      <c r="J587" s="393"/>
      <c r="K587" s="393"/>
      <c r="L587" s="393"/>
      <c r="M587" s="382"/>
      <c r="N587" s="393"/>
      <c r="O587" s="393"/>
      <c r="P587" s="396"/>
      <c r="Q587" s="393"/>
      <c r="R587" s="393"/>
      <c r="S587" s="393"/>
      <c r="T587" s="393"/>
      <c r="U587" s="393"/>
      <c r="V587" s="393"/>
      <c r="W587" s="393"/>
      <c r="X587" s="393"/>
      <c r="Y587" s="397"/>
      <c r="Z587" s="393"/>
      <c r="AA587" s="393"/>
      <c r="AB587" s="401"/>
      <c r="AC587" s="401"/>
      <c r="AD587" s="401"/>
      <c r="AE587" s="401"/>
      <c r="AF587" s="401"/>
      <c r="AG587" s="401"/>
      <c r="AH587" s="401"/>
      <c r="AI587" s="401"/>
      <c r="AJ587" s="401"/>
      <c r="AK587" s="401"/>
      <c r="AL587" s="401"/>
    </row>
    <row r="588" spans="1:38" s="154" customFormat="1" ht="20.100000000000001" customHeight="1">
      <c r="A588" s="402"/>
      <c r="B588" s="393"/>
      <c r="C588" s="394"/>
      <c r="D588" s="393"/>
      <c r="E588" s="393"/>
      <c r="F588" s="393"/>
      <c r="G588" s="395"/>
      <c r="H588" s="396"/>
      <c r="I588" s="393"/>
      <c r="J588" s="393"/>
      <c r="K588" s="393"/>
      <c r="L588" s="393"/>
      <c r="M588" s="382"/>
      <c r="N588" s="393"/>
      <c r="O588" s="393"/>
      <c r="P588" s="396"/>
      <c r="Q588" s="393"/>
      <c r="R588" s="393"/>
      <c r="S588" s="393"/>
      <c r="T588" s="393"/>
      <c r="U588" s="393"/>
      <c r="V588" s="393"/>
      <c r="W588" s="393"/>
      <c r="X588" s="393"/>
      <c r="Y588" s="397"/>
      <c r="Z588" s="393"/>
      <c r="AA588" s="393"/>
      <c r="AB588" s="401"/>
      <c r="AC588" s="401"/>
      <c r="AD588" s="401"/>
      <c r="AE588" s="401"/>
      <c r="AF588" s="401"/>
      <c r="AG588" s="401"/>
      <c r="AH588" s="401"/>
      <c r="AI588" s="401"/>
      <c r="AJ588" s="401"/>
      <c r="AK588" s="401"/>
      <c r="AL588" s="401"/>
    </row>
    <row r="589" spans="1:38" s="154" customFormat="1" ht="20.100000000000001" customHeight="1">
      <c r="A589" s="402"/>
      <c r="B589" s="393"/>
      <c r="C589" s="394"/>
      <c r="D589" s="393"/>
      <c r="E589" s="393"/>
      <c r="F589" s="393"/>
      <c r="G589" s="395"/>
      <c r="H589" s="396"/>
      <c r="I589" s="393"/>
      <c r="J589" s="393"/>
      <c r="K589" s="393"/>
      <c r="L589" s="393"/>
      <c r="M589" s="382"/>
      <c r="N589" s="393"/>
      <c r="O589" s="393"/>
      <c r="P589" s="396"/>
      <c r="Q589" s="393"/>
      <c r="R589" s="393"/>
      <c r="S589" s="393"/>
      <c r="T589" s="393"/>
      <c r="U589" s="393"/>
      <c r="V589" s="393"/>
      <c r="W589" s="393"/>
      <c r="X589" s="393"/>
      <c r="Y589" s="397"/>
      <c r="Z589" s="393"/>
      <c r="AA589" s="393"/>
      <c r="AB589" s="401"/>
      <c r="AC589" s="401"/>
      <c r="AD589" s="401"/>
      <c r="AE589" s="401"/>
      <c r="AF589" s="401"/>
      <c r="AG589" s="401"/>
      <c r="AH589" s="401"/>
      <c r="AI589" s="401"/>
      <c r="AJ589" s="401"/>
      <c r="AK589" s="401"/>
      <c r="AL589" s="401"/>
    </row>
    <row r="590" spans="1:38" s="154" customFormat="1" ht="20.100000000000001" customHeight="1">
      <c r="A590" s="402"/>
      <c r="B590" s="393"/>
      <c r="C590" s="394"/>
      <c r="D590" s="393"/>
      <c r="E590" s="393"/>
      <c r="F590" s="393"/>
      <c r="G590" s="395"/>
      <c r="H590" s="396"/>
      <c r="I590" s="393"/>
      <c r="J590" s="393"/>
      <c r="K590" s="393"/>
      <c r="L590" s="393"/>
      <c r="M590" s="382"/>
      <c r="N590" s="393"/>
      <c r="O590" s="393"/>
      <c r="P590" s="396"/>
      <c r="Q590" s="393"/>
      <c r="R590" s="393"/>
      <c r="S590" s="393"/>
      <c r="T590" s="393"/>
      <c r="U590" s="393"/>
      <c r="V590" s="393"/>
      <c r="W590" s="393"/>
      <c r="X590" s="393"/>
      <c r="Y590" s="397"/>
      <c r="Z590" s="393"/>
      <c r="AA590" s="393"/>
      <c r="AB590" s="401"/>
      <c r="AC590" s="401"/>
      <c r="AD590" s="401"/>
      <c r="AE590" s="401"/>
      <c r="AF590" s="401"/>
      <c r="AG590" s="401"/>
      <c r="AH590" s="401"/>
      <c r="AI590" s="401"/>
      <c r="AJ590" s="401"/>
      <c r="AK590" s="401"/>
      <c r="AL590" s="401"/>
    </row>
    <row r="591" spans="1:38" s="154" customFormat="1" ht="20.100000000000001" customHeight="1">
      <c r="A591" s="402"/>
      <c r="B591" s="393"/>
      <c r="C591" s="394"/>
      <c r="D591" s="393"/>
      <c r="E591" s="393"/>
      <c r="F591" s="393"/>
      <c r="G591" s="395"/>
      <c r="H591" s="396"/>
      <c r="I591" s="393"/>
      <c r="J591" s="393"/>
      <c r="K591" s="393"/>
      <c r="L591" s="393"/>
      <c r="M591" s="382"/>
      <c r="N591" s="393"/>
      <c r="O591" s="393"/>
      <c r="P591" s="396"/>
      <c r="Q591" s="393"/>
      <c r="R591" s="393"/>
      <c r="S591" s="393"/>
      <c r="T591" s="393"/>
      <c r="U591" s="393"/>
      <c r="V591" s="393"/>
      <c r="W591" s="393"/>
      <c r="X591" s="393"/>
      <c r="Y591" s="397"/>
      <c r="Z591" s="393"/>
      <c r="AA591" s="393"/>
      <c r="AB591" s="401"/>
      <c r="AC591" s="401"/>
      <c r="AD591" s="401"/>
      <c r="AE591" s="401"/>
      <c r="AF591" s="401"/>
      <c r="AG591" s="401"/>
      <c r="AH591" s="401"/>
      <c r="AI591" s="401"/>
      <c r="AJ591" s="401"/>
      <c r="AK591" s="401"/>
      <c r="AL591" s="401"/>
    </row>
    <row r="592" spans="1:38" s="154" customFormat="1" ht="20.100000000000001" customHeight="1">
      <c r="A592" s="402"/>
      <c r="B592" s="393"/>
      <c r="C592" s="394"/>
      <c r="D592" s="393"/>
      <c r="E592" s="393"/>
      <c r="F592" s="393"/>
      <c r="G592" s="395"/>
      <c r="H592" s="396"/>
      <c r="I592" s="393"/>
      <c r="J592" s="393"/>
      <c r="K592" s="393"/>
      <c r="L592" s="393"/>
      <c r="M592" s="382"/>
      <c r="N592" s="393"/>
      <c r="O592" s="393"/>
      <c r="P592" s="396"/>
      <c r="Q592" s="393"/>
      <c r="R592" s="393"/>
      <c r="S592" s="393"/>
      <c r="T592" s="393"/>
      <c r="U592" s="393"/>
      <c r="V592" s="393"/>
      <c r="W592" s="393"/>
      <c r="X592" s="393"/>
      <c r="Y592" s="397"/>
      <c r="Z592" s="393"/>
      <c r="AA592" s="393"/>
      <c r="AB592" s="401"/>
      <c r="AC592" s="401"/>
      <c r="AD592" s="401"/>
      <c r="AE592" s="401"/>
      <c r="AF592" s="401"/>
      <c r="AG592" s="401"/>
      <c r="AH592" s="401"/>
      <c r="AI592" s="401"/>
      <c r="AJ592" s="401"/>
      <c r="AK592" s="401"/>
      <c r="AL592" s="401"/>
    </row>
    <row r="593" spans="1:38" s="154" customFormat="1" ht="20.100000000000001" customHeight="1">
      <c r="A593" s="402"/>
      <c r="B593" s="393"/>
      <c r="C593" s="394"/>
      <c r="D593" s="393"/>
      <c r="E593" s="393"/>
      <c r="F593" s="393"/>
      <c r="G593" s="395"/>
      <c r="H593" s="396"/>
      <c r="I593" s="393"/>
      <c r="J593" s="393"/>
      <c r="K593" s="393"/>
      <c r="L593" s="393"/>
      <c r="M593" s="382"/>
      <c r="N593" s="393"/>
      <c r="O593" s="393"/>
      <c r="P593" s="396"/>
      <c r="Q593" s="393"/>
      <c r="R593" s="393"/>
      <c r="S593" s="393"/>
      <c r="T593" s="393"/>
      <c r="U593" s="393"/>
      <c r="V593" s="393"/>
      <c r="W593" s="393"/>
      <c r="X593" s="393"/>
      <c r="Y593" s="397"/>
      <c r="Z593" s="393"/>
      <c r="AA593" s="393"/>
      <c r="AB593" s="401"/>
      <c r="AC593" s="401"/>
      <c r="AD593" s="401"/>
      <c r="AE593" s="401"/>
      <c r="AF593" s="401"/>
      <c r="AG593" s="401"/>
      <c r="AH593" s="401"/>
      <c r="AI593" s="401"/>
      <c r="AJ593" s="401"/>
      <c r="AK593" s="401"/>
      <c r="AL593" s="401"/>
    </row>
    <row r="594" spans="1:38" s="154" customFormat="1" ht="20.100000000000001" customHeight="1">
      <c r="A594" s="402"/>
      <c r="B594" s="393"/>
      <c r="C594" s="394"/>
      <c r="D594" s="393"/>
      <c r="E594" s="393"/>
      <c r="F594" s="393"/>
      <c r="G594" s="395"/>
      <c r="H594" s="396"/>
      <c r="I594" s="393"/>
      <c r="J594" s="393"/>
      <c r="K594" s="393"/>
      <c r="L594" s="393"/>
      <c r="M594" s="382"/>
      <c r="N594" s="393"/>
      <c r="O594" s="393"/>
      <c r="P594" s="396"/>
      <c r="Q594" s="393"/>
      <c r="R594" s="393"/>
      <c r="S594" s="393"/>
      <c r="T594" s="393"/>
      <c r="U594" s="393"/>
      <c r="V594" s="393"/>
      <c r="W594" s="393"/>
      <c r="X594" s="393"/>
      <c r="Y594" s="397"/>
      <c r="Z594" s="393"/>
      <c r="AA594" s="393"/>
      <c r="AB594" s="401"/>
      <c r="AC594" s="401"/>
      <c r="AD594" s="401"/>
      <c r="AE594" s="401"/>
      <c r="AF594" s="401"/>
      <c r="AG594" s="401"/>
      <c r="AH594" s="401"/>
      <c r="AI594" s="401"/>
      <c r="AJ594" s="401"/>
      <c r="AK594" s="401"/>
      <c r="AL594" s="401"/>
    </row>
    <row r="595" spans="1:38" s="154" customFormat="1" ht="20.100000000000001" customHeight="1">
      <c r="A595" s="402"/>
      <c r="B595" s="393"/>
      <c r="C595" s="394"/>
      <c r="D595" s="393"/>
      <c r="E595" s="393"/>
      <c r="F595" s="393"/>
      <c r="G595" s="395"/>
      <c r="H595" s="396"/>
      <c r="I595" s="393"/>
      <c r="J595" s="393"/>
      <c r="K595" s="393"/>
      <c r="L595" s="393"/>
      <c r="M595" s="382"/>
      <c r="N595" s="393"/>
      <c r="O595" s="393"/>
      <c r="P595" s="396"/>
      <c r="Q595" s="393"/>
      <c r="R595" s="393"/>
      <c r="S595" s="393"/>
      <c r="T595" s="393"/>
      <c r="U595" s="393"/>
      <c r="V595" s="393"/>
      <c r="W595" s="393"/>
      <c r="X595" s="393"/>
      <c r="Y595" s="397"/>
      <c r="Z595" s="393"/>
      <c r="AA595" s="393"/>
      <c r="AB595" s="401"/>
      <c r="AC595" s="401"/>
      <c r="AD595" s="401"/>
      <c r="AE595" s="401"/>
      <c r="AF595" s="401"/>
      <c r="AG595" s="401"/>
      <c r="AH595" s="401"/>
      <c r="AI595" s="401"/>
      <c r="AJ595" s="401"/>
      <c r="AK595" s="401"/>
      <c r="AL595" s="401"/>
    </row>
    <row r="596" spans="1:38" s="154" customFormat="1" ht="20.100000000000001" customHeight="1">
      <c r="A596" s="402"/>
      <c r="B596" s="393"/>
      <c r="C596" s="394"/>
      <c r="D596" s="393"/>
      <c r="E596" s="393"/>
      <c r="F596" s="393"/>
      <c r="G596" s="395"/>
      <c r="H596" s="396"/>
      <c r="I596" s="393"/>
      <c r="J596" s="393"/>
      <c r="K596" s="393"/>
      <c r="L596" s="393"/>
      <c r="M596" s="382"/>
      <c r="N596" s="393"/>
      <c r="O596" s="393"/>
      <c r="P596" s="396"/>
      <c r="Q596" s="393"/>
      <c r="R596" s="393"/>
      <c r="S596" s="393"/>
      <c r="T596" s="393"/>
      <c r="U596" s="393"/>
      <c r="V596" s="393"/>
      <c r="W596" s="393"/>
      <c r="X596" s="393"/>
      <c r="Y596" s="397"/>
      <c r="Z596" s="393"/>
      <c r="AA596" s="393"/>
      <c r="AB596" s="401"/>
      <c r="AC596" s="401"/>
      <c r="AD596" s="401"/>
      <c r="AE596" s="401"/>
      <c r="AF596" s="401"/>
      <c r="AG596" s="401"/>
      <c r="AH596" s="401"/>
      <c r="AI596" s="401"/>
      <c r="AJ596" s="401"/>
      <c r="AK596" s="401"/>
      <c r="AL596" s="401"/>
    </row>
    <row r="597" spans="1:38" s="154" customFormat="1" ht="20.100000000000001" customHeight="1">
      <c r="A597" s="402"/>
      <c r="B597" s="393"/>
      <c r="C597" s="394"/>
      <c r="D597" s="393"/>
      <c r="E597" s="393"/>
      <c r="F597" s="393"/>
      <c r="G597" s="395"/>
      <c r="H597" s="396"/>
      <c r="I597" s="393"/>
      <c r="J597" s="393"/>
      <c r="K597" s="393"/>
      <c r="L597" s="393"/>
      <c r="M597" s="382"/>
      <c r="N597" s="393"/>
      <c r="O597" s="393"/>
      <c r="P597" s="396"/>
      <c r="Q597" s="393"/>
      <c r="R597" s="393"/>
      <c r="S597" s="393"/>
      <c r="T597" s="393"/>
      <c r="U597" s="393"/>
      <c r="V597" s="393"/>
      <c r="W597" s="393"/>
      <c r="X597" s="393"/>
      <c r="Y597" s="397"/>
      <c r="Z597" s="393"/>
      <c r="AA597" s="393"/>
      <c r="AB597" s="401"/>
      <c r="AC597" s="401"/>
      <c r="AD597" s="401"/>
      <c r="AE597" s="401"/>
      <c r="AF597" s="401"/>
      <c r="AG597" s="401"/>
      <c r="AH597" s="401"/>
      <c r="AI597" s="401"/>
      <c r="AJ597" s="401"/>
      <c r="AK597" s="401"/>
      <c r="AL597" s="401"/>
    </row>
    <row r="598" spans="1:38" s="154" customFormat="1" ht="20.100000000000001" customHeight="1">
      <c r="A598" s="402"/>
      <c r="B598" s="393"/>
      <c r="C598" s="394"/>
      <c r="D598" s="393"/>
      <c r="E598" s="393"/>
      <c r="F598" s="393"/>
      <c r="G598" s="395"/>
      <c r="H598" s="396"/>
      <c r="I598" s="393"/>
      <c r="J598" s="393"/>
      <c r="K598" s="393"/>
      <c r="L598" s="393"/>
      <c r="M598" s="382"/>
      <c r="N598" s="393"/>
      <c r="O598" s="393"/>
      <c r="P598" s="396"/>
      <c r="Q598" s="393"/>
      <c r="R598" s="393"/>
      <c r="S598" s="393"/>
      <c r="T598" s="393"/>
      <c r="U598" s="393"/>
      <c r="V598" s="393"/>
      <c r="W598" s="393"/>
      <c r="X598" s="393"/>
      <c r="Y598" s="397"/>
      <c r="Z598" s="393"/>
      <c r="AA598" s="393"/>
      <c r="AB598" s="401"/>
      <c r="AC598" s="401"/>
      <c r="AD598" s="401"/>
      <c r="AE598" s="401"/>
      <c r="AF598" s="401"/>
      <c r="AG598" s="401"/>
      <c r="AH598" s="401"/>
      <c r="AI598" s="401"/>
      <c r="AJ598" s="401"/>
      <c r="AK598" s="401"/>
      <c r="AL598" s="401"/>
    </row>
    <row r="599" spans="1:38" s="154" customFormat="1" ht="20.100000000000001" customHeight="1">
      <c r="A599" s="402"/>
      <c r="B599" s="393"/>
      <c r="C599" s="394"/>
      <c r="D599" s="393"/>
      <c r="E599" s="393"/>
      <c r="F599" s="393"/>
      <c r="G599" s="395"/>
      <c r="H599" s="396"/>
      <c r="I599" s="393"/>
      <c r="J599" s="393"/>
      <c r="K599" s="393"/>
      <c r="L599" s="393"/>
      <c r="M599" s="382"/>
      <c r="N599" s="393"/>
      <c r="O599" s="393"/>
      <c r="P599" s="396"/>
      <c r="Q599" s="393"/>
      <c r="R599" s="393"/>
      <c r="S599" s="393"/>
      <c r="T599" s="393"/>
      <c r="U599" s="393"/>
      <c r="V599" s="393"/>
      <c r="W599" s="393"/>
      <c r="X599" s="393"/>
      <c r="Y599" s="397"/>
      <c r="Z599" s="393"/>
      <c r="AA599" s="393"/>
      <c r="AB599" s="401"/>
      <c r="AC599" s="401"/>
      <c r="AD599" s="401"/>
      <c r="AE599" s="401"/>
      <c r="AF599" s="401"/>
      <c r="AG599" s="401"/>
      <c r="AH599" s="401"/>
      <c r="AI599" s="401"/>
      <c r="AJ599" s="401"/>
      <c r="AK599" s="401"/>
      <c r="AL599" s="401"/>
    </row>
    <row r="600" spans="1:38" s="154" customFormat="1" ht="20.100000000000001" customHeight="1">
      <c r="A600" s="402"/>
      <c r="B600" s="393"/>
      <c r="C600" s="394"/>
      <c r="D600" s="393"/>
      <c r="E600" s="393"/>
      <c r="F600" s="393"/>
      <c r="G600" s="395"/>
      <c r="H600" s="396"/>
      <c r="I600" s="393"/>
      <c r="J600" s="393"/>
      <c r="K600" s="393"/>
      <c r="L600" s="393"/>
      <c r="M600" s="382"/>
      <c r="N600" s="393"/>
      <c r="O600" s="393"/>
      <c r="P600" s="396"/>
      <c r="Q600" s="393"/>
      <c r="R600" s="393"/>
      <c r="S600" s="393"/>
      <c r="T600" s="393"/>
      <c r="U600" s="393"/>
      <c r="V600" s="393"/>
      <c r="W600" s="393"/>
      <c r="X600" s="393"/>
      <c r="Y600" s="397"/>
      <c r="Z600" s="393"/>
      <c r="AA600" s="393"/>
      <c r="AB600" s="401"/>
      <c r="AC600" s="401"/>
      <c r="AD600" s="401"/>
      <c r="AE600" s="401"/>
      <c r="AF600" s="401"/>
      <c r="AG600" s="401"/>
      <c r="AH600" s="401"/>
      <c r="AI600" s="401"/>
      <c r="AJ600" s="401"/>
      <c r="AK600" s="401"/>
      <c r="AL600" s="401"/>
    </row>
    <row r="601" spans="1:38" s="154" customFormat="1" ht="20.100000000000001" customHeight="1">
      <c r="A601" s="402"/>
      <c r="B601" s="393"/>
      <c r="C601" s="394"/>
      <c r="D601" s="393"/>
      <c r="E601" s="393"/>
      <c r="F601" s="393"/>
      <c r="G601" s="395"/>
      <c r="H601" s="396"/>
      <c r="I601" s="393"/>
      <c r="J601" s="393"/>
      <c r="K601" s="393"/>
      <c r="L601" s="393"/>
      <c r="M601" s="382"/>
      <c r="N601" s="393"/>
      <c r="O601" s="393"/>
      <c r="P601" s="396"/>
      <c r="Q601" s="393"/>
      <c r="R601" s="393"/>
      <c r="S601" s="393"/>
      <c r="T601" s="393"/>
      <c r="U601" s="393"/>
      <c r="V601" s="393"/>
      <c r="W601" s="393"/>
      <c r="X601" s="393"/>
      <c r="Y601" s="397"/>
      <c r="Z601" s="393"/>
      <c r="AA601" s="393"/>
      <c r="AB601" s="401"/>
      <c r="AC601" s="401"/>
      <c r="AD601" s="401"/>
      <c r="AE601" s="401"/>
      <c r="AF601" s="401"/>
      <c r="AG601" s="401"/>
      <c r="AH601" s="401"/>
      <c r="AI601" s="401"/>
      <c r="AJ601" s="401"/>
      <c r="AK601" s="401"/>
      <c r="AL601" s="401"/>
    </row>
    <row r="602" spans="1:38" s="154" customFormat="1" ht="20.100000000000001" customHeight="1">
      <c r="A602" s="402"/>
      <c r="B602" s="393"/>
      <c r="C602" s="394"/>
      <c r="D602" s="393"/>
      <c r="E602" s="393"/>
      <c r="F602" s="393"/>
      <c r="G602" s="395"/>
      <c r="H602" s="396"/>
      <c r="I602" s="393"/>
      <c r="J602" s="393"/>
      <c r="K602" s="393"/>
      <c r="L602" s="393"/>
      <c r="M602" s="382"/>
      <c r="N602" s="393"/>
      <c r="O602" s="393"/>
      <c r="P602" s="396"/>
      <c r="Q602" s="393"/>
      <c r="R602" s="393"/>
      <c r="S602" s="393"/>
      <c r="T602" s="393"/>
      <c r="U602" s="393"/>
      <c r="V602" s="393"/>
      <c r="W602" s="393"/>
      <c r="X602" s="393"/>
      <c r="Y602" s="397"/>
      <c r="Z602" s="393"/>
      <c r="AA602" s="393"/>
      <c r="AB602" s="401"/>
      <c r="AC602" s="401"/>
      <c r="AD602" s="401"/>
      <c r="AE602" s="401"/>
      <c r="AF602" s="401"/>
      <c r="AG602" s="401"/>
      <c r="AH602" s="401"/>
      <c r="AI602" s="401"/>
      <c r="AJ602" s="401"/>
      <c r="AK602" s="401"/>
      <c r="AL602" s="401"/>
    </row>
    <row r="603" spans="1:38" s="154" customFormat="1" ht="20.100000000000001" customHeight="1">
      <c r="A603" s="402"/>
      <c r="B603" s="393"/>
      <c r="C603" s="394"/>
      <c r="D603" s="393"/>
      <c r="E603" s="393"/>
      <c r="F603" s="393"/>
      <c r="G603" s="395"/>
      <c r="H603" s="396"/>
      <c r="I603" s="393"/>
      <c r="J603" s="393"/>
      <c r="K603" s="393"/>
      <c r="L603" s="393"/>
      <c r="M603" s="382"/>
      <c r="N603" s="393"/>
      <c r="O603" s="393"/>
      <c r="P603" s="396"/>
      <c r="Q603" s="393"/>
      <c r="R603" s="393"/>
      <c r="S603" s="393"/>
      <c r="T603" s="393"/>
      <c r="U603" s="393"/>
      <c r="V603" s="393"/>
      <c r="W603" s="393"/>
      <c r="X603" s="393"/>
      <c r="Y603" s="397"/>
      <c r="Z603" s="393"/>
      <c r="AA603" s="393"/>
      <c r="AB603" s="401"/>
      <c r="AC603" s="401"/>
      <c r="AD603" s="401"/>
      <c r="AE603" s="401"/>
      <c r="AF603" s="401"/>
      <c r="AG603" s="401"/>
      <c r="AH603" s="401"/>
      <c r="AI603" s="401"/>
      <c r="AJ603" s="401"/>
      <c r="AK603" s="401"/>
      <c r="AL603" s="401"/>
    </row>
    <row r="604" spans="1:38" s="154" customFormat="1" ht="20.100000000000001" customHeight="1">
      <c r="A604" s="402"/>
      <c r="B604" s="393"/>
      <c r="C604" s="394"/>
      <c r="D604" s="393"/>
      <c r="E604" s="393"/>
      <c r="F604" s="393"/>
      <c r="G604" s="395"/>
      <c r="H604" s="396"/>
      <c r="I604" s="393"/>
      <c r="J604" s="393"/>
      <c r="K604" s="393"/>
      <c r="L604" s="393"/>
      <c r="M604" s="382"/>
      <c r="N604" s="393"/>
      <c r="O604" s="393"/>
      <c r="P604" s="396"/>
      <c r="Q604" s="393"/>
      <c r="R604" s="393"/>
      <c r="S604" s="393"/>
      <c r="T604" s="393"/>
      <c r="U604" s="393"/>
      <c r="V604" s="393"/>
      <c r="W604" s="393"/>
      <c r="X604" s="393"/>
      <c r="Y604" s="397"/>
      <c r="Z604" s="393"/>
      <c r="AA604" s="393"/>
      <c r="AB604" s="401"/>
      <c r="AC604" s="401"/>
      <c r="AD604" s="401"/>
      <c r="AE604" s="401"/>
      <c r="AF604" s="401"/>
      <c r="AG604" s="401"/>
      <c r="AH604" s="401"/>
      <c r="AI604" s="401"/>
      <c r="AJ604" s="401"/>
      <c r="AK604" s="401"/>
      <c r="AL604" s="401"/>
    </row>
    <row r="605" spans="1:38" s="154" customFormat="1" ht="20.100000000000001" customHeight="1">
      <c r="A605" s="402"/>
      <c r="B605" s="393"/>
      <c r="C605" s="394"/>
      <c r="D605" s="393"/>
      <c r="E605" s="393"/>
      <c r="F605" s="393"/>
      <c r="G605" s="395"/>
      <c r="H605" s="396"/>
      <c r="I605" s="393"/>
      <c r="J605" s="393"/>
      <c r="K605" s="393"/>
      <c r="L605" s="393"/>
      <c r="M605" s="382"/>
      <c r="N605" s="393"/>
      <c r="O605" s="393"/>
      <c r="P605" s="396"/>
      <c r="Q605" s="393"/>
      <c r="R605" s="393"/>
      <c r="S605" s="393"/>
      <c r="T605" s="393"/>
      <c r="U605" s="393"/>
      <c r="V605" s="393"/>
      <c r="W605" s="393"/>
      <c r="X605" s="393"/>
      <c r="Y605" s="397"/>
      <c r="Z605" s="393"/>
      <c r="AA605" s="393"/>
      <c r="AB605" s="401"/>
      <c r="AC605" s="401"/>
      <c r="AD605" s="401"/>
      <c r="AE605" s="401"/>
      <c r="AF605" s="401"/>
      <c r="AG605" s="401"/>
      <c r="AH605" s="401"/>
      <c r="AI605" s="401"/>
      <c r="AJ605" s="401"/>
      <c r="AK605" s="401"/>
      <c r="AL605" s="401"/>
    </row>
    <row r="606" spans="1:38" s="154" customFormat="1" ht="20.100000000000001" customHeight="1">
      <c r="A606" s="402"/>
      <c r="B606" s="393"/>
      <c r="C606" s="394"/>
      <c r="D606" s="393"/>
      <c r="E606" s="393"/>
      <c r="F606" s="393"/>
      <c r="G606" s="395"/>
      <c r="H606" s="396"/>
      <c r="I606" s="393"/>
      <c r="J606" s="393"/>
      <c r="K606" s="393"/>
      <c r="L606" s="393"/>
      <c r="M606" s="382"/>
      <c r="N606" s="393"/>
      <c r="O606" s="393"/>
      <c r="P606" s="396"/>
      <c r="Q606" s="393"/>
      <c r="R606" s="393"/>
      <c r="S606" s="393"/>
      <c r="T606" s="393"/>
      <c r="U606" s="393"/>
      <c r="V606" s="393"/>
      <c r="W606" s="393"/>
      <c r="X606" s="393"/>
      <c r="Y606" s="397"/>
      <c r="Z606" s="393"/>
      <c r="AA606" s="393"/>
      <c r="AB606" s="401"/>
      <c r="AC606" s="401"/>
      <c r="AD606" s="401"/>
      <c r="AE606" s="401"/>
      <c r="AF606" s="401"/>
      <c r="AG606" s="401"/>
      <c r="AH606" s="401"/>
      <c r="AI606" s="401"/>
      <c r="AJ606" s="401"/>
      <c r="AK606" s="401"/>
      <c r="AL606" s="401"/>
    </row>
    <row r="607" spans="1:38" s="154" customFormat="1" ht="20.100000000000001" customHeight="1">
      <c r="A607" s="402"/>
      <c r="B607" s="393"/>
      <c r="C607" s="394"/>
      <c r="D607" s="393"/>
      <c r="E607" s="393"/>
      <c r="F607" s="393"/>
      <c r="G607" s="395"/>
      <c r="H607" s="396"/>
      <c r="I607" s="393"/>
      <c r="J607" s="393"/>
      <c r="K607" s="393"/>
      <c r="L607" s="393"/>
      <c r="M607" s="382"/>
      <c r="N607" s="393"/>
      <c r="O607" s="393"/>
      <c r="P607" s="396"/>
      <c r="Q607" s="393"/>
      <c r="R607" s="393"/>
      <c r="S607" s="393"/>
      <c r="T607" s="393"/>
      <c r="U607" s="393"/>
      <c r="V607" s="393"/>
      <c r="W607" s="393"/>
      <c r="X607" s="393"/>
      <c r="Y607" s="397"/>
      <c r="Z607" s="393"/>
      <c r="AA607" s="393"/>
      <c r="AB607" s="401"/>
      <c r="AC607" s="401"/>
      <c r="AD607" s="401"/>
      <c r="AE607" s="401"/>
      <c r="AF607" s="401"/>
      <c r="AG607" s="401"/>
      <c r="AH607" s="401"/>
      <c r="AI607" s="401"/>
      <c r="AJ607" s="401"/>
      <c r="AK607" s="401"/>
      <c r="AL607" s="401"/>
    </row>
    <row r="608" spans="1:38" s="154" customFormat="1" ht="20.100000000000001" customHeight="1">
      <c r="A608" s="402"/>
      <c r="B608" s="393"/>
      <c r="C608" s="394"/>
      <c r="D608" s="393"/>
      <c r="E608" s="393"/>
      <c r="F608" s="393"/>
      <c r="G608" s="395"/>
      <c r="H608" s="396"/>
      <c r="I608" s="393"/>
      <c r="J608" s="393"/>
      <c r="K608" s="393"/>
      <c r="L608" s="393"/>
      <c r="M608" s="382"/>
      <c r="N608" s="393"/>
      <c r="O608" s="393"/>
      <c r="P608" s="396"/>
      <c r="Q608" s="393"/>
      <c r="R608" s="393"/>
      <c r="S608" s="393"/>
      <c r="T608" s="393"/>
      <c r="U608" s="393"/>
      <c r="V608" s="393"/>
      <c r="W608" s="393"/>
      <c r="X608" s="393"/>
      <c r="Y608" s="397"/>
      <c r="Z608" s="393"/>
      <c r="AA608" s="393"/>
      <c r="AB608" s="401"/>
      <c r="AC608" s="401"/>
      <c r="AD608" s="401"/>
      <c r="AE608" s="401"/>
      <c r="AF608" s="401"/>
      <c r="AG608" s="401"/>
      <c r="AH608" s="401"/>
      <c r="AI608" s="401"/>
      <c r="AJ608" s="401"/>
      <c r="AK608" s="401"/>
      <c r="AL608" s="401"/>
    </row>
    <row r="609" spans="1:38" s="154" customFormat="1" ht="20.100000000000001" customHeight="1">
      <c r="A609" s="402"/>
      <c r="B609" s="393"/>
      <c r="C609" s="394"/>
      <c r="D609" s="393"/>
      <c r="E609" s="393"/>
      <c r="F609" s="393"/>
      <c r="G609" s="395"/>
      <c r="H609" s="396"/>
      <c r="I609" s="393"/>
      <c r="J609" s="393"/>
      <c r="K609" s="393"/>
      <c r="L609" s="393"/>
      <c r="M609" s="382"/>
      <c r="N609" s="393"/>
      <c r="O609" s="393"/>
      <c r="P609" s="396"/>
      <c r="Q609" s="393"/>
      <c r="R609" s="393"/>
      <c r="S609" s="393"/>
      <c r="T609" s="393"/>
      <c r="U609" s="393"/>
      <c r="V609" s="393"/>
      <c r="W609" s="393"/>
      <c r="X609" s="393"/>
      <c r="Y609" s="397"/>
      <c r="Z609" s="393"/>
      <c r="AA609" s="393"/>
      <c r="AB609" s="401"/>
      <c r="AC609" s="401"/>
      <c r="AD609" s="401"/>
      <c r="AE609" s="401"/>
      <c r="AF609" s="401"/>
      <c r="AG609" s="401"/>
      <c r="AH609" s="401"/>
      <c r="AI609" s="401"/>
      <c r="AJ609" s="401"/>
      <c r="AK609" s="401"/>
      <c r="AL609" s="401"/>
    </row>
    <row r="610" spans="1:38" s="154" customFormat="1" ht="20.100000000000001" customHeight="1">
      <c r="A610" s="402"/>
      <c r="B610" s="393"/>
      <c r="C610" s="394"/>
      <c r="D610" s="393"/>
      <c r="E610" s="393"/>
      <c r="F610" s="393"/>
      <c r="G610" s="395"/>
      <c r="H610" s="396"/>
      <c r="I610" s="393"/>
      <c r="J610" s="393"/>
      <c r="K610" s="393"/>
      <c r="L610" s="393"/>
      <c r="M610" s="382"/>
      <c r="N610" s="393"/>
      <c r="O610" s="393"/>
      <c r="P610" s="396"/>
      <c r="Q610" s="393"/>
      <c r="R610" s="393"/>
      <c r="S610" s="393"/>
      <c r="T610" s="393"/>
      <c r="U610" s="393"/>
      <c r="V610" s="393"/>
      <c r="W610" s="393"/>
      <c r="X610" s="393"/>
      <c r="Y610" s="397"/>
      <c r="Z610" s="393"/>
      <c r="AA610" s="393"/>
      <c r="AB610" s="401"/>
      <c r="AC610" s="401"/>
      <c r="AD610" s="401"/>
      <c r="AE610" s="401"/>
      <c r="AF610" s="401"/>
      <c r="AG610" s="401"/>
      <c r="AH610" s="401"/>
      <c r="AI610" s="401"/>
      <c r="AJ610" s="401"/>
      <c r="AK610" s="401"/>
      <c r="AL610" s="401"/>
    </row>
    <row r="611" spans="1:38" s="154" customFormat="1" ht="20.100000000000001" customHeight="1">
      <c r="A611" s="402"/>
      <c r="B611" s="393"/>
      <c r="C611" s="394"/>
      <c r="D611" s="393"/>
      <c r="E611" s="393"/>
      <c r="F611" s="393"/>
      <c r="G611" s="395"/>
      <c r="H611" s="396"/>
      <c r="I611" s="393"/>
      <c r="J611" s="393"/>
      <c r="K611" s="393"/>
      <c r="L611" s="393"/>
      <c r="M611" s="382"/>
      <c r="N611" s="393"/>
      <c r="O611" s="393"/>
      <c r="P611" s="396"/>
      <c r="Q611" s="393"/>
      <c r="R611" s="393"/>
      <c r="S611" s="393"/>
      <c r="T611" s="393"/>
      <c r="U611" s="393"/>
      <c r="V611" s="393"/>
      <c r="W611" s="393"/>
      <c r="X611" s="393"/>
      <c r="Y611" s="397"/>
      <c r="Z611" s="393"/>
      <c r="AA611" s="393"/>
      <c r="AB611" s="401"/>
      <c r="AC611" s="401"/>
      <c r="AD611" s="401"/>
      <c r="AE611" s="401"/>
      <c r="AF611" s="401"/>
      <c r="AG611" s="401"/>
      <c r="AH611" s="401"/>
      <c r="AI611" s="401"/>
      <c r="AJ611" s="401"/>
      <c r="AK611" s="401"/>
      <c r="AL611" s="401"/>
    </row>
    <row r="612" spans="1:38" s="154" customFormat="1" ht="20.100000000000001" customHeight="1">
      <c r="A612" s="402"/>
      <c r="B612" s="393"/>
      <c r="C612" s="394"/>
      <c r="D612" s="393"/>
      <c r="E612" s="393"/>
      <c r="F612" s="393"/>
      <c r="G612" s="395"/>
      <c r="H612" s="396"/>
      <c r="I612" s="393"/>
      <c r="J612" s="393"/>
      <c r="K612" s="393"/>
      <c r="L612" s="393"/>
      <c r="M612" s="382"/>
      <c r="N612" s="393"/>
      <c r="O612" s="393"/>
      <c r="P612" s="396"/>
      <c r="Q612" s="393"/>
      <c r="R612" s="393"/>
      <c r="S612" s="393"/>
      <c r="T612" s="393"/>
      <c r="U612" s="393"/>
      <c r="V612" s="393"/>
      <c r="W612" s="393"/>
      <c r="X612" s="393"/>
      <c r="Y612" s="397"/>
      <c r="Z612" s="393"/>
      <c r="AA612" s="393"/>
      <c r="AB612" s="401"/>
      <c r="AC612" s="401"/>
      <c r="AD612" s="401"/>
      <c r="AE612" s="401"/>
      <c r="AF612" s="401"/>
      <c r="AG612" s="401"/>
      <c r="AH612" s="401"/>
      <c r="AI612" s="401"/>
      <c r="AJ612" s="401"/>
      <c r="AK612" s="401"/>
      <c r="AL612" s="401"/>
    </row>
    <row r="613" spans="1:38" s="154" customFormat="1" ht="20.100000000000001" customHeight="1">
      <c r="A613" s="402"/>
      <c r="B613" s="393"/>
      <c r="C613" s="394"/>
      <c r="D613" s="393"/>
      <c r="E613" s="393"/>
      <c r="F613" s="393"/>
      <c r="G613" s="395"/>
      <c r="H613" s="396"/>
      <c r="I613" s="393"/>
      <c r="J613" s="393"/>
      <c r="K613" s="393"/>
      <c r="L613" s="393"/>
      <c r="M613" s="382"/>
      <c r="N613" s="393"/>
      <c r="O613" s="393"/>
      <c r="P613" s="396"/>
      <c r="Q613" s="393"/>
      <c r="R613" s="393"/>
      <c r="S613" s="393"/>
      <c r="T613" s="393"/>
      <c r="U613" s="393"/>
      <c r="V613" s="393"/>
      <c r="W613" s="393"/>
      <c r="X613" s="393"/>
      <c r="Y613" s="397"/>
      <c r="Z613" s="393"/>
      <c r="AA613" s="393"/>
      <c r="AB613" s="401"/>
      <c r="AC613" s="401"/>
      <c r="AD613" s="401"/>
      <c r="AE613" s="401"/>
      <c r="AF613" s="401"/>
      <c r="AG613" s="401"/>
      <c r="AH613" s="401"/>
      <c r="AI613" s="401"/>
      <c r="AJ613" s="401"/>
      <c r="AK613" s="401"/>
      <c r="AL613" s="401"/>
    </row>
    <row r="614" spans="1:38" s="154" customFormat="1" ht="20.100000000000001" customHeight="1">
      <c r="A614" s="402"/>
      <c r="B614" s="393"/>
      <c r="C614" s="394"/>
      <c r="D614" s="393"/>
      <c r="E614" s="393"/>
      <c r="F614" s="393"/>
      <c r="G614" s="395"/>
      <c r="H614" s="396"/>
      <c r="I614" s="393"/>
      <c r="J614" s="393"/>
      <c r="K614" s="393"/>
      <c r="L614" s="393"/>
      <c r="M614" s="382"/>
      <c r="N614" s="393"/>
      <c r="O614" s="393"/>
      <c r="P614" s="396"/>
      <c r="Q614" s="393"/>
      <c r="R614" s="393"/>
      <c r="S614" s="393"/>
      <c r="T614" s="393"/>
      <c r="U614" s="393"/>
      <c r="V614" s="393"/>
      <c r="W614" s="393"/>
      <c r="X614" s="393"/>
      <c r="Y614" s="397"/>
      <c r="Z614" s="393"/>
      <c r="AA614" s="393"/>
      <c r="AB614" s="401"/>
      <c r="AC614" s="401"/>
      <c r="AD614" s="401"/>
      <c r="AE614" s="401"/>
      <c r="AF614" s="401"/>
      <c r="AG614" s="401"/>
      <c r="AH614" s="401"/>
      <c r="AI614" s="401"/>
      <c r="AJ614" s="401"/>
      <c r="AK614" s="401"/>
      <c r="AL614" s="401"/>
    </row>
    <row r="615" spans="1:38" s="154" customFormat="1" ht="20.100000000000001" customHeight="1">
      <c r="A615" s="402"/>
      <c r="B615" s="393"/>
      <c r="C615" s="394"/>
      <c r="D615" s="393"/>
      <c r="E615" s="393"/>
      <c r="F615" s="393"/>
      <c r="G615" s="395"/>
      <c r="H615" s="396"/>
      <c r="I615" s="393"/>
      <c r="J615" s="393"/>
      <c r="K615" s="393"/>
      <c r="L615" s="393"/>
      <c r="M615" s="382"/>
      <c r="N615" s="393"/>
      <c r="O615" s="393"/>
      <c r="P615" s="396"/>
      <c r="Q615" s="393"/>
      <c r="R615" s="393"/>
      <c r="S615" s="393"/>
      <c r="T615" s="393"/>
      <c r="U615" s="393"/>
      <c r="V615" s="393"/>
      <c r="W615" s="393"/>
      <c r="X615" s="393"/>
      <c r="Y615" s="397"/>
      <c r="Z615" s="393"/>
      <c r="AA615" s="393"/>
      <c r="AB615" s="401"/>
      <c r="AC615" s="401"/>
      <c r="AD615" s="401"/>
      <c r="AE615" s="401"/>
      <c r="AF615" s="401"/>
      <c r="AG615" s="401"/>
      <c r="AH615" s="401"/>
      <c r="AI615" s="401"/>
      <c r="AJ615" s="401"/>
      <c r="AK615" s="401"/>
      <c r="AL615" s="401"/>
    </row>
    <row r="616" spans="1:38" s="154" customFormat="1" ht="20.100000000000001" customHeight="1">
      <c r="A616" s="402"/>
      <c r="B616" s="393"/>
      <c r="C616" s="394"/>
      <c r="D616" s="393"/>
      <c r="E616" s="393"/>
      <c r="F616" s="393"/>
      <c r="G616" s="395"/>
      <c r="H616" s="396"/>
      <c r="I616" s="393"/>
      <c r="J616" s="393"/>
      <c r="K616" s="393"/>
      <c r="L616" s="393"/>
      <c r="M616" s="382"/>
      <c r="N616" s="393"/>
      <c r="O616" s="393"/>
      <c r="P616" s="396"/>
      <c r="Q616" s="393"/>
      <c r="R616" s="393"/>
      <c r="S616" s="393"/>
      <c r="T616" s="393"/>
      <c r="U616" s="393"/>
      <c r="V616" s="393"/>
      <c r="W616" s="393"/>
      <c r="X616" s="393"/>
      <c r="Y616" s="397"/>
      <c r="Z616" s="393"/>
      <c r="AA616" s="393"/>
      <c r="AB616" s="401"/>
      <c r="AC616" s="401"/>
      <c r="AD616" s="401"/>
      <c r="AE616" s="401"/>
      <c r="AF616" s="401"/>
      <c r="AG616" s="401"/>
      <c r="AH616" s="401"/>
      <c r="AI616" s="401"/>
      <c r="AJ616" s="401"/>
      <c r="AK616" s="401"/>
      <c r="AL616" s="401"/>
    </row>
    <row r="617" spans="1:38" s="154" customFormat="1" ht="20.100000000000001" customHeight="1">
      <c r="A617" s="402"/>
      <c r="B617" s="393"/>
      <c r="C617" s="394"/>
      <c r="D617" s="393"/>
      <c r="E617" s="393"/>
      <c r="F617" s="393"/>
      <c r="G617" s="395"/>
      <c r="H617" s="396"/>
      <c r="I617" s="393"/>
      <c r="J617" s="393"/>
      <c r="K617" s="393"/>
      <c r="L617" s="393"/>
      <c r="M617" s="382"/>
      <c r="N617" s="393"/>
      <c r="O617" s="393"/>
      <c r="P617" s="396"/>
      <c r="Q617" s="393"/>
      <c r="R617" s="393"/>
      <c r="S617" s="393"/>
      <c r="T617" s="393"/>
      <c r="U617" s="393"/>
      <c r="V617" s="393"/>
      <c r="W617" s="393"/>
      <c r="X617" s="393"/>
      <c r="Y617" s="397"/>
      <c r="Z617" s="393"/>
      <c r="AA617" s="393"/>
      <c r="AB617" s="401"/>
      <c r="AC617" s="401"/>
      <c r="AD617" s="401"/>
      <c r="AE617" s="401"/>
      <c r="AF617" s="401"/>
      <c r="AG617" s="401"/>
      <c r="AH617" s="401"/>
      <c r="AI617" s="401"/>
      <c r="AJ617" s="401"/>
      <c r="AK617" s="401"/>
      <c r="AL617" s="401"/>
    </row>
    <row r="618" spans="1:38" s="154" customFormat="1" ht="20.100000000000001" customHeight="1">
      <c r="A618" s="402"/>
      <c r="B618" s="393"/>
      <c r="C618" s="394"/>
      <c r="D618" s="393"/>
      <c r="E618" s="393"/>
      <c r="F618" s="393"/>
      <c r="G618" s="395"/>
      <c r="H618" s="396"/>
      <c r="I618" s="393"/>
      <c r="J618" s="393"/>
      <c r="K618" s="393"/>
      <c r="L618" s="393"/>
      <c r="M618" s="382"/>
      <c r="N618" s="393"/>
      <c r="O618" s="393"/>
      <c r="P618" s="396"/>
      <c r="Q618" s="393"/>
      <c r="R618" s="393"/>
      <c r="S618" s="393"/>
      <c r="T618" s="393"/>
      <c r="U618" s="393"/>
      <c r="V618" s="393"/>
      <c r="W618" s="393"/>
      <c r="X618" s="393"/>
      <c r="Y618" s="397"/>
      <c r="Z618" s="393"/>
      <c r="AA618" s="393"/>
      <c r="AB618" s="401"/>
      <c r="AC618" s="401"/>
      <c r="AD618" s="401"/>
      <c r="AE618" s="401"/>
      <c r="AF618" s="401"/>
      <c r="AG618" s="401"/>
      <c r="AH618" s="401"/>
      <c r="AI618" s="401"/>
      <c r="AJ618" s="401"/>
      <c r="AK618" s="401"/>
      <c r="AL618" s="401"/>
    </row>
    <row r="619" spans="1:38" s="154" customFormat="1" ht="20.100000000000001" customHeight="1">
      <c r="A619" s="402"/>
      <c r="B619" s="393"/>
      <c r="C619" s="394"/>
      <c r="D619" s="393"/>
      <c r="E619" s="393"/>
      <c r="F619" s="393"/>
      <c r="G619" s="395"/>
      <c r="H619" s="396"/>
      <c r="I619" s="393"/>
      <c r="J619" s="393"/>
      <c r="K619" s="393"/>
      <c r="L619" s="393"/>
      <c r="M619" s="382"/>
      <c r="N619" s="393"/>
      <c r="O619" s="393"/>
      <c r="P619" s="396"/>
      <c r="Q619" s="393"/>
      <c r="R619" s="393"/>
      <c r="S619" s="393"/>
      <c r="T619" s="393"/>
      <c r="U619" s="393"/>
      <c r="V619" s="393"/>
      <c r="W619" s="393"/>
      <c r="X619" s="393"/>
      <c r="Y619" s="397"/>
      <c r="Z619" s="393"/>
      <c r="AA619" s="393"/>
      <c r="AB619" s="401"/>
      <c r="AC619" s="401"/>
      <c r="AD619" s="401"/>
      <c r="AE619" s="401"/>
      <c r="AF619" s="401"/>
      <c r="AG619" s="401"/>
      <c r="AH619" s="401"/>
      <c r="AI619" s="401"/>
      <c r="AJ619" s="401"/>
      <c r="AK619" s="401"/>
      <c r="AL619" s="401"/>
    </row>
    <row r="620" spans="1:38" s="154" customFormat="1" ht="20.100000000000001" customHeight="1">
      <c r="A620" s="402"/>
      <c r="B620" s="393"/>
      <c r="C620" s="394"/>
      <c r="D620" s="393"/>
      <c r="E620" s="393"/>
      <c r="F620" s="393"/>
      <c r="G620" s="395"/>
      <c r="H620" s="396"/>
      <c r="I620" s="393"/>
      <c r="J620" s="393"/>
      <c r="K620" s="393"/>
      <c r="L620" s="393"/>
      <c r="M620" s="382"/>
      <c r="N620" s="393"/>
      <c r="O620" s="393"/>
      <c r="P620" s="396"/>
      <c r="Q620" s="393"/>
      <c r="R620" s="393"/>
      <c r="S620" s="393"/>
      <c r="T620" s="393"/>
      <c r="U620" s="393"/>
      <c r="V620" s="393"/>
      <c r="W620" s="393"/>
      <c r="X620" s="393"/>
      <c r="Y620" s="397"/>
      <c r="Z620" s="393"/>
      <c r="AA620" s="393"/>
      <c r="AB620" s="401"/>
      <c r="AC620" s="401"/>
      <c r="AD620" s="401"/>
      <c r="AE620" s="401"/>
      <c r="AF620" s="401"/>
      <c r="AG620" s="401"/>
      <c r="AH620" s="401"/>
      <c r="AI620" s="401"/>
      <c r="AJ620" s="401"/>
      <c r="AK620" s="401"/>
      <c r="AL620" s="401"/>
    </row>
    <row r="621" spans="1:38" s="154" customFormat="1" ht="20.100000000000001" customHeight="1">
      <c r="A621" s="402"/>
      <c r="B621" s="393"/>
      <c r="C621" s="394"/>
      <c r="D621" s="393"/>
      <c r="E621" s="393"/>
      <c r="F621" s="393"/>
      <c r="G621" s="395"/>
      <c r="H621" s="396"/>
      <c r="I621" s="393"/>
      <c r="J621" s="393"/>
      <c r="K621" s="393"/>
      <c r="L621" s="393"/>
      <c r="M621" s="382"/>
      <c r="N621" s="393"/>
      <c r="O621" s="393"/>
      <c r="P621" s="396"/>
      <c r="Q621" s="393"/>
      <c r="R621" s="393"/>
      <c r="S621" s="393"/>
      <c r="T621" s="393"/>
      <c r="U621" s="393"/>
      <c r="V621" s="393"/>
      <c r="W621" s="393"/>
      <c r="X621" s="393"/>
      <c r="Y621" s="397"/>
      <c r="Z621" s="393"/>
      <c r="AA621" s="393"/>
      <c r="AB621" s="401"/>
      <c r="AC621" s="401"/>
      <c r="AD621" s="401"/>
      <c r="AE621" s="401"/>
      <c r="AF621" s="401"/>
      <c r="AG621" s="401"/>
      <c r="AH621" s="401"/>
      <c r="AI621" s="401"/>
      <c r="AJ621" s="401"/>
      <c r="AK621" s="401"/>
      <c r="AL621" s="401"/>
    </row>
    <row r="622" spans="1:38" s="154" customFormat="1" ht="20.100000000000001" customHeight="1">
      <c r="A622" s="402"/>
      <c r="B622" s="393"/>
      <c r="C622" s="394"/>
      <c r="D622" s="393"/>
      <c r="E622" s="393"/>
      <c r="F622" s="393"/>
      <c r="G622" s="395"/>
      <c r="H622" s="396"/>
      <c r="I622" s="393"/>
      <c r="J622" s="393"/>
      <c r="K622" s="393"/>
      <c r="L622" s="393"/>
      <c r="M622" s="382"/>
      <c r="N622" s="393"/>
      <c r="O622" s="393"/>
      <c r="P622" s="396"/>
      <c r="Q622" s="393"/>
      <c r="R622" s="393"/>
      <c r="S622" s="393"/>
      <c r="T622" s="393"/>
      <c r="U622" s="393"/>
      <c r="V622" s="393"/>
      <c r="W622" s="393"/>
      <c r="X622" s="393"/>
      <c r="Y622" s="397"/>
      <c r="Z622" s="393"/>
      <c r="AA622" s="393"/>
      <c r="AB622" s="401"/>
      <c r="AC622" s="401"/>
      <c r="AD622" s="401"/>
      <c r="AE622" s="401"/>
      <c r="AF622" s="401"/>
      <c r="AG622" s="401"/>
      <c r="AH622" s="401"/>
      <c r="AI622" s="401"/>
      <c r="AJ622" s="401"/>
      <c r="AK622" s="401"/>
      <c r="AL622" s="401"/>
    </row>
    <row r="623" spans="1:38" s="154" customFormat="1" ht="20.100000000000001" customHeight="1">
      <c r="A623" s="402"/>
      <c r="B623" s="393"/>
      <c r="C623" s="394"/>
      <c r="D623" s="393"/>
      <c r="E623" s="393"/>
      <c r="F623" s="393"/>
      <c r="G623" s="395"/>
      <c r="H623" s="396"/>
      <c r="I623" s="393"/>
      <c r="J623" s="393"/>
      <c r="K623" s="393"/>
      <c r="L623" s="393"/>
      <c r="M623" s="382"/>
      <c r="N623" s="393"/>
      <c r="O623" s="393"/>
      <c r="P623" s="396"/>
      <c r="Q623" s="393"/>
      <c r="R623" s="393"/>
      <c r="S623" s="393"/>
      <c r="T623" s="393"/>
      <c r="U623" s="393"/>
      <c r="V623" s="393"/>
      <c r="W623" s="393"/>
      <c r="X623" s="393"/>
      <c r="Y623" s="397"/>
      <c r="Z623" s="393"/>
      <c r="AA623" s="393"/>
      <c r="AB623" s="401"/>
      <c r="AC623" s="401"/>
      <c r="AD623" s="401"/>
      <c r="AE623" s="401"/>
      <c r="AF623" s="401"/>
      <c r="AG623" s="401"/>
      <c r="AH623" s="401"/>
      <c r="AI623" s="401"/>
      <c r="AJ623" s="401"/>
      <c r="AK623" s="401"/>
      <c r="AL623" s="401"/>
    </row>
    <row r="624" spans="1:38" s="154" customFormat="1" ht="20.100000000000001" customHeight="1">
      <c r="A624" s="402"/>
      <c r="B624" s="393"/>
      <c r="C624" s="394"/>
      <c r="D624" s="393"/>
      <c r="E624" s="393"/>
      <c r="F624" s="393"/>
      <c r="G624" s="395"/>
      <c r="H624" s="396"/>
      <c r="I624" s="393"/>
      <c r="J624" s="393"/>
      <c r="K624" s="393"/>
      <c r="L624" s="393"/>
      <c r="M624" s="382"/>
      <c r="N624" s="393"/>
      <c r="O624" s="393"/>
      <c r="P624" s="396"/>
      <c r="Q624" s="393"/>
      <c r="R624" s="393"/>
      <c r="S624" s="393"/>
      <c r="T624" s="393"/>
      <c r="U624" s="393"/>
      <c r="V624" s="393"/>
      <c r="W624" s="393"/>
      <c r="X624" s="393"/>
      <c r="Y624" s="397"/>
      <c r="Z624" s="393"/>
      <c r="AA624" s="393"/>
      <c r="AB624" s="401"/>
      <c r="AC624" s="401"/>
      <c r="AD624" s="401"/>
      <c r="AE624" s="401"/>
      <c r="AF624" s="401"/>
      <c r="AG624" s="401"/>
      <c r="AH624" s="401"/>
      <c r="AI624" s="401"/>
      <c r="AJ624" s="401"/>
      <c r="AK624" s="401"/>
      <c r="AL624" s="401"/>
    </row>
    <row r="625" spans="1:38" s="154" customFormat="1" ht="20.100000000000001" customHeight="1">
      <c r="A625" s="402"/>
      <c r="B625" s="393"/>
      <c r="C625" s="394"/>
      <c r="D625" s="393"/>
      <c r="E625" s="393"/>
      <c r="F625" s="393"/>
      <c r="G625" s="395"/>
      <c r="H625" s="396"/>
      <c r="I625" s="393"/>
      <c r="J625" s="393"/>
      <c r="K625" s="393"/>
      <c r="L625" s="393"/>
      <c r="M625" s="382"/>
      <c r="N625" s="393"/>
      <c r="O625" s="393"/>
      <c r="P625" s="396"/>
      <c r="Q625" s="393"/>
      <c r="R625" s="393"/>
      <c r="S625" s="393"/>
      <c r="T625" s="393"/>
      <c r="U625" s="393"/>
      <c r="V625" s="393"/>
      <c r="W625" s="393"/>
      <c r="X625" s="393"/>
      <c r="Y625" s="397"/>
      <c r="Z625" s="393"/>
      <c r="AA625" s="393"/>
      <c r="AB625" s="401"/>
      <c r="AC625" s="401"/>
      <c r="AD625" s="401"/>
      <c r="AE625" s="401"/>
      <c r="AF625" s="401"/>
      <c r="AG625" s="401"/>
      <c r="AH625" s="401"/>
      <c r="AI625" s="401"/>
      <c r="AJ625" s="401"/>
      <c r="AK625" s="401"/>
      <c r="AL625" s="401"/>
    </row>
    <row r="626" spans="1:38" s="154" customFormat="1" ht="20.100000000000001" customHeight="1">
      <c r="A626" s="402"/>
      <c r="B626" s="393"/>
      <c r="C626" s="394"/>
      <c r="D626" s="393"/>
      <c r="E626" s="393"/>
      <c r="F626" s="393"/>
      <c r="G626" s="395"/>
      <c r="H626" s="396"/>
      <c r="I626" s="393"/>
      <c r="J626" s="393"/>
      <c r="K626" s="393"/>
      <c r="L626" s="393"/>
      <c r="M626" s="382"/>
      <c r="N626" s="393"/>
      <c r="O626" s="393"/>
      <c r="P626" s="396"/>
      <c r="Q626" s="393"/>
      <c r="R626" s="393"/>
      <c r="S626" s="393"/>
      <c r="T626" s="393"/>
      <c r="U626" s="393"/>
      <c r="V626" s="393"/>
      <c r="W626" s="393"/>
      <c r="X626" s="393"/>
      <c r="Y626" s="397"/>
      <c r="Z626" s="393"/>
      <c r="AA626" s="393"/>
      <c r="AB626" s="401"/>
      <c r="AC626" s="401"/>
      <c r="AD626" s="401"/>
      <c r="AE626" s="401"/>
      <c r="AF626" s="401"/>
      <c r="AG626" s="401"/>
      <c r="AH626" s="401"/>
      <c r="AI626" s="401"/>
      <c r="AJ626" s="401"/>
      <c r="AK626" s="401"/>
      <c r="AL626" s="401"/>
    </row>
    <row r="627" spans="1:38" s="154" customFormat="1" ht="20.100000000000001" customHeight="1">
      <c r="A627" s="402"/>
      <c r="B627" s="393"/>
      <c r="C627" s="394"/>
      <c r="D627" s="393"/>
      <c r="E627" s="393"/>
      <c r="F627" s="393"/>
      <c r="G627" s="395"/>
      <c r="H627" s="396"/>
      <c r="I627" s="393"/>
      <c r="J627" s="393"/>
      <c r="K627" s="393"/>
      <c r="L627" s="393"/>
      <c r="M627" s="382"/>
      <c r="N627" s="393"/>
      <c r="O627" s="393"/>
      <c r="P627" s="396"/>
      <c r="Q627" s="393"/>
      <c r="R627" s="393"/>
      <c r="S627" s="393"/>
      <c r="T627" s="393"/>
      <c r="U627" s="393"/>
      <c r="V627" s="393"/>
      <c r="W627" s="393"/>
      <c r="X627" s="393"/>
      <c r="Y627" s="397"/>
      <c r="Z627" s="393"/>
      <c r="AA627" s="393"/>
      <c r="AB627" s="401"/>
      <c r="AC627" s="401"/>
      <c r="AD627" s="401"/>
      <c r="AE627" s="401"/>
      <c r="AF627" s="401"/>
      <c r="AG627" s="401"/>
      <c r="AH627" s="401"/>
      <c r="AI627" s="401"/>
      <c r="AJ627" s="401"/>
      <c r="AK627" s="401"/>
      <c r="AL627" s="401"/>
    </row>
    <row r="628" spans="1:38" s="154" customFormat="1" ht="20.100000000000001" customHeight="1">
      <c r="A628" s="402"/>
      <c r="B628" s="393"/>
      <c r="C628" s="394"/>
      <c r="D628" s="393"/>
      <c r="E628" s="393"/>
      <c r="F628" s="393"/>
      <c r="G628" s="395"/>
      <c r="H628" s="396"/>
      <c r="I628" s="393"/>
      <c r="J628" s="393"/>
      <c r="K628" s="393"/>
      <c r="L628" s="393"/>
      <c r="M628" s="382"/>
      <c r="N628" s="393"/>
      <c r="O628" s="393"/>
      <c r="P628" s="396"/>
      <c r="Q628" s="393"/>
      <c r="R628" s="393"/>
      <c r="S628" s="393"/>
      <c r="T628" s="393"/>
      <c r="U628" s="393"/>
      <c r="V628" s="393"/>
      <c r="W628" s="393"/>
      <c r="X628" s="393"/>
      <c r="Y628" s="397"/>
      <c r="Z628" s="393"/>
      <c r="AA628" s="393"/>
      <c r="AB628" s="401"/>
      <c r="AC628" s="401"/>
      <c r="AD628" s="401"/>
      <c r="AE628" s="401"/>
      <c r="AF628" s="401"/>
      <c r="AG628" s="401"/>
      <c r="AH628" s="401"/>
      <c r="AI628" s="401"/>
      <c r="AJ628" s="401"/>
      <c r="AK628" s="401"/>
      <c r="AL628" s="401"/>
    </row>
    <row r="629" spans="1:38" s="154" customFormat="1" ht="20.100000000000001" customHeight="1">
      <c r="A629" s="402"/>
      <c r="B629" s="393"/>
      <c r="C629" s="394"/>
      <c r="D629" s="393"/>
      <c r="E629" s="393"/>
      <c r="F629" s="393"/>
      <c r="G629" s="395"/>
      <c r="H629" s="396"/>
      <c r="I629" s="393"/>
      <c r="J629" s="393"/>
      <c r="K629" s="393"/>
      <c r="L629" s="393"/>
      <c r="M629" s="382"/>
      <c r="N629" s="393"/>
      <c r="O629" s="393"/>
      <c r="P629" s="396"/>
      <c r="Q629" s="393"/>
      <c r="R629" s="393"/>
      <c r="S629" s="393"/>
      <c r="T629" s="393"/>
      <c r="U629" s="393"/>
      <c r="V629" s="393"/>
      <c r="W629" s="393"/>
      <c r="X629" s="393"/>
      <c r="Y629" s="397"/>
      <c r="Z629" s="393"/>
      <c r="AA629" s="393"/>
      <c r="AB629" s="401"/>
      <c r="AC629" s="401"/>
      <c r="AD629" s="401"/>
      <c r="AE629" s="401"/>
      <c r="AF629" s="401"/>
      <c r="AG629" s="401"/>
      <c r="AH629" s="401"/>
      <c r="AI629" s="401"/>
      <c r="AJ629" s="401"/>
      <c r="AK629" s="401"/>
      <c r="AL629" s="401"/>
    </row>
    <row r="630" spans="1:38" s="154" customFormat="1" ht="20.100000000000001" customHeight="1">
      <c r="A630" s="402"/>
      <c r="B630" s="393"/>
      <c r="C630" s="394"/>
      <c r="D630" s="393"/>
      <c r="E630" s="393"/>
      <c r="F630" s="393"/>
      <c r="G630" s="395"/>
      <c r="H630" s="396"/>
      <c r="I630" s="393"/>
      <c r="J630" s="393"/>
      <c r="K630" s="393"/>
      <c r="L630" s="393"/>
      <c r="M630" s="382"/>
      <c r="N630" s="393"/>
      <c r="O630" s="393"/>
      <c r="P630" s="396"/>
      <c r="Q630" s="393"/>
      <c r="R630" s="393"/>
      <c r="S630" s="393"/>
      <c r="T630" s="393"/>
      <c r="U630" s="393"/>
      <c r="V630" s="393"/>
      <c r="W630" s="393"/>
      <c r="X630" s="393"/>
      <c r="Y630" s="397"/>
      <c r="Z630" s="393"/>
      <c r="AA630" s="393"/>
      <c r="AB630" s="401"/>
      <c r="AC630" s="401"/>
      <c r="AD630" s="401"/>
      <c r="AE630" s="401"/>
      <c r="AF630" s="401"/>
      <c r="AG630" s="401"/>
      <c r="AH630" s="401"/>
      <c r="AI630" s="401"/>
      <c r="AJ630" s="401"/>
      <c r="AK630" s="401"/>
      <c r="AL630" s="401"/>
    </row>
  </sheetData>
  <autoFilter ref="A6:AA56" xr:uid="{00000000-0009-0000-0000-000003000000}"/>
  <mergeCells count="24">
    <mergeCell ref="X5:X6"/>
    <mergeCell ref="Y5:Y6"/>
    <mergeCell ref="Z5:Z6"/>
    <mergeCell ref="AA5:AA6"/>
    <mergeCell ref="T4:V4"/>
    <mergeCell ref="A5:A6"/>
    <mergeCell ref="B5:B6"/>
    <mergeCell ref="C5:C6"/>
    <mergeCell ref="F5:F6"/>
    <mergeCell ref="G5:G6"/>
    <mergeCell ref="H5:K5"/>
    <mergeCell ref="L5:O5"/>
    <mergeCell ref="P5:S5"/>
    <mergeCell ref="T5:W5"/>
    <mergeCell ref="E1:P1"/>
    <mergeCell ref="E2:P2"/>
    <mergeCell ref="X2:X3"/>
    <mergeCell ref="E3:P3"/>
    <mergeCell ref="H4:I4"/>
    <mergeCell ref="J4:K4"/>
    <mergeCell ref="L4:M4"/>
    <mergeCell ref="N4:O4"/>
    <mergeCell ref="P4:Q4"/>
    <mergeCell ref="R4:S4"/>
  </mergeCells>
  <printOptions horizontalCentered="1"/>
  <pageMargins left="0.17" right="0.17" top="0.18" bottom="0.44" header="0.17" footer="0.21"/>
  <pageSetup paperSize="9" orientation="landscape" r:id="rId1"/>
  <headerFooter alignWithMargins="0">
    <oddFooter>&amp;CNGUYEN THI DIEU THUY&amp;R&amp;POF&amp;N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81B7-3F0F-4FEB-93E4-287648DEEF4C}">
  <sheetPr>
    <tabColor rgb="FF92D050"/>
  </sheetPr>
  <dimension ref="A1:AS113"/>
  <sheetViews>
    <sheetView showGridLines="0" tabSelected="1" view="pageBreakPreview" topLeftCell="A3" zoomScale="85" zoomScaleNormal="100" zoomScaleSheetLayoutView="85" workbookViewId="0">
      <selection activeCell="P6" sqref="P6:S6"/>
    </sheetView>
  </sheetViews>
  <sheetFormatPr defaultColWidth="9.6640625" defaultRowHeight="14.4"/>
  <cols>
    <col min="1" max="1" width="6.33203125" style="2272" customWidth="1"/>
    <col min="2" max="2" width="5.44140625" style="2272" customWidth="1"/>
    <col min="3" max="3" width="2.27734375" style="2272" customWidth="1"/>
    <col min="4" max="4" width="3.1640625" style="2272" customWidth="1"/>
    <col min="5" max="5" width="2.5546875" style="2272" customWidth="1"/>
    <col min="6" max="6" width="8.88671875" style="2272" customWidth="1"/>
    <col min="7" max="9" width="3.1640625" style="2272" customWidth="1"/>
    <col min="10" max="13" width="5.109375" style="2272" customWidth="1"/>
    <col min="14" max="17" width="3" style="2272" customWidth="1"/>
    <col min="18" max="18" width="5.109375" style="2272" customWidth="1"/>
    <col min="19" max="19" width="8.44140625" style="2272" customWidth="1"/>
    <col min="20" max="20" width="11.44140625" style="2272" customWidth="1"/>
    <col min="21" max="22" width="5.109375" style="2272" customWidth="1"/>
    <col min="23" max="16384" width="9.6640625" style="2272"/>
  </cols>
  <sheetData>
    <row r="1" spans="1:27" ht="34.5" customHeight="1">
      <c r="A1" s="2265"/>
      <c r="B1" s="2266"/>
      <c r="C1" s="2266"/>
      <c r="D1" s="2267"/>
      <c r="E1" s="2268" t="s">
        <v>1175</v>
      </c>
      <c r="F1" s="2269"/>
      <c r="G1" s="2269"/>
      <c r="H1" s="2269"/>
      <c r="I1" s="2269"/>
      <c r="J1" s="2269"/>
      <c r="K1" s="2269"/>
      <c r="L1" s="2269"/>
      <c r="M1" s="2269"/>
      <c r="N1" s="2269"/>
      <c r="O1" s="2269"/>
      <c r="P1" s="2269"/>
      <c r="Q1" s="2269"/>
      <c r="R1" s="2269"/>
      <c r="S1" s="2269"/>
      <c r="T1" s="2269"/>
      <c r="U1" s="2269"/>
      <c r="V1" s="2270"/>
      <c r="W1" s="2271"/>
    </row>
    <row r="2" spans="1:27" ht="28.9" customHeight="1">
      <c r="A2" s="2273"/>
      <c r="B2" s="2274"/>
      <c r="C2" s="2274"/>
      <c r="D2" s="2275"/>
      <c r="E2" s="2276"/>
      <c r="F2" s="2277"/>
      <c r="G2" s="2277"/>
      <c r="H2" s="2277"/>
      <c r="I2" s="2277"/>
      <c r="J2" s="2277"/>
      <c r="K2" s="2277"/>
      <c r="L2" s="2277"/>
      <c r="M2" s="2277"/>
      <c r="N2" s="2277"/>
      <c r="O2" s="2277"/>
      <c r="P2" s="2277"/>
      <c r="Q2" s="2277"/>
      <c r="R2" s="2277"/>
      <c r="S2" s="2277"/>
      <c r="T2" s="2277"/>
      <c r="U2" s="2277"/>
      <c r="V2" s="2278"/>
      <c r="W2" s="2271"/>
    </row>
    <row r="3" spans="1:27" ht="81" customHeight="1">
      <c r="A3" s="2279" t="s">
        <v>1176</v>
      </c>
      <c r="B3" s="2279"/>
      <c r="C3" s="2279"/>
      <c r="D3" s="2279"/>
      <c r="E3" s="2279"/>
      <c r="F3" s="2279"/>
      <c r="G3" s="2279"/>
      <c r="H3" s="2279"/>
      <c r="I3" s="2279"/>
      <c r="J3" s="2279"/>
      <c r="K3" s="2279"/>
      <c r="L3" s="2279"/>
      <c r="M3" s="2279"/>
      <c r="N3" s="2279"/>
      <c r="O3" s="2279"/>
      <c r="P3" s="2279"/>
      <c r="Q3" s="2279"/>
      <c r="R3" s="2279"/>
      <c r="S3" s="2279"/>
      <c r="T3" s="2279"/>
      <c r="U3" s="2279"/>
      <c r="V3" s="2279"/>
      <c r="W3" s="2271"/>
    </row>
    <row r="4" spans="1:27" ht="36.75" customHeight="1">
      <c r="A4" s="2280" t="s">
        <v>15</v>
      </c>
      <c r="B4" s="2281" t="s">
        <v>132</v>
      </c>
      <c r="C4" s="2281"/>
      <c r="D4" s="2281"/>
      <c r="E4" s="2281"/>
      <c r="F4" s="2281"/>
      <c r="G4" s="2281" t="s">
        <v>1177</v>
      </c>
      <c r="H4" s="2281"/>
      <c r="I4" s="2281"/>
      <c r="J4" s="2281"/>
      <c r="K4" s="2281" t="s">
        <v>1178</v>
      </c>
      <c r="L4" s="2281"/>
      <c r="M4" s="2281"/>
      <c r="N4" s="2281"/>
      <c r="O4" s="2281"/>
      <c r="P4" s="2281" t="s">
        <v>1179</v>
      </c>
      <c r="Q4" s="2281"/>
      <c r="R4" s="2281"/>
      <c r="S4" s="2281"/>
      <c r="T4" s="2281" t="s">
        <v>1180</v>
      </c>
      <c r="U4" s="2281"/>
      <c r="V4" s="2281"/>
      <c r="W4" s="2271"/>
      <c r="Y4" s="2282"/>
      <c r="AA4" s="2282"/>
    </row>
    <row r="5" spans="1:27" ht="36.75" customHeight="1">
      <c r="A5" s="2283">
        <v>1</v>
      </c>
      <c r="B5" s="2284" t="s">
        <v>1181</v>
      </c>
      <c r="C5" s="2285"/>
      <c r="D5" s="2285"/>
      <c r="E5" s="2285"/>
      <c r="F5" s="2286"/>
      <c r="G5" s="2284">
        <v>20396</v>
      </c>
      <c r="H5" s="2285"/>
      <c r="I5" s="2285"/>
      <c r="J5" s="2286"/>
      <c r="K5" s="2287" t="s">
        <v>1182</v>
      </c>
      <c r="L5" s="2288"/>
      <c r="M5" s="2288"/>
      <c r="N5" s="2288"/>
      <c r="O5" s="2289"/>
      <c r="P5" s="2290" t="s">
        <v>1183</v>
      </c>
      <c r="Q5" s="2291"/>
      <c r="R5" s="2291"/>
      <c r="S5" s="2292"/>
      <c r="T5" s="2281" t="s">
        <v>1184</v>
      </c>
      <c r="U5" s="2281"/>
      <c r="V5" s="2281"/>
      <c r="W5" s="2271"/>
      <c r="Y5" s="2282"/>
      <c r="AA5" s="2282"/>
    </row>
    <row r="6" spans="1:27" ht="36.75" customHeight="1">
      <c r="A6" s="2293"/>
      <c r="B6" s="2294"/>
      <c r="C6" s="2295"/>
      <c r="D6" s="2295"/>
      <c r="E6" s="2295"/>
      <c r="F6" s="2296"/>
      <c r="G6" s="2294"/>
      <c r="H6" s="2295"/>
      <c r="I6" s="2295"/>
      <c r="J6" s="2296"/>
      <c r="K6" s="2287" t="s">
        <v>1185</v>
      </c>
      <c r="L6" s="2288"/>
      <c r="M6" s="2288"/>
      <c r="N6" s="2288"/>
      <c r="O6" s="2289"/>
      <c r="P6" s="2290" t="s">
        <v>1186</v>
      </c>
      <c r="Q6" s="2291"/>
      <c r="R6" s="2291"/>
      <c r="S6" s="2292"/>
      <c r="T6" s="2281" t="s">
        <v>1184</v>
      </c>
      <c r="U6" s="2281"/>
      <c r="V6" s="2281"/>
      <c r="W6" s="2271"/>
      <c r="Y6" s="2282"/>
      <c r="AA6" s="2282"/>
    </row>
    <row r="7" spans="1:27" ht="36.75" customHeight="1">
      <c r="A7" s="2283">
        <v>2</v>
      </c>
      <c r="B7" s="2284" t="s">
        <v>1187</v>
      </c>
      <c r="C7" s="2285"/>
      <c r="D7" s="2285"/>
      <c r="E7" s="2285"/>
      <c r="F7" s="2286"/>
      <c r="G7" s="2284" t="s">
        <v>1188</v>
      </c>
      <c r="H7" s="2285"/>
      <c r="I7" s="2285"/>
      <c r="J7" s="2286"/>
      <c r="K7" s="2287" t="s">
        <v>1182</v>
      </c>
      <c r="L7" s="2288"/>
      <c r="M7" s="2288"/>
      <c r="N7" s="2288"/>
      <c r="O7" s="2289"/>
      <c r="P7" s="2297">
        <v>46538</v>
      </c>
      <c r="Q7" s="2288"/>
      <c r="R7" s="2288"/>
      <c r="S7" s="2289"/>
      <c r="T7" s="2281" t="s">
        <v>1189</v>
      </c>
      <c r="U7" s="2281"/>
      <c r="V7" s="2281"/>
      <c r="W7" s="2271"/>
      <c r="Y7" s="2282"/>
      <c r="AA7" s="2282"/>
    </row>
    <row r="8" spans="1:27" ht="36.75" customHeight="1">
      <c r="A8" s="2293"/>
      <c r="B8" s="2294"/>
      <c r="C8" s="2295"/>
      <c r="D8" s="2295"/>
      <c r="E8" s="2295"/>
      <c r="F8" s="2296"/>
      <c r="G8" s="2294"/>
      <c r="H8" s="2295"/>
      <c r="I8" s="2295"/>
      <c r="J8" s="2296"/>
      <c r="K8" s="2287" t="s">
        <v>1190</v>
      </c>
      <c r="L8" s="2288"/>
      <c r="M8" s="2288"/>
      <c r="N8" s="2288"/>
      <c r="O8" s="2289"/>
      <c r="P8" s="2297">
        <v>46843</v>
      </c>
      <c r="Q8" s="2288"/>
      <c r="R8" s="2288"/>
      <c r="S8" s="2289"/>
      <c r="T8" s="2281" t="s">
        <v>1189</v>
      </c>
      <c r="U8" s="2281"/>
      <c r="V8" s="2281"/>
      <c r="W8" s="2271"/>
      <c r="Y8" s="2282"/>
      <c r="AA8" s="2282"/>
    </row>
    <row r="9" spans="1:27" ht="36.75" customHeight="1">
      <c r="A9" s="2283">
        <v>3</v>
      </c>
      <c r="B9" s="2284" t="s">
        <v>1191</v>
      </c>
      <c r="C9" s="2285"/>
      <c r="D9" s="2285"/>
      <c r="E9" s="2285"/>
      <c r="F9" s="2286"/>
      <c r="G9" s="2284" t="s">
        <v>1192</v>
      </c>
      <c r="H9" s="2285"/>
      <c r="I9" s="2285"/>
      <c r="J9" s="2286"/>
      <c r="K9" s="2287" t="s">
        <v>1182</v>
      </c>
      <c r="L9" s="2288"/>
      <c r="M9" s="2288"/>
      <c r="N9" s="2288"/>
      <c r="O9" s="2289"/>
      <c r="P9" s="2298" t="s">
        <v>1183</v>
      </c>
      <c r="Q9" s="2288"/>
      <c r="R9" s="2288"/>
      <c r="S9" s="2289"/>
      <c r="T9" s="2281" t="s">
        <v>1193</v>
      </c>
      <c r="U9" s="2281"/>
      <c r="V9" s="2281"/>
      <c r="W9" s="2271"/>
      <c r="Y9" s="2282"/>
      <c r="AA9" s="2282"/>
    </row>
    <row r="10" spans="1:27" ht="36.75" customHeight="1">
      <c r="A10" s="2293"/>
      <c r="B10" s="2294"/>
      <c r="C10" s="2295"/>
      <c r="D10" s="2295"/>
      <c r="E10" s="2295"/>
      <c r="F10" s="2296"/>
      <c r="G10" s="2294"/>
      <c r="H10" s="2295"/>
      <c r="I10" s="2295"/>
      <c r="J10" s="2296"/>
      <c r="K10" s="2287" t="s">
        <v>1185</v>
      </c>
      <c r="L10" s="2288"/>
      <c r="M10" s="2288"/>
      <c r="N10" s="2288"/>
      <c r="O10" s="2289"/>
      <c r="P10" s="2297">
        <v>47391</v>
      </c>
      <c r="Q10" s="2288"/>
      <c r="R10" s="2288"/>
      <c r="S10" s="2289"/>
      <c r="T10" s="2281" t="s">
        <v>1193</v>
      </c>
      <c r="U10" s="2281"/>
      <c r="V10" s="2281"/>
      <c r="W10" s="2271"/>
      <c r="Y10" s="2282"/>
      <c r="AA10" s="2282"/>
    </row>
    <row r="11" spans="1:27" ht="36.75" customHeight="1">
      <c r="A11" s="2280">
        <v>4</v>
      </c>
      <c r="B11" s="2287" t="s">
        <v>1194</v>
      </c>
      <c r="C11" s="2288"/>
      <c r="D11" s="2288"/>
      <c r="E11" s="2288"/>
      <c r="F11" s="2289"/>
      <c r="G11" s="2287">
        <v>14598</v>
      </c>
      <c r="H11" s="2288"/>
      <c r="I11" s="2288"/>
      <c r="J11" s="2289"/>
      <c r="K11" s="2287" t="s">
        <v>1185</v>
      </c>
      <c r="L11" s="2288"/>
      <c r="M11" s="2288"/>
      <c r="N11" s="2288"/>
      <c r="O11" s="2289"/>
      <c r="P11" s="2297">
        <v>47391</v>
      </c>
      <c r="Q11" s="2288"/>
      <c r="R11" s="2288"/>
      <c r="S11" s="2289"/>
      <c r="T11" s="2281" t="s">
        <v>1195</v>
      </c>
      <c r="U11" s="2281"/>
      <c r="V11" s="2281"/>
      <c r="W11" s="2271"/>
      <c r="Y11" s="2282"/>
      <c r="AA11" s="2282"/>
    </row>
    <row r="12" spans="1:27" ht="36.75" customHeight="1">
      <c r="A12" s="2280">
        <v>5</v>
      </c>
      <c r="B12" s="2287" t="s">
        <v>1196</v>
      </c>
      <c r="C12" s="2288"/>
      <c r="D12" s="2288"/>
      <c r="E12" s="2288"/>
      <c r="F12" s="2289"/>
      <c r="G12" s="2287" t="s">
        <v>1197</v>
      </c>
      <c r="H12" s="2288"/>
      <c r="I12" s="2288"/>
      <c r="J12" s="2289"/>
      <c r="K12" s="2287" t="s">
        <v>1182</v>
      </c>
      <c r="L12" s="2288"/>
      <c r="M12" s="2288"/>
      <c r="N12" s="2288"/>
      <c r="O12" s="2289"/>
      <c r="P12" s="2297">
        <v>46843</v>
      </c>
      <c r="Q12" s="2288"/>
      <c r="R12" s="2288"/>
      <c r="S12" s="2289"/>
      <c r="T12" s="2281" t="s">
        <v>1198</v>
      </c>
      <c r="U12" s="2281"/>
      <c r="V12" s="2281"/>
      <c r="W12" s="2271"/>
      <c r="Y12" s="2282"/>
      <c r="AA12" s="2282"/>
    </row>
    <row r="13" spans="1:27" ht="36.75" customHeight="1">
      <c r="A13" s="2281">
        <v>6</v>
      </c>
      <c r="B13" s="2281" t="s">
        <v>1199</v>
      </c>
      <c r="C13" s="2281"/>
      <c r="D13" s="2281"/>
      <c r="E13" s="2281"/>
      <c r="F13" s="2281"/>
      <c r="G13" s="2281" t="s">
        <v>1200</v>
      </c>
      <c r="H13" s="2281"/>
      <c r="I13" s="2281"/>
      <c r="J13" s="2281"/>
      <c r="K13" s="2281" t="s">
        <v>1182</v>
      </c>
      <c r="L13" s="2281"/>
      <c r="M13" s="2281"/>
      <c r="N13" s="2281"/>
      <c r="O13" s="2281"/>
      <c r="P13" s="2299" t="s">
        <v>1183</v>
      </c>
      <c r="Q13" s="2281"/>
      <c r="R13" s="2281"/>
      <c r="S13" s="2281"/>
      <c r="T13" s="2299" t="s">
        <v>1201</v>
      </c>
      <c r="U13" s="2281"/>
      <c r="V13" s="2281"/>
      <c r="W13" s="2271"/>
      <c r="Y13" s="2282"/>
      <c r="AA13" s="2282"/>
    </row>
    <row r="14" spans="1:27" ht="36.75" customHeight="1">
      <c r="A14" s="2281"/>
      <c r="B14" s="2281"/>
      <c r="C14" s="2281"/>
      <c r="D14" s="2281"/>
      <c r="E14" s="2281"/>
      <c r="F14" s="2281"/>
      <c r="G14" s="2281"/>
      <c r="H14" s="2281"/>
      <c r="I14" s="2281"/>
      <c r="J14" s="2281"/>
      <c r="K14" s="2281" t="s">
        <v>1185</v>
      </c>
      <c r="L14" s="2281"/>
      <c r="M14" s="2281"/>
      <c r="N14" s="2281"/>
      <c r="O14" s="2281"/>
      <c r="P14" s="2300">
        <v>46783</v>
      </c>
      <c r="Q14" s="2281"/>
      <c r="R14" s="2281"/>
      <c r="S14" s="2281"/>
      <c r="T14" s="2281" t="s">
        <v>1201</v>
      </c>
      <c r="U14" s="2281"/>
      <c r="V14" s="2281"/>
      <c r="W14" s="2271"/>
      <c r="Y14" s="2282"/>
      <c r="AA14" s="2282"/>
    </row>
    <row r="15" spans="1:27" ht="36.75" customHeight="1">
      <c r="A15" s="2301"/>
      <c r="B15" s="2302"/>
      <c r="C15" s="2302"/>
      <c r="D15" s="2302"/>
      <c r="E15" s="2302"/>
      <c r="F15" s="2302"/>
      <c r="G15" s="2302"/>
      <c r="H15" s="2302"/>
      <c r="I15" s="2302"/>
      <c r="J15" s="2302"/>
      <c r="K15" s="2302"/>
      <c r="L15" s="2302"/>
      <c r="M15" s="2302"/>
      <c r="N15" s="2302"/>
      <c r="O15" s="2302"/>
      <c r="P15" s="2302"/>
      <c r="Q15" s="2302"/>
      <c r="R15" s="2302"/>
      <c r="S15" s="2302"/>
      <c r="T15" s="2302"/>
      <c r="U15" s="2302"/>
      <c r="V15" s="2302"/>
      <c r="W15" s="2271"/>
      <c r="Y15" s="2282"/>
      <c r="AA15" s="2282"/>
    </row>
    <row r="16" spans="1:27" ht="36.75" customHeight="1">
      <c r="A16" s="2301"/>
      <c r="B16" s="2302"/>
      <c r="C16" s="2302"/>
      <c r="D16" s="2302"/>
      <c r="E16" s="2302"/>
      <c r="F16" s="2302"/>
      <c r="G16" s="2302"/>
      <c r="H16" s="2302"/>
      <c r="I16" s="2302"/>
      <c r="J16" s="2302"/>
      <c r="K16" s="2302"/>
      <c r="L16" s="2302"/>
      <c r="M16" s="2302"/>
      <c r="N16" s="2302"/>
      <c r="O16" s="2302"/>
      <c r="P16" s="2302"/>
      <c r="Q16" s="2302"/>
      <c r="R16" s="2302"/>
      <c r="S16" s="2302"/>
      <c r="T16" s="2302"/>
      <c r="U16" s="2302"/>
      <c r="V16" s="2302"/>
      <c r="W16" s="2271"/>
      <c r="Y16" s="2282"/>
      <c r="AA16" s="2282"/>
    </row>
    <row r="17" spans="1:27" ht="36.75" customHeight="1">
      <c r="A17" s="2301"/>
      <c r="B17" s="2302"/>
      <c r="C17" s="2302"/>
      <c r="D17" s="2302"/>
      <c r="E17" s="2302"/>
      <c r="F17" s="2302"/>
      <c r="G17" s="2302"/>
      <c r="H17" s="2302"/>
      <c r="I17" s="2302"/>
      <c r="J17" s="2302"/>
      <c r="K17" s="2302"/>
      <c r="L17" s="2302"/>
      <c r="M17" s="2302"/>
      <c r="N17" s="2302"/>
      <c r="O17" s="2302"/>
      <c r="P17" s="2302"/>
      <c r="Q17" s="2302"/>
      <c r="R17" s="2302"/>
      <c r="S17" s="2302"/>
      <c r="T17" s="2302"/>
      <c r="U17" s="2302"/>
      <c r="V17" s="2302"/>
      <c r="W17" s="2271"/>
      <c r="Y17" s="2282"/>
      <c r="AA17" s="2282"/>
    </row>
    <row r="18" spans="1:27" ht="36.75" customHeight="1">
      <c r="A18" s="2301"/>
      <c r="B18" s="2302"/>
      <c r="C18" s="2302"/>
      <c r="D18" s="2302"/>
      <c r="E18" s="2302"/>
      <c r="F18" s="2302"/>
      <c r="G18" s="2302"/>
      <c r="H18" s="2302"/>
      <c r="I18" s="2302"/>
      <c r="J18" s="2302"/>
      <c r="K18" s="2302"/>
      <c r="L18" s="2302"/>
      <c r="M18" s="2302"/>
      <c r="N18" s="2302"/>
      <c r="O18" s="2302"/>
      <c r="P18" s="2302"/>
      <c r="Q18" s="2302"/>
      <c r="R18" s="2302"/>
      <c r="S18" s="2302"/>
      <c r="T18" s="2302"/>
      <c r="U18" s="2302"/>
      <c r="V18" s="2302"/>
      <c r="W18" s="2271"/>
      <c r="Y18" s="2282"/>
      <c r="AA18" s="2282"/>
    </row>
    <row r="19" spans="1:27" ht="36.75" customHeight="1">
      <c r="A19" s="2301"/>
      <c r="B19" s="2302"/>
      <c r="C19" s="2302"/>
      <c r="D19" s="2302"/>
      <c r="E19" s="2302"/>
      <c r="F19" s="2302"/>
      <c r="G19" s="2302"/>
      <c r="H19" s="2302"/>
      <c r="I19" s="2302"/>
      <c r="J19" s="2302"/>
      <c r="K19" s="2302"/>
      <c r="L19" s="2302"/>
      <c r="M19" s="2302"/>
      <c r="N19" s="2302"/>
      <c r="O19" s="2302"/>
      <c r="P19" s="2302"/>
      <c r="Q19" s="2302"/>
      <c r="R19" s="2302"/>
      <c r="S19" s="2302"/>
      <c r="T19" s="2302"/>
      <c r="U19" s="2302"/>
      <c r="V19" s="2302"/>
      <c r="W19" s="2271"/>
      <c r="Y19" s="2282"/>
      <c r="AA19" s="2282"/>
    </row>
    <row r="20" spans="1:27" ht="36.75" customHeight="1">
      <c r="A20" s="2301"/>
      <c r="B20" s="2302"/>
      <c r="C20" s="2302"/>
      <c r="D20" s="2302"/>
      <c r="E20" s="2302"/>
      <c r="F20" s="2302"/>
      <c r="G20" s="2302"/>
      <c r="H20" s="2302"/>
      <c r="I20" s="2302"/>
      <c r="J20" s="2302"/>
      <c r="K20" s="2302"/>
      <c r="L20" s="2302"/>
      <c r="M20" s="2302"/>
      <c r="N20" s="2302"/>
      <c r="O20" s="2302"/>
      <c r="P20" s="2302"/>
      <c r="Q20" s="2302"/>
      <c r="R20" s="2302"/>
      <c r="S20" s="2302"/>
      <c r="T20" s="2302"/>
      <c r="U20" s="2302"/>
      <c r="V20" s="2302"/>
      <c r="W20" s="2271"/>
      <c r="Y20" s="2282"/>
      <c r="AA20" s="2282"/>
    </row>
    <row r="21" spans="1:27" ht="22.15" customHeight="1">
      <c r="A21" s="2303" t="s">
        <v>1202</v>
      </c>
      <c r="B21" s="2303"/>
      <c r="C21" s="2303"/>
      <c r="D21" s="2303"/>
      <c r="E21" s="2303"/>
      <c r="F21" s="2303"/>
      <c r="G21" s="2303"/>
      <c r="H21" s="2303"/>
      <c r="I21" s="2303"/>
      <c r="J21" s="2303"/>
      <c r="K21" s="2303"/>
      <c r="L21" s="2303" t="s">
        <v>1203</v>
      </c>
      <c r="M21" s="2303"/>
      <c r="N21" s="2303"/>
      <c r="O21" s="2303"/>
      <c r="P21" s="2303"/>
      <c r="Q21" s="2303"/>
      <c r="R21" s="2303"/>
      <c r="S21" s="2303"/>
      <c r="T21" s="2303"/>
      <c r="U21" s="2303"/>
      <c r="V21" s="2303"/>
      <c r="W21" s="2271"/>
    </row>
    <row r="22" spans="1:27" ht="21.4" customHeight="1">
      <c r="A22" s="2304" t="s">
        <v>955</v>
      </c>
      <c r="B22" s="2305"/>
      <c r="C22" s="2305"/>
      <c r="D22" s="2305"/>
      <c r="E22" s="2305"/>
      <c r="F22" s="2305"/>
      <c r="G22" s="2305"/>
      <c r="H22" s="2305"/>
      <c r="I22" s="2305"/>
      <c r="J22" s="2305"/>
      <c r="K22" s="2306"/>
      <c r="L22" s="2304" t="s">
        <v>955</v>
      </c>
      <c r="M22" s="2305"/>
      <c r="N22" s="2305"/>
      <c r="O22" s="2305"/>
      <c r="P22" s="2305"/>
      <c r="Q22" s="2305"/>
      <c r="R22" s="2305"/>
      <c r="S22" s="2305"/>
      <c r="T22" s="2305"/>
      <c r="U22" s="2305"/>
      <c r="V22" s="2306"/>
      <c r="W22" s="2271"/>
    </row>
    <row r="23" spans="1:27" ht="42.4" customHeight="1">
      <c r="A23" s="2304" t="s">
        <v>956</v>
      </c>
      <c r="B23" s="2305"/>
      <c r="C23" s="2305"/>
      <c r="D23" s="2305"/>
      <c r="E23" s="2305"/>
      <c r="F23" s="2305"/>
      <c r="G23" s="2305"/>
      <c r="H23" s="2305"/>
      <c r="I23" s="2305"/>
      <c r="J23" s="2305"/>
      <c r="K23" s="2306"/>
      <c r="L23" s="2304" t="s">
        <v>956</v>
      </c>
      <c r="M23" s="2305"/>
      <c r="N23" s="2305"/>
      <c r="O23" s="2305"/>
      <c r="P23" s="2305"/>
      <c r="Q23" s="2305"/>
      <c r="R23" s="2305"/>
      <c r="S23" s="2305"/>
      <c r="T23" s="2305"/>
      <c r="U23" s="2305"/>
      <c r="V23" s="2306"/>
      <c r="W23" s="2271"/>
    </row>
    <row r="24" spans="1:27" ht="21.4" customHeight="1">
      <c r="A24" s="2307" t="s">
        <v>957</v>
      </c>
      <c r="B24" s="2307"/>
      <c r="C24" s="2307"/>
      <c r="D24" s="2307"/>
      <c r="E24" s="2307"/>
      <c r="F24" s="2307"/>
      <c r="G24" s="2307"/>
      <c r="H24" s="2307"/>
      <c r="I24" s="2307"/>
      <c r="J24" s="2307"/>
      <c r="K24" s="2307"/>
      <c r="L24" s="2307" t="s">
        <v>957</v>
      </c>
      <c r="M24" s="2307"/>
      <c r="N24" s="2307"/>
      <c r="O24" s="2307"/>
      <c r="P24" s="2307"/>
      <c r="Q24" s="2307"/>
      <c r="R24" s="2307"/>
      <c r="S24" s="2307"/>
      <c r="T24" s="2307"/>
      <c r="U24" s="2307"/>
      <c r="V24" s="2307"/>
      <c r="W24" s="2271"/>
    </row>
    <row r="25" spans="1:27">
      <c r="A25" s="2308"/>
      <c r="B25" s="2308"/>
      <c r="C25" s="2308"/>
      <c r="D25" s="2308"/>
      <c r="E25" s="2308"/>
      <c r="F25" s="2308"/>
      <c r="G25" s="2308"/>
      <c r="H25" s="2308"/>
      <c r="I25" s="2308"/>
      <c r="J25" s="2308"/>
      <c r="K25" s="2308"/>
      <c r="L25" s="2308"/>
      <c r="M25" s="2308"/>
      <c r="N25" s="2308"/>
      <c r="O25" s="2308"/>
      <c r="P25" s="2308"/>
      <c r="Q25" s="2308"/>
      <c r="R25" s="2308"/>
      <c r="S25" s="2308"/>
      <c r="T25" s="2308"/>
      <c r="U25" s="2308"/>
      <c r="V25" s="2308"/>
    </row>
    <row r="26" spans="1:27" ht="34.5" customHeight="1">
      <c r="A26" s="2309"/>
      <c r="B26" s="2309"/>
      <c r="C26" s="2309"/>
      <c r="D26" s="2309"/>
      <c r="E26" s="2302"/>
      <c r="F26" s="2302"/>
      <c r="G26" s="2302"/>
      <c r="H26" s="2302"/>
      <c r="I26" s="2302"/>
      <c r="J26" s="2302"/>
      <c r="K26" s="2302"/>
      <c r="L26" s="2302"/>
      <c r="M26" s="2302"/>
      <c r="N26" s="2302"/>
      <c r="O26" s="2310"/>
      <c r="P26" s="2310"/>
      <c r="Q26" s="2310"/>
      <c r="R26" s="2310"/>
      <c r="S26" s="2310"/>
      <c r="T26" s="2310"/>
      <c r="U26" s="2310"/>
      <c r="V26" s="2310"/>
      <c r="W26" s="2271"/>
    </row>
    <row r="27" spans="1:27" ht="28.9" customHeight="1">
      <c r="A27" s="2309"/>
      <c r="B27" s="2309"/>
      <c r="C27" s="2309"/>
      <c r="D27" s="2309"/>
      <c r="E27" s="2302"/>
      <c r="F27" s="2302"/>
      <c r="G27" s="2302"/>
      <c r="H27" s="2302"/>
      <c r="I27" s="2302"/>
      <c r="J27" s="2302"/>
      <c r="K27" s="2302"/>
      <c r="L27" s="2302"/>
      <c r="M27" s="2302"/>
      <c r="N27" s="2302"/>
      <c r="O27" s="2311"/>
      <c r="P27" s="2311"/>
      <c r="Q27" s="2311"/>
      <c r="R27" s="2311"/>
      <c r="S27" s="2311"/>
      <c r="T27" s="2311"/>
      <c r="U27" s="2312"/>
      <c r="V27" s="2313"/>
      <c r="W27" s="2271"/>
    </row>
    <row r="28" spans="1:27" ht="51" customHeight="1">
      <c r="A28" s="2314"/>
      <c r="B28" s="2314"/>
      <c r="C28" s="2314"/>
      <c r="D28" s="2314"/>
      <c r="E28" s="2314"/>
      <c r="F28" s="2314"/>
      <c r="G28" s="2314"/>
      <c r="H28" s="2314"/>
      <c r="I28" s="2314"/>
      <c r="J28" s="2314"/>
      <c r="K28" s="2314"/>
      <c r="L28" s="2314"/>
      <c r="M28" s="2314"/>
      <c r="N28" s="2314"/>
      <c r="O28" s="2314"/>
      <c r="P28" s="2314"/>
      <c r="Q28" s="2314"/>
      <c r="R28" s="2314"/>
      <c r="S28" s="2314"/>
      <c r="T28" s="2314"/>
      <c r="U28" s="2314"/>
      <c r="V28" s="2314"/>
      <c r="W28" s="2271"/>
    </row>
    <row r="29" spans="1:27" ht="19.5" customHeight="1">
      <c r="A29" s="2315"/>
      <c r="B29" s="2316"/>
      <c r="C29" s="2316"/>
      <c r="D29" s="2316"/>
      <c r="E29" s="2316"/>
      <c r="F29" s="2316"/>
      <c r="G29" s="2316"/>
      <c r="H29" s="2316"/>
      <c r="I29" s="2316"/>
      <c r="J29" s="2316"/>
      <c r="K29" s="2316"/>
      <c r="L29" s="2316"/>
      <c r="M29" s="2316"/>
      <c r="N29" s="2316"/>
      <c r="O29" s="2316"/>
      <c r="P29" s="2316"/>
      <c r="Q29" s="2316"/>
      <c r="R29" s="2316"/>
      <c r="S29" s="2316"/>
      <c r="T29" s="2316"/>
      <c r="U29" s="2316"/>
      <c r="V29" s="2316"/>
      <c r="W29" s="2271"/>
    </row>
    <row r="30" spans="1:27" ht="21.75" customHeight="1">
      <c r="A30" s="2317"/>
      <c r="B30" s="2317"/>
      <c r="C30" s="2318"/>
      <c r="D30" s="2318"/>
      <c r="E30" s="2318"/>
      <c r="F30" s="2318"/>
      <c r="G30" s="2318"/>
      <c r="H30" s="2318"/>
      <c r="I30" s="2318"/>
      <c r="J30" s="2318"/>
      <c r="K30" s="2318"/>
      <c r="L30" s="2318"/>
      <c r="M30" s="2318"/>
      <c r="N30" s="2318"/>
      <c r="O30" s="2318"/>
      <c r="P30" s="2318"/>
      <c r="Q30" s="2318"/>
      <c r="R30" s="2318"/>
      <c r="S30" s="2318"/>
      <c r="T30" s="2318"/>
      <c r="U30" s="2318"/>
      <c r="V30" s="2318"/>
      <c r="W30" s="2271"/>
    </row>
    <row r="31" spans="1:27" ht="19.5" customHeight="1">
      <c r="A31" s="2319"/>
      <c r="B31" s="2319"/>
      <c r="C31" s="2319"/>
      <c r="D31" s="2319"/>
      <c r="E31" s="2319"/>
      <c r="F31" s="2319"/>
      <c r="G31" s="2319"/>
      <c r="H31" s="2319"/>
      <c r="I31" s="2319"/>
      <c r="J31" s="2319"/>
      <c r="K31" s="2319"/>
      <c r="L31" s="2319"/>
      <c r="M31" s="2319"/>
      <c r="N31" s="2319"/>
      <c r="O31" s="2319"/>
      <c r="P31" s="2319"/>
      <c r="Q31" s="2319"/>
      <c r="R31" s="2319"/>
      <c r="S31" s="2319"/>
      <c r="T31" s="2319"/>
      <c r="U31" s="2319"/>
      <c r="V31" s="2319"/>
      <c r="W31" s="2271"/>
    </row>
    <row r="32" spans="1:27" ht="19.149999999999999" customHeight="1">
      <c r="A32" s="2310"/>
      <c r="B32" s="2320"/>
      <c r="C32" s="2320"/>
      <c r="D32" s="2320"/>
      <c r="E32" s="2320"/>
      <c r="F32" s="2320"/>
      <c r="G32" s="2320"/>
      <c r="H32" s="2320"/>
      <c r="I32" s="2320"/>
      <c r="J32" s="2320"/>
      <c r="K32" s="2310"/>
      <c r="L32" s="2310"/>
      <c r="M32" s="2310"/>
      <c r="N32" s="2310"/>
      <c r="O32" s="2310"/>
      <c r="P32" s="2310"/>
      <c r="Q32" s="2310"/>
      <c r="R32" s="2310"/>
      <c r="S32" s="2310"/>
      <c r="T32" s="2310"/>
      <c r="U32" s="2310"/>
      <c r="V32" s="2310"/>
      <c r="W32" s="2271"/>
    </row>
    <row r="33" spans="1:27" ht="25.5" customHeight="1">
      <c r="A33" s="2321"/>
      <c r="B33" s="2321"/>
      <c r="C33" s="2321"/>
      <c r="D33" s="2321"/>
      <c r="E33" s="2321"/>
      <c r="F33" s="2321"/>
      <c r="G33" s="2321"/>
      <c r="H33" s="2321"/>
      <c r="I33" s="2321"/>
      <c r="J33" s="2321"/>
      <c r="K33" s="2321"/>
      <c r="L33" s="2321"/>
      <c r="M33" s="2321"/>
      <c r="N33" s="2321"/>
      <c r="O33" s="2321"/>
      <c r="P33" s="2321"/>
      <c r="Q33" s="2321"/>
      <c r="R33" s="2321"/>
      <c r="S33" s="2321"/>
      <c r="T33" s="2321"/>
      <c r="U33" s="2321"/>
      <c r="V33" s="2321"/>
      <c r="W33" s="2271"/>
    </row>
    <row r="34" spans="1:27" ht="25.5" customHeight="1">
      <c r="A34" s="2322"/>
      <c r="B34" s="2322"/>
      <c r="C34" s="2322"/>
      <c r="D34" s="2322"/>
      <c r="E34" s="2322"/>
      <c r="F34" s="2322"/>
      <c r="G34" s="2322"/>
      <c r="H34" s="2322"/>
      <c r="I34" s="2322"/>
      <c r="J34" s="2322"/>
      <c r="K34" s="2322"/>
      <c r="L34" s="2322"/>
      <c r="M34" s="2322"/>
      <c r="N34" s="2322"/>
      <c r="O34" s="2322"/>
      <c r="P34" s="2322"/>
      <c r="Q34" s="2322"/>
      <c r="R34" s="2322"/>
      <c r="S34" s="2322"/>
      <c r="T34" s="2322"/>
      <c r="U34" s="2322"/>
      <c r="V34" s="2322"/>
      <c r="W34" s="2271"/>
    </row>
    <row r="35" spans="1:27" ht="25.5" customHeight="1">
      <c r="A35" s="2322"/>
      <c r="B35" s="2322"/>
      <c r="C35" s="2322"/>
      <c r="D35" s="2322"/>
      <c r="E35" s="2322"/>
      <c r="F35" s="2322"/>
      <c r="G35" s="2322"/>
      <c r="H35" s="2322"/>
      <c r="I35" s="2322"/>
      <c r="J35" s="2322"/>
      <c r="K35" s="2322"/>
      <c r="L35" s="2322"/>
      <c r="M35" s="2322"/>
      <c r="N35" s="2322"/>
      <c r="O35" s="2322"/>
      <c r="P35" s="2322"/>
      <c r="Q35" s="2322"/>
      <c r="R35" s="2322"/>
      <c r="S35" s="2322"/>
      <c r="T35" s="2322"/>
      <c r="U35" s="2322"/>
      <c r="V35" s="2322"/>
      <c r="W35" s="2271"/>
    </row>
    <row r="36" spans="1:27" ht="25.5" customHeight="1">
      <c r="A36" s="2322"/>
      <c r="B36" s="2322"/>
      <c r="C36" s="2322"/>
      <c r="D36" s="2322"/>
      <c r="E36" s="2322"/>
      <c r="F36" s="2322"/>
      <c r="G36" s="2322"/>
      <c r="H36" s="2322"/>
      <c r="I36" s="2322"/>
      <c r="J36" s="2322"/>
      <c r="K36" s="2322"/>
      <c r="L36" s="2322"/>
      <c r="M36" s="2322"/>
      <c r="N36" s="2322"/>
      <c r="O36" s="2322"/>
      <c r="P36" s="2322"/>
      <c r="Q36" s="2322"/>
      <c r="R36" s="2322"/>
      <c r="S36" s="2322"/>
      <c r="T36" s="2322"/>
      <c r="U36" s="2322"/>
      <c r="V36" s="2322"/>
      <c r="W36" s="2271"/>
    </row>
    <row r="37" spans="1:27" ht="36.75" customHeight="1">
      <c r="A37" s="2301"/>
      <c r="B37" s="2302"/>
      <c r="C37" s="2302"/>
      <c r="D37" s="2302"/>
      <c r="E37" s="2302"/>
      <c r="F37" s="2301"/>
      <c r="G37" s="2302"/>
      <c r="H37" s="2302"/>
      <c r="I37" s="2302"/>
      <c r="J37" s="2302"/>
      <c r="K37" s="2302"/>
      <c r="L37" s="2302"/>
      <c r="M37" s="2302"/>
      <c r="N37" s="2302"/>
      <c r="O37" s="2302"/>
      <c r="P37" s="2302"/>
      <c r="Q37" s="2302"/>
      <c r="R37" s="2302"/>
      <c r="S37" s="2302"/>
      <c r="T37" s="2302"/>
      <c r="U37" s="2302"/>
      <c r="V37" s="2302"/>
      <c r="W37" s="2271"/>
      <c r="Y37" s="2282"/>
      <c r="AA37" s="2282"/>
    </row>
    <row r="38" spans="1:27" ht="38.65" customHeight="1">
      <c r="A38" s="2313"/>
      <c r="B38" s="2323"/>
      <c r="C38" s="2311"/>
      <c r="D38" s="2311"/>
      <c r="E38" s="2311"/>
      <c r="F38" s="2313"/>
      <c r="G38" s="2311"/>
      <c r="H38" s="2311"/>
      <c r="I38" s="2311"/>
      <c r="J38" s="2311"/>
      <c r="K38" s="2311"/>
      <c r="L38" s="2311"/>
      <c r="M38" s="2311"/>
      <c r="N38" s="2311"/>
      <c r="O38" s="2311"/>
      <c r="P38" s="2311"/>
      <c r="Q38" s="2311"/>
      <c r="R38" s="2311"/>
      <c r="S38" s="2311"/>
      <c r="T38" s="2311"/>
      <c r="U38" s="2311"/>
      <c r="V38" s="2311"/>
      <c r="W38" s="2271"/>
      <c r="Y38" s="2324"/>
    </row>
    <row r="39" spans="1:27" ht="39.4" customHeight="1">
      <c r="A39" s="2313"/>
      <c r="B39" s="2323"/>
      <c r="C39" s="2311"/>
      <c r="D39" s="2311"/>
      <c r="E39" s="2311"/>
      <c r="F39" s="2313"/>
      <c r="G39" s="2311"/>
      <c r="H39" s="2311"/>
      <c r="I39" s="2311"/>
      <c r="J39" s="2311"/>
      <c r="K39" s="2311"/>
      <c r="L39" s="2311"/>
      <c r="M39" s="2311"/>
      <c r="N39" s="2311"/>
      <c r="O39" s="2311"/>
      <c r="P39" s="2311"/>
      <c r="Q39" s="2311"/>
      <c r="R39" s="2311"/>
      <c r="S39" s="2311"/>
      <c r="T39" s="2311"/>
      <c r="U39" s="2311"/>
      <c r="V39" s="2311"/>
      <c r="W39" s="2271"/>
      <c r="Y39" s="2324"/>
    </row>
    <row r="40" spans="1:27" ht="39.4" customHeight="1">
      <c r="A40" s="2313"/>
      <c r="B40" s="2323"/>
      <c r="C40" s="2311"/>
      <c r="D40" s="2311"/>
      <c r="E40" s="2311"/>
      <c r="F40" s="2313"/>
      <c r="G40" s="2311"/>
      <c r="H40" s="2311"/>
      <c r="I40" s="2311"/>
      <c r="J40" s="2311"/>
      <c r="K40" s="2311"/>
      <c r="L40" s="2311"/>
      <c r="M40" s="2311"/>
      <c r="N40" s="2311"/>
      <c r="O40" s="2311"/>
      <c r="P40" s="2311"/>
      <c r="Q40" s="2311"/>
      <c r="R40" s="2311"/>
      <c r="S40" s="2311"/>
      <c r="T40" s="2311"/>
      <c r="U40" s="2311"/>
      <c r="V40" s="2311"/>
      <c r="W40" s="2271"/>
      <c r="Y40" s="2324"/>
    </row>
    <row r="41" spans="1:27" ht="39.4" customHeight="1">
      <c r="A41" s="2313"/>
      <c r="B41" s="2323"/>
      <c r="C41" s="2311"/>
      <c r="D41" s="2311"/>
      <c r="E41" s="2311"/>
      <c r="F41" s="2313"/>
      <c r="G41" s="2311"/>
      <c r="H41" s="2311"/>
      <c r="I41" s="2311"/>
      <c r="J41" s="2311"/>
      <c r="K41" s="2311"/>
      <c r="L41" s="2311"/>
      <c r="M41" s="2311"/>
      <c r="N41" s="2311"/>
      <c r="O41" s="2311"/>
      <c r="P41" s="2311"/>
      <c r="Q41" s="2311"/>
      <c r="R41" s="2311"/>
      <c r="S41" s="2311"/>
      <c r="T41" s="2311"/>
      <c r="U41" s="2311"/>
      <c r="V41" s="2311"/>
      <c r="W41" s="2271"/>
      <c r="Y41" s="2324"/>
    </row>
    <row r="42" spans="1:27" ht="39.4" customHeight="1">
      <c r="A42" s="2313"/>
      <c r="B42" s="2323"/>
      <c r="C42" s="2311"/>
      <c r="D42" s="2311"/>
      <c r="E42" s="2311"/>
      <c r="F42" s="2313"/>
      <c r="G42" s="2311"/>
      <c r="H42" s="2311"/>
      <c r="I42" s="2311"/>
      <c r="J42" s="2311"/>
      <c r="K42" s="2311"/>
      <c r="L42" s="2311"/>
      <c r="M42" s="2311"/>
      <c r="N42" s="2311"/>
      <c r="O42" s="2311"/>
      <c r="P42" s="2311"/>
      <c r="Q42" s="2311"/>
      <c r="R42" s="2311"/>
      <c r="S42" s="2311"/>
      <c r="T42" s="2311"/>
      <c r="U42" s="2311"/>
      <c r="V42" s="2311"/>
    </row>
    <row r="43" spans="1:27" ht="39.4" customHeight="1">
      <c r="A43" s="2313"/>
      <c r="B43" s="2323"/>
      <c r="C43" s="2311"/>
      <c r="D43" s="2311"/>
      <c r="E43" s="2311"/>
      <c r="F43" s="2313"/>
      <c r="G43" s="2311"/>
      <c r="H43" s="2311"/>
      <c r="I43" s="2311"/>
      <c r="J43" s="2311"/>
      <c r="K43" s="2311"/>
      <c r="L43" s="2311"/>
      <c r="M43" s="2311"/>
      <c r="N43" s="2311"/>
      <c r="O43" s="2311"/>
      <c r="P43" s="2311"/>
      <c r="Q43" s="2311"/>
      <c r="R43" s="2311"/>
      <c r="S43" s="2311"/>
      <c r="T43" s="2311"/>
      <c r="U43" s="2311"/>
      <c r="V43" s="2311"/>
    </row>
    <row r="44" spans="1:27" ht="19.899999999999999" customHeight="1">
      <c r="A44" s="2325"/>
      <c r="B44" s="2325"/>
      <c r="C44" s="2325"/>
      <c r="D44" s="2325"/>
      <c r="E44" s="2325"/>
      <c r="F44" s="2325"/>
      <c r="G44" s="2325"/>
      <c r="H44" s="2325"/>
      <c r="I44" s="2325"/>
      <c r="J44" s="2325"/>
      <c r="K44" s="2325"/>
      <c r="L44" s="2325"/>
      <c r="M44" s="2325"/>
      <c r="N44" s="2325"/>
      <c r="O44" s="2325"/>
      <c r="P44" s="2325"/>
      <c r="Q44" s="2325"/>
      <c r="R44" s="2325"/>
      <c r="S44" s="2325"/>
      <c r="T44" s="2325"/>
      <c r="U44" s="2325"/>
      <c r="V44" s="2325"/>
      <c r="W44" s="2271"/>
    </row>
    <row r="45" spans="1:27" ht="16.149999999999999" customHeight="1">
      <c r="A45" s="2326"/>
      <c r="B45" s="2326"/>
      <c r="C45" s="2326"/>
      <c r="D45" s="2326"/>
      <c r="E45" s="2326"/>
      <c r="F45" s="2326"/>
      <c r="G45" s="2327"/>
      <c r="H45" s="2327"/>
      <c r="I45" s="2327"/>
      <c r="J45" s="2327"/>
      <c r="K45" s="2327"/>
      <c r="L45" s="2327"/>
      <c r="M45" s="2327"/>
      <c r="N45" s="2327"/>
      <c r="O45" s="2328"/>
      <c r="P45" s="2328"/>
      <c r="Q45" s="2328"/>
      <c r="R45" s="2328"/>
      <c r="S45" s="2328"/>
      <c r="T45" s="2328"/>
      <c r="U45" s="2328"/>
      <c r="V45" s="2328"/>
      <c r="W45" s="2271"/>
    </row>
    <row r="46" spans="1:27" ht="12.4" customHeight="1">
      <c r="A46" s="2329"/>
      <c r="B46" s="2329"/>
      <c r="C46" s="2329"/>
      <c r="D46" s="2329"/>
      <c r="E46" s="2329"/>
      <c r="F46" s="2329"/>
      <c r="G46" s="2329"/>
      <c r="H46" s="2329"/>
      <c r="I46" s="2329"/>
      <c r="J46" s="2329"/>
      <c r="K46" s="2329"/>
      <c r="L46" s="2329"/>
      <c r="M46" s="2329"/>
      <c r="N46" s="2329"/>
      <c r="O46" s="2330"/>
      <c r="P46" s="2330"/>
      <c r="Q46" s="2330"/>
      <c r="R46" s="2330"/>
      <c r="S46" s="2330"/>
      <c r="T46" s="2330"/>
      <c r="U46" s="2330"/>
      <c r="V46" s="2330"/>
      <c r="W46" s="2271"/>
    </row>
    <row r="47" spans="1:27" ht="12.4" customHeight="1">
      <c r="A47" s="2329"/>
      <c r="B47" s="2329"/>
      <c r="C47" s="2329"/>
      <c r="D47" s="2329"/>
      <c r="E47" s="2329"/>
      <c r="F47" s="2329"/>
      <c r="G47" s="2329"/>
      <c r="H47" s="2329"/>
      <c r="I47" s="2329"/>
      <c r="J47" s="2329"/>
      <c r="K47" s="2329"/>
      <c r="L47" s="2329"/>
      <c r="M47" s="2329"/>
      <c r="N47" s="2329"/>
      <c r="O47" s="2331"/>
      <c r="P47" s="2331"/>
      <c r="Q47" s="2331"/>
      <c r="R47" s="2331"/>
      <c r="S47" s="2331"/>
      <c r="T47" s="2331"/>
      <c r="U47" s="2331"/>
      <c r="V47" s="2331"/>
      <c r="W47" s="2271"/>
    </row>
    <row r="48" spans="1:27" ht="12.4" customHeight="1">
      <c r="A48" s="2329"/>
      <c r="B48" s="2329"/>
      <c r="C48" s="2329"/>
      <c r="D48" s="2329"/>
      <c r="E48" s="2329"/>
      <c r="F48" s="2329"/>
      <c r="G48" s="2329"/>
      <c r="H48" s="2329"/>
      <c r="I48" s="2329"/>
      <c r="J48" s="2329"/>
      <c r="K48" s="2329"/>
      <c r="L48" s="2329"/>
      <c r="M48" s="2329"/>
      <c r="N48" s="2329"/>
      <c r="O48" s="2328"/>
      <c r="P48" s="2328"/>
      <c r="Q48" s="2328"/>
      <c r="R48" s="2328"/>
      <c r="S48" s="2328"/>
      <c r="T48" s="2328"/>
      <c r="U48" s="2328"/>
      <c r="V48" s="2328"/>
      <c r="W48" s="2271"/>
    </row>
    <row r="49" spans="1:23" ht="16.149999999999999" customHeight="1">
      <c r="A49" s="2332"/>
      <c r="B49" s="2332"/>
      <c r="C49" s="2332"/>
      <c r="D49" s="2332"/>
      <c r="E49" s="2332"/>
      <c r="F49" s="2332"/>
      <c r="G49" s="2329"/>
      <c r="H49" s="2329"/>
      <c r="I49" s="2329"/>
      <c r="J49" s="2329"/>
      <c r="K49" s="2329"/>
      <c r="L49" s="2329"/>
      <c r="M49" s="2329"/>
      <c r="N49" s="2329"/>
      <c r="O49" s="2328"/>
      <c r="P49" s="2328"/>
      <c r="Q49" s="2328"/>
      <c r="R49" s="2328"/>
      <c r="S49" s="2328"/>
      <c r="T49" s="2328"/>
      <c r="U49" s="2328"/>
      <c r="V49" s="2328"/>
      <c r="W49" s="2271"/>
    </row>
    <row r="50" spans="1:23" ht="22.15" customHeight="1">
      <c r="A50" s="2310"/>
      <c r="B50" s="2310"/>
      <c r="C50" s="2310"/>
      <c r="D50" s="2310"/>
      <c r="E50" s="2310"/>
      <c r="F50" s="2310"/>
      <c r="G50" s="2310"/>
      <c r="H50" s="2310"/>
      <c r="I50" s="2310"/>
      <c r="J50" s="2310"/>
      <c r="K50" s="2310"/>
      <c r="L50" s="2310"/>
      <c r="M50" s="2310"/>
      <c r="N50" s="2310"/>
      <c r="O50" s="2310"/>
      <c r="P50" s="2310"/>
      <c r="Q50" s="2310"/>
      <c r="R50" s="2310"/>
      <c r="S50" s="2310"/>
      <c r="T50" s="2310"/>
      <c r="U50" s="2310"/>
      <c r="V50" s="2310"/>
      <c r="W50" s="2271"/>
    </row>
    <row r="51" spans="1:23" ht="21.4" customHeight="1">
      <c r="A51" s="2333"/>
      <c r="B51" s="2333"/>
      <c r="C51" s="2310"/>
      <c r="D51" s="2310"/>
      <c r="E51" s="2310"/>
      <c r="F51" s="2310"/>
      <c r="G51" s="2310"/>
      <c r="H51" s="2310"/>
      <c r="I51" s="2310"/>
      <c r="J51" s="2310"/>
      <c r="K51" s="2310"/>
      <c r="L51" s="2310"/>
      <c r="M51" s="2310"/>
      <c r="N51" s="2310"/>
      <c r="O51" s="2310"/>
      <c r="P51" s="2310"/>
      <c r="Q51" s="2310"/>
      <c r="R51" s="2310"/>
      <c r="S51" s="2310"/>
      <c r="T51" s="2310"/>
      <c r="U51" s="2310"/>
      <c r="V51" s="2310"/>
      <c r="W51" s="2271"/>
    </row>
    <row r="52" spans="1:23" ht="42.4" customHeight="1">
      <c r="A52" s="2333"/>
      <c r="B52" s="2333"/>
      <c r="C52" s="2333"/>
      <c r="D52" s="2333"/>
      <c r="E52" s="2333"/>
      <c r="F52" s="2333"/>
      <c r="G52" s="2333"/>
      <c r="H52" s="2333"/>
      <c r="I52" s="2333"/>
      <c r="J52" s="2333"/>
      <c r="K52" s="2333"/>
      <c r="L52" s="2333"/>
      <c r="M52" s="2333"/>
      <c r="N52" s="2333"/>
      <c r="O52" s="2333"/>
      <c r="P52" s="2333"/>
      <c r="Q52" s="2333"/>
      <c r="R52" s="2333"/>
      <c r="S52" s="2333"/>
      <c r="T52" s="2333"/>
      <c r="U52" s="2333"/>
      <c r="V52" s="2333"/>
      <c r="W52" s="2271"/>
    </row>
    <row r="53" spans="1:23" ht="21.4" customHeight="1">
      <c r="A53" s="2333"/>
      <c r="B53" s="2333"/>
      <c r="C53" s="2334"/>
      <c r="D53" s="2334"/>
      <c r="E53" s="2334"/>
      <c r="F53" s="2334"/>
      <c r="G53" s="2334"/>
      <c r="H53" s="2334"/>
      <c r="I53" s="2334"/>
      <c r="J53" s="2334"/>
      <c r="K53" s="2334"/>
      <c r="L53" s="2334"/>
      <c r="M53" s="2334"/>
      <c r="N53" s="2334"/>
      <c r="O53" s="2334"/>
      <c r="P53" s="2334"/>
      <c r="Q53" s="2334"/>
      <c r="R53" s="2334"/>
      <c r="S53" s="2334"/>
      <c r="T53" s="2334"/>
      <c r="U53" s="2334"/>
      <c r="V53" s="2334"/>
      <c r="W53" s="2271"/>
    </row>
    <row r="54" spans="1:23">
      <c r="A54" s="2308"/>
      <c r="B54" s="2308"/>
      <c r="C54" s="2308"/>
      <c r="D54" s="2308"/>
      <c r="E54" s="2308"/>
      <c r="F54" s="2308"/>
      <c r="G54" s="2308"/>
      <c r="H54" s="2308"/>
      <c r="I54" s="2308"/>
      <c r="J54" s="2308"/>
      <c r="K54" s="2308"/>
      <c r="L54" s="2308"/>
      <c r="M54" s="2308"/>
      <c r="N54" s="2308"/>
      <c r="O54" s="2308"/>
      <c r="P54" s="2308"/>
      <c r="Q54" s="2308"/>
      <c r="R54" s="2308"/>
      <c r="S54" s="2308"/>
      <c r="T54" s="2308"/>
      <c r="U54" s="2308"/>
      <c r="V54" s="2308"/>
    </row>
    <row r="55" spans="1:23" ht="34.5" customHeight="1">
      <c r="A55" s="2309"/>
      <c r="B55" s="2309"/>
      <c r="C55" s="2309"/>
      <c r="D55" s="2309"/>
      <c r="E55" s="2302"/>
      <c r="F55" s="2302"/>
      <c r="G55" s="2302"/>
      <c r="H55" s="2302"/>
      <c r="I55" s="2302"/>
      <c r="J55" s="2302"/>
      <c r="K55" s="2302"/>
      <c r="L55" s="2302"/>
      <c r="M55" s="2302"/>
      <c r="N55" s="2302"/>
      <c r="O55" s="2310"/>
      <c r="P55" s="2310"/>
      <c r="Q55" s="2310"/>
      <c r="R55" s="2310"/>
      <c r="S55" s="2310"/>
      <c r="T55" s="2310"/>
      <c r="U55" s="2310"/>
      <c r="V55" s="2310"/>
      <c r="W55" s="2271"/>
    </row>
    <row r="56" spans="1:23" ht="28.9" customHeight="1">
      <c r="A56" s="2309"/>
      <c r="B56" s="2309"/>
      <c r="C56" s="2309"/>
      <c r="D56" s="2309"/>
      <c r="E56" s="2302"/>
      <c r="F56" s="2302"/>
      <c r="G56" s="2302"/>
      <c r="H56" s="2302"/>
      <c r="I56" s="2302"/>
      <c r="J56" s="2302"/>
      <c r="K56" s="2302"/>
      <c r="L56" s="2302"/>
      <c r="M56" s="2302"/>
      <c r="N56" s="2302"/>
      <c r="O56" s="2311"/>
      <c r="P56" s="2311"/>
      <c r="Q56" s="2311"/>
      <c r="R56" s="2311"/>
      <c r="S56" s="2311"/>
      <c r="T56" s="2311"/>
      <c r="U56" s="2312"/>
      <c r="V56" s="2313"/>
      <c r="W56" s="2271"/>
    </row>
    <row r="57" spans="1:23" ht="51" customHeight="1">
      <c r="A57" s="2314"/>
      <c r="B57" s="2314"/>
      <c r="C57" s="2314"/>
      <c r="D57" s="2314"/>
      <c r="E57" s="2314"/>
      <c r="F57" s="2314"/>
      <c r="G57" s="2314"/>
      <c r="H57" s="2314"/>
      <c r="I57" s="2314"/>
      <c r="J57" s="2314"/>
      <c r="K57" s="2314"/>
      <c r="L57" s="2314"/>
      <c r="M57" s="2314"/>
      <c r="N57" s="2314"/>
      <c r="O57" s="2314"/>
      <c r="P57" s="2314"/>
      <c r="Q57" s="2314"/>
      <c r="R57" s="2314"/>
      <c r="S57" s="2314"/>
      <c r="T57" s="2314"/>
      <c r="U57" s="2314"/>
      <c r="V57" s="2314"/>
      <c r="W57" s="2271"/>
    </row>
    <row r="58" spans="1:23" ht="19.5" customHeight="1">
      <c r="A58" s="2315"/>
      <c r="B58" s="2316"/>
      <c r="C58" s="2316"/>
      <c r="D58" s="2316"/>
      <c r="E58" s="2316"/>
      <c r="F58" s="2316"/>
      <c r="G58" s="2316"/>
      <c r="H58" s="2316"/>
      <c r="I58" s="2316"/>
      <c r="J58" s="2316"/>
      <c r="K58" s="2316"/>
      <c r="L58" s="2316"/>
      <c r="M58" s="2316"/>
      <c r="N58" s="2316"/>
      <c r="O58" s="2316"/>
      <c r="P58" s="2316"/>
      <c r="Q58" s="2316"/>
      <c r="R58" s="2316"/>
      <c r="S58" s="2316"/>
      <c r="T58" s="2316"/>
      <c r="U58" s="2316"/>
      <c r="V58" s="2316"/>
      <c r="W58" s="2271"/>
    </row>
    <row r="59" spans="1:23" ht="21.75" customHeight="1">
      <c r="A59" s="2317"/>
      <c r="B59" s="2317"/>
      <c r="C59" s="2318"/>
      <c r="D59" s="2318"/>
      <c r="E59" s="2318"/>
      <c r="F59" s="2318"/>
      <c r="G59" s="2318"/>
      <c r="H59" s="2318"/>
      <c r="I59" s="2318"/>
      <c r="J59" s="2318"/>
      <c r="K59" s="2318"/>
      <c r="L59" s="2318"/>
      <c r="M59" s="2318"/>
      <c r="N59" s="2318"/>
      <c r="O59" s="2318"/>
      <c r="P59" s="2318"/>
      <c r="Q59" s="2318"/>
      <c r="R59" s="2318"/>
      <c r="S59" s="2318"/>
      <c r="T59" s="2318"/>
      <c r="U59" s="2318"/>
      <c r="V59" s="2318"/>
      <c r="W59" s="2271"/>
    </row>
    <row r="60" spans="1:23" ht="19.5" customHeight="1">
      <c r="A60" s="2319"/>
      <c r="B60" s="2319"/>
      <c r="C60" s="2319"/>
      <c r="D60" s="2319"/>
      <c r="E60" s="2319"/>
      <c r="F60" s="2319"/>
      <c r="G60" s="2319"/>
      <c r="H60" s="2319"/>
      <c r="I60" s="2319"/>
      <c r="J60" s="2319"/>
      <c r="K60" s="2319"/>
      <c r="L60" s="2319"/>
      <c r="M60" s="2319"/>
      <c r="N60" s="2319"/>
      <c r="O60" s="2319"/>
      <c r="P60" s="2319"/>
      <c r="Q60" s="2319"/>
      <c r="R60" s="2319"/>
      <c r="S60" s="2319"/>
      <c r="T60" s="2319"/>
      <c r="U60" s="2319"/>
      <c r="V60" s="2319"/>
      <c r="W60" s="2271"/>
    </row>
    <row r="61" spans="1:23" ht="19.149999999999999" customHeight="1">
      <c r="A61" s="2310"/>
      <c r="B61" s="2320"/>
      <c r="C61" s="2320"/>
      <c r="D61" s="2320"/>
      <c r="E61" s="2320"/>
      <c r="F61" s="2320"/>
      <c r="G61" s="2320"/>
      <c r="H61" s="2320"/>
      <c r="I61" s="2320"/>
      <c r="J61" s="2320"/>
      <c r="K61" s="2310"/>
      <c r="L61" s="2310"/>
      <c r="M61" s="2310"/>
      <c r="N61" s="2310"/>
      <c r="O61" s="2310"/>
      <c r="P61" s="2310"/>
      <c r="Q61" s="2310"/>
      <c r="R61" s="2310"/>
      <c r="S61" s="2310"/>
      <c r="T61" s="2310"/>
      <c r="U61" s="2310"/>
      <c r="V61" s="2310"/>
      <c r="W61" s="2271"/>
    </row>
    <row r="62" spans="1:23" ht="25.5" customHeight="1">
      <c r="A62" s="2321"/>
      <c r="B62" s="2321"/>
      <c r="C62" s="2321"/>
      <c r="D62" s="2321"/>
      <c r="E62" s="2321"/>
      <c r="F62" s="2321"/>
      <c r="G62" s="2321"/>
      <c r="H62" s="2321"/>
      <c r="I62" s="2321"/>
      <c r="J62" s="2321"/>
      <c r="K62" s="2321"/>
      <c r="L62" s="2321"/>
      <c r="M62" s="2321"/>
      <c r="N62" s="2321"/>
      <c r="O62" s="2321"/>
      <c r="P62" s="2321"/>
      <c r="Q62" s="2321"/>
      <c r="R62" s="2321"/>
      <c r="S62" s="2321"/>
      <c r="T62" s="2321"/>
      <c r="U62" s="2321"/>
      <c r="V62" s="2321"/>
      <c r="W62" s="2271"/>
    </row>
    <row r="63" spans="1:23" ht="25.5" customHeight="1">
      <c r="A63" s="2322"/>
      <c r="B63" s="2322"/>
      <c r="C63" s="2322"/>
      <c r="D63" s="2322"/>
      <c r="E63" s="2322"/>
      <c r="F63" s="2322"/>
      <c r="G63" s="2322"/>
      <c r="H63" s="2322"/>
      <c r="I63" s="2322"/>
      <c r="J63" s="2322"/>
      <c r="K63" s="2322"/>
      <c r="L63" s="2322"/>
      <c r="M63" s="2322"/>
      <c r="N63" s="2322"/>
      <c r="O63" s="2322"/>
      <c r="P63" s="2322"/>
      <c r="Q63" s="2322"/>
      <c r="R63" s="2322"/>
      <c r="S63" s="2322"/>
      <c r="T63" s="2322"/>
      <c r="U63" s="2322"/>
      <c r="V63" s="2322"/>
      <c r="W63" s="2271"/>
    </row>
    <row r="64" spans="1:23" ht="25.5" customHeight="1">
      <c r="A64" s="2322"/>
      <c r="B64" s="2322"/>
      <c r="C64" s="2322"/>
      <c r="D64" s="2322"/>
      <c r="E64" s="2322"/>
      <c r="F64" s="2322"/>
      <c r="G64" s="2322"/>
      <c r="H64" s="2322"/>
      <c r="I64" s="2322"/>
      <c r="J64" s="2322"/>
      <c r="K64" s="2322"/>
      <c r="L64" s="2322"/>
      <c r="M64" s="2322"/>
      <c r="N64" s="2322"/>
      <c r="O64" s="2322"/>
      <c r="P64" s="2322"/>
      <c r="Q64" s="2322"/>
      <c r="R64" s="2322"/>
      <c r="S64" s="2322"/>
      <c r="T64" s="2322"/>
      <c r="U64" s="2322"/>
      <c r="V64" s="2322"/>
      <c r="W64" s="2271"/>
    </row>
    <row r="65" spans="1:27" ht="25.5" customHeight="1">
      <c r="A65" s="2322"/>
      <c r="B65" s="2322"/>
      <c r="C65" s="2322"/>
      <c r="D65" s="2322"/>
      <c r="E65" s="2322"/>
      <c r="F65" s="2322"/>
      <c r="G65" s="2322"/>
      <c r="H65" s="2322"/>
      <c r="I65" s="2322"/>
      <c r="J65" s="2322"/>
      <c r="K65" s="2322"/>
      <c r="L65" s="2322"/>
      <c r="M65" s="2322"/>
      <c r="N65" s="2322"/>
      <c r="O65" s="2322"/>
      <c r="P65" s="2322"/>
      <c r="Q65" s="2322"/>
      <c r="R65" s="2322"/>
      <c r="S65" s="2322"/>
      <c r="T65" s="2322"/>
      <c r="U65" s="2322"/>
      <c r="V65" s="2322"/>
      <c r="W65" s="2271"/>
    </row>
    <row r="66" spans="1:27" ht="36.75" customHeight="1">
      <c r="A66" s="2301"/>
      <c r="B66" s="2302"/>
      <c r="C66" s="2302"/>
      <c r="D66" s="2302"/>
      <c r="E66" s="2302"/>
      <c r="F66" s="2301"/>
      <c r="G66" s="2302"/>
      <c r="H66" s="2302"/>
      <c r="I66" s="2302"/>
      <c r="J66" s="2302"/>
      <c r="K66" s="2302"/>
      <c r="L66" s="2302"/>
      <c r="M66" s="2302"/>
      <c r="N66" s="2302"/>
      <c r="O66" s="2302"/>
      <c r="P66" s="2302"/>
      <c r="Q66" s="2302"/>
      <c r="R66" s="2302"/>
      <c r="S66" s="2302"/>
      <c r="T66" s="2302"/>
      <c r="U66" s="2302"/>
      <c r="V66" s="2302"/>
      <c r="W66" s="2271"/>
      <c r="Y66" s="2282"/>
      <c r="AA66" s="2282"/>
    </row>
    <row r="67" spans="1:27" ht="38.65" customHeight="1">
      <c r="A67" s="2313"/>
      <c r="B67" s="2323"/>
      <c r="C67" s="2311"/>
      <c r="D67" s="2311"/>
      <c r="E67" s="2311"/>
      <c r="F67" s="2313"/>
      <c r="G67" s="2311"/>
      <c r="H67" s="2311"/>
      <c r="I67" s="2311"/>
      <c r="J67" s="2311"/>
      <c r="K67" s="2311"/>
      <c r="L67" s="2311"/>
      <c r="M67" s="2311"/>
      <c r="N67" s="2311"/>
      <c r="O67" s="2311"/>
      <c r="P67" s="2311"/>
      <c r="Q67" s="2311"/>
      <c r="R67" s="2311"/>
      <c r="S67" s="2311"/>
      <c r="T67" s="2311"/>
      <c r="U67" s="2311"/>
      <c r="V67" s="2311"/>
      <c r="W67" s="2271"/>
      <c r="Y67" s="2324"/>
    </row>
    <row r="68" spans="1:27" ht="39.4" customHeight="1">
      <c r="A68" s="2313"/>
      <c r="B68" s="2323"/>
      <c r="C68" s="2311"/>
      <c r="D68" s="2311"/>
      <c r="E68" s="2311"/>
      <c r="F68" s="2313"/>
      <c r="G68" s="2311"/>
      <c r="H68" s="2311"/>
      <c r="I68" s="2311"/>
      <c r="J68" s="2311"/>
      <c r="K68" s="2311"/>
      <c r="L68" s="2311"/>
      <c r="M68" s="2311"/>
      <c r="N68" s="2311"/>
      <c r="O68" s="2311"/>
      <c r="P68" s="2311"/>
      <c r="Q68" s="2311"/>
      <c r="R68" s="2311"/>
      <c r="S68" s="2311"/>
      <c r="T68" s="2311"/>
      <c r="U68" s="2311"/>
      <c r="V68" s="2311"/>
      <c r="W68" s="2271"/>
      <c r="Y68" s="2324"/>
    </row>
    <row r="69" spans="1:27" ht="39.4" customHeight="1">
      <c r="A69" s="2313"/>
      <c r="B69" s="2323"/>
      <c r="C69" s="2311"/>
      <c r="D69" s="2311"/>
      <c r="E69" s="2311"/>
      <c r="F69" s="2313"/>
      <c r="G69" s="2311"/>
      <c r="H69" s="2311"/>
      <c r="I69" s="2311"/>
      <c r="J69" s="2311"/>
      <c r="K69" s="2311"/>
      <c r="L69" s="2311"/>
      <c r="M69" s="2311"/>
      <c r="N69" s="2311"/>
      <c r="O69" s="2311"/>
      <c r="P69" s="2311"/>
      <c r="Q69" s="2311"/>
      <c r="R69" s="2311"/>
      <c r="S69" s="2311"/>
      <c r="T69" s="2311"/>
      <c r="U69" s="2311"/>
      <c r="V69" s="2311"/>
      <c r="W69" s="2271"/>
      <c r="Y69" s="2324"/>
    </row>
    <row r="70" spans="1:27" ht="39.4" customHeight="1">
      <c r="A70" s="2313"/>
      <c r="B70" s="2323"/>
      <c r="C70" s="2311"/>
      <c r="D70" s="2311"/>
      <c r="E70" s="2311"/>
      <c r="F70" s="2313"/>
      <c r="G70" s="2311"/>
      <c r="H70" s="2311"/>
      <c r="I70" s="2311"/>
      <c r="J70" s="2311"/>
      <c r="K70" s="2311"/>
      <c r="L70" s="2311"/>
      <c r="M70" s="2311"/>
      <c r="N70" s="2311"/>
      <c r="O70" s="2311"/>
      <c r="P70" s="2311"/>
      <c r="Q70" s="2311"/>
      <c r="R70" s="2311"/>
      <c r="S70" s="2311"/>
      <c r="T70" s="2311"/>
      <c r="U70" s="2311"/>
      <c r="V70" s="2311"/>
      <c r="W70" s="2271"/>
      <c r="Y70" s="2324"/>
    </row>
    <row r="71" spans="1:27" ht="39.4" customHeight="1">
      <c r="A71" s="2313"/>
      <c r="B71" s="2323"/>
      <c r="C71" s="2311"/>
      <c r="D71" s="2311"/>
      <c r="E71" s="2311"/>
      <c r="F71" s="2313"/>
      <c r="G71" s="2311"/>
      <c r="H71" s="2311"/>
      <c r="I71" s="2311"/>
      <c r="J71" s="2311"/>
      <c r="K71" s="2311"/>
      <c r="L71" s="2311"/>
      <c r="M71" s="2311"/>
      <c r="N71" s="2311"/>
      <c r="O71" s="2311"/>
      <c r="P71" s="2311"/>
      <c r="Q71" s="2311"/>
      <c r="R71" s="2311"/>
      <c r="S71" s="2311"/>
      <c r="T71" s="2311"/>
      <c r="U71" s="2311"/>
      <c r="V71" s="2311"/>
    </row>
    <row r="72" spans="1:27" ht="39.4" customHeight="1">
      <c r="A72" s="2313"/>
      <c r="B72" s="2323"/>
      <c r="C72" s="2311"/>
      <c r="D72" s="2311"/>
      <c r="E72" s="2311"/>
      <c r="F72" s="2313"/>
      <c r="G72" s="2311"/>
      <c r="H72" s="2311"/>
      <c r="I72" s="2311"/>
      <c r="J72" s="2311"/>
      <c r="K72" s="2311"/>
      <c r="L72" s="2311"/>
      <c r="M72" s="2311"/>
      <c r="N72" s="2311"/>
      <c r="O72" s="2311"/>
      <c r="P72" s="2311"/>
      <c r="Q72" s="2311"/>
      <c r="R72" s="2311"/>
      <c r="S72" s="2311"/>
      <c r="T72" s="2311"/>
      <c r="U72" s="2311"/>
      <c r="V72" s="2311"/>
    </row>
    <row r="73" spans="1:27" ht="19.899999999999999" customHeight="1">
      <c r="A73" s="2325"/>
      <c r="B73" s="2325"/>
      <c r="C73" s="2325"/>
      <c r="D73" s="2325"/>
      <c r="E73" s="2325"/>
      <c r="F73" s="2325"/>
      <c r="G73" s="2325"/>
      <c r="H73" s="2325"/>
      <c r="I73" s="2325"/>
      <c r="J73" s="2325"/>
      <c r="K73" s="2325"/>
      <c r="L73" s="2325"/>
      <c r="M73" s="2325"/>
      <c r="N73" s="2325"/>
      <c r="O73" s="2325"/>
      <c r="P73" s="2325"/>
      <c r="Q73" s="2325"/>
      <c r="R73" s="2325"/>
      <c r="S73" s="2325"/>
      <c r="T73" s="2325"/>
      <c r="U73" s="2325"/>
      <c r="V73" s="2325"/>
      <c r="W73" s="2271"/>
    </row>
    <row r="74" spans="1:27" ht="16.149999999999999" customHeight="1">
      <c r="A74" s="2326"/>
      <c r="B74" s="2326"/>
      <c r="C74" s="2326"/>
      <c r="D74" s="2326"/>
      <c r="E74" s="2326"/>
      <c r="F74" s="2326"/>
      <c r="G74" s="2327"/>
      <c r="H74" s="2327"/>
      <c r="I74" s="2327"/>
      <c r="J74" s="2327"/>
      <c r="K74" s="2327"/>
      <c r="L74" s="2327"/>
      <c r="M74" s="2327"/>
      <c r="N74" s="2327"/>
      <c r="O74" s="2328"/>
      <c r="P74" s="2328"/>
      <c r="Q74" s="2328"/>
      <c r="R74" s="2328"/>
      <c r="S74" s="2328"/>
      <c r="T74" s="2328"/>
      <c r="U74" s="2328"/>
      <c r="V74" s="2328"/>
      <c r="W74" s="2271"/>
    </row>
    <row r="75" spans="1:27" ht="12.4" customHeight="1">
      <c r="A75" s="2329"/>
      <c r="B75" s="2329"/>
      <c r="C75" s="2329"/>
      <c r="D75" s="2329"/>
      <c r="E75" s="2329"/>
      <c r="F75" s="2329"/>
      <c r="G75" s="2329"/>
      <c r="H75" s="2329"/>
      <c r="I75" s="2329"/>
      <c r="J75" s="2329"/>
      <c r="K75" s="2329"/>
      <c r="L75" s="2329"/>
      <c r="M75" s="2329"/>
      <c r="N75" s="2329"/>
      <c r="O75" s="2330"/>
      <c r="P75" s="2330"/>
      <c r="Q75" s="2330"/>
      <c r="R75" s="2330"/>
      <c r="S75" s="2330"/>
      <c r="T75" s="2330"/>
      <c r="U75" s="2330"/>
      <c r="V75" s="2330"/>
      <c r="W75" s="2271"/>
    </row>
    <row r="76" spans="1:27" ht="12.4" customHeight="1">
      <c r="A76" s="2329"/>
      <c r="B76" s="2329"/>
      <c r="C76" s="2329"/>
      <c r="D76" s="2329"/>
      <c r="E76" s="2329"/>
      <c r="F76" s="2329"/>
      <c r="G76" s="2329"/>
      <c r="H76" s="2329"/>
      <c r="I76" s="2329"/>
      <c r="J76" s="2329"/>
      <c r="K76" s="2329"/>
      <c r="L76" s="2329"/>
      <c r="M76" s="2329"/>
      <c r="N76" s="2329"/>
      <c r="O76" s="2331"/>
      <c r="P76" s="2331"/>
      <c r="Q76" s="2331"/>
      <c r="R76" s="2331"/>
      <c r="S76" s="2331"/>
      <c r="T76" s="2331"/>
      <c r="U76" s="2331"/>
      <c r="V76" s="2331"/>
      <c r="W76" s="2271"/>
    </row>
    <row r="77" spans="1:27" ht="12.4" customHeight="1">
      <c r="A77" s="2329"/>
      <c r="B77" s="2329"/>
      <c r="C77" s="2329"/>
      <c r="D77" s="2329"/>
      <c r="E77" s="2329"/>
      <c r="F77" s="2329"/>
      <c r="G77" s="2329"/>
      <c r="H77" s="2329"/>
      <c r="I77" s="2329"/>
      <c r="J77" s="2329"/>
      <c r="K77" s="2329"/>
      <c r="L77" s="2329"/>
      <c r="M77" s="2329"/>
      <c r="N77" s="2329"/>
      <c r="O77" s="2328"/>
      <c r="P77" s="2328"/>
      <c r="Q77" s="2328"/>
      <c r="R77" s="2328"/>
      <c r="S77" s="2328"/>
      <c r="T77" s="2328"/>
      <c r="U77" s="2328"/>
      <c r="V77" s="2328"/>
      <c r="W77" s="2271"/>
    </row>
    <row r="78" spans="1:27" ht="16.149999999999999" customHeight="1">
      <c r="A78" s="2332"/>
      <c r="B78" s="2332"/>
      <c r="C78" s="2332"/>
      <c r="D78" s="2332"/>
      <c r="E78" s="2332"/>
      <c r="F78" s="2332"/>
      <c r="G78" s="2329"/>
      <c r="H78" s="2329"/>
      <c r="I78" s="2329"/>
      <c r="J78" s="2329"/>
      <c r="K78" s="2329"/>
      <c r="L78" s="2329"/>
      <c r="M78" s="2329"/>
      <c r="N78" s="2329"/>
      <c r="O78" s="2328"/>
      <c r="P78" s="2328"/>
      <c r="Q78" s="2328"/>
      <c r="R78" s="2328"/>
      <c r="S78" s="2328"/>
      <c r="T78" s="2328"/>
      <c r="U78" s="2328"/>
      <c r="V78" s="2328"/>
      <c r="W78" s="2271"/>
    </row>
    <row r="79" spans="1:27" ht="22.15" customHeight="1">
      <c r="A79" s="2310"/>
      <c r="B79" s="2310"/>
      <c r="C79" s="2310"/>
      <c r="D79" s="2310"/>
      <c r="E79" s="2310"/>
      <c r="F79" s="2310"/>
      <c r="G79" s="2310"/>
      <c r="H79" s="2310"/>
      <c r="I79" s="2310"/>
      <c r="J79" s="2310"/>
      <c r="K79" s="2310"/>
      <c r="L79" s="2310"/>
      <c r="M79" s="2310"/>
      <c r="N79" s="2310"/>
      <c r="O79" s="2310"/>
      <c r="P79" s="2310"/>
      <c r="Q79" s="2310"/>
      <c r="R79" s="2310"/>
      <c r="S79" s="2310"/>
      <c r="T79" s="2310"/>
      <c r="U79" s="2310"/>
      <c r="V79" s="2310"/>
      <c r="W79" s="2271"/>
    </row>
    <row r="80" spans="1:27" ht="21.4" customHeight="1">
      <c r="A80" s="2333"/>
      <c r="B80" s="2333"/>
      <c r="C80" s="2310"/>
      <c r="D80" s="2310"/>
      <c r="E80" s="2310"/>
      <c r="F80" s="2310"/>
      <c r="G80" s="2310"/>
      <c r="H80" s="2310"/>
      <c r="I80" s="2310"/>
      <c r="J80" s="2310"/>
      <c r="K80" s="2310"/>
      <c r="L80" s="2310"/>
      <c r="M80" s="2310"/>
      <c r="N80" s="2310"/>
      <c r="O80" s="2310"/>
      <c r="P80" s="2310"/>
      <c r="Q80" s="2310"/>
      <c r="R80" s="2310"/>
      <c r="S80" s="2310"/>
      <c r="T80" s="2310"/>
      <c r="U80" s="2310"/>
      <c r="V80" s="2310"/>
      <c r="W80" s="2271"/>
    </row>
    <row r="81" spans="1:27" ht="42.4" customHeight="1">
      <c r="A81" s="2333"/>
      <c r="B81" s="2333"/>
      <c r="C81" s="2333"/>
      <c r="D81" s="2333"/>
      <c r="E81" s="2333"/>
      <c r="F81" s="2333"/>
      <c r="G81" s="2333"/>
      <c r="H81" s="2333"/>
      <c r="I81" s="2333"/>
      <c r="J81" s="2333"/>
      <c r="K81" s="2333"/>
      <c r="L81" s="2333"/>
      <c r="M81" s="2333"/>
      <c r="N81" s="2333"/>
      <c r="O81" s="2333"/>
      <c r="P81" s="2333"/>
      <c r="Q81" s="2333"/>
      <c r="R81" s="2333"/>
      <c r="S81" s="2333"/>
      <c r="T81" s="2333"/>
      <c r="U81" s="2333"/>
      <c r="V81" s="2333"/>
      <c r="W81" s="2271"/>
    </row>
    <row r="82" spans="1:27" ht="21.4" customHeight="1">
      <c r="A82" s="2333"/>
      <c r="B82" s="2333"/>
      <c r="C82" s="2334"/>
      <c r="D82" s="2334"/>
      <c r="E82" s="2334"/>
      <c r="F82" s="2334"/>
      <c r="G82" s="2334"/>
      <c r="H82" s="2334"/>
      <c r="I82" s="2334"/>
      <c r="J82" s="2334"/>
      <c r="K82" s="2334"/>
      <c r="L82" s="2334"/>
      <c r="M82" s="2334"/>
      <c r="N82" s="2334"/>
      <c r="O82" s="2334"/>
      <c r="P82" s="2334"/>
      <c r="Q82" s="2334"/>
      <c r="R82" s="2334"/>
      <c r="S82" s="2334"/>
      <c r="T82" s="2334"/>
      <c r="U82" s="2334"/>
      <c r="V82" s="2334"/>
      <c r="W82" s="2271"/>
    </row>
    <row r="83" spans="1:27">
      <c r="A83" s="2308"/>
      <c r="B83" s="2308"/>
      <c r="C83" s="2308"/>
      <c r="D83" s="2308"/>
      <c r="E83" s="2308"/>
      <c r="F83" s="2308"/>
      <c r="G83" s="2308"/>
      <c r="H83" s="2308"/>
      <c r="I83" s="2308"/>
      <c r="J83" s="2308"/>
      <c r="K83" s="2308"/>
      <c r="L83" s="2308"/>
      <c r="M83" s="2308"/>
      <c r="N83" s="2308"/>
      <c r="O83" s="2308"/>
      <c r="P83" s="2308"/>
      <c r="Q83" s="2308"/>
      <c r="R83" s="2308"/>
      <c r="S83" s="2308"/>
      <c r="T83" s="2308"/>
      <c r="U83" s="2308"/>
      <c r="V83" s="2308"/>
    </row>
    <row r="84" spans="1:27" ht="34.5" customHeight="1">
      <c r="A84" s="2309"/>
      <c r="B84" s="2309"/>
      <c r="C84" s="2309"/>
      <c r="D84" s="2309"/>
      <c r="E84" s="2302"/>
      <c r="F84" s="2302"/>
      <c r="G84" s="2302"/>
      <c r="H84" s="2302"/>
      <c r="I84" s="2302"/>
      <c r="J84" s="2302"/>
      <c r="K84" s="2302"/>
      <c r="L84" s="2302"/>
      <c r="M84" s="2302"/>
      <c r="N84" s="2302"/>
      <c r="O84" s="2310"/>
      <c r="P84" s="2310"/>
      <c r="Q84" s="2310"/>
      <c r="R84" s="2310"/>
      <c r="S84" s="2310"/>
      <c r="T84" s="2310"/>
      <c r="U84" s="2310"/>
      <c r="V84" s="2310"/>
      <c r="W84" s="2271"/>
    </row>
    <row r="85" spans="1:27" ht="28.9" customHeight="1">
      <c r="A85" s="2309"/>
      <c r="B85" s="2309"/>
      <c r="C85" s="2309"/>
      <c r="D85" s="2309"/>
      <c r="E85" s="2302"/>
      <c r="F85" s="2302"/>
      <c r="G85" s="2302"/>
      <c r="H85" s="2302"/>
      <c r="I85" s="2302"/>
      <c r="J85" s="2302"/>
      <c r="K85" s="2302"/>
      <c r="L85" s="2302"/>
      <c r="M85" s="2302"/>
      <c r="N85" s="2302"/>
      <c r="O85" s="2311"/>
      <c r="P85" s="2311"/>
      <c r="Q85" s="2311"/>
      <c r="R85" s="2311"/>
      <c r="S85" s="2311"/>
      <c r="T85" s="2311"/>
      <c r="U85" s="2312"/>
      <c r="V85" s="2313"/>
      <c r="W85" s="2271"/>
    </row>
    <row r="86" spans="1:27" ht="51" customHeight="1">
      <c r="A86" s="2314"/>
      <c r="B86" s="2314"/>
      <c r="C86" s="2314"/>
      <c r="D86" s="2314"/>
      <c r="E86" s="2314"/>
      <c r="F86" s="2314"/>
      <c r="G86" s="2314"/>
      <c r="H86" s="2314"/>
      <c r="I86" s="2314"/>
      <c r="J86" s="2314"/>
      <c r="K86" s="2314"/>
      <c r="L86" s="2314"/>
      <c r="M86" s="2314"/>
      <c r="N86" s="2314"/>
      <c r="O86" s="2314"/>
      <c r="P86" s="2314"/>
      <c r="Q86" s="2314"/>
      <c r="R86" s="2314"/>
      <c r="S86" s="2314"/>
      <c r="T86" s="2314"/>
      <c r="U86" s="2314"/>
      <c r="V86" s="2314"/>
      <c r="W86" s="2271"/>
    </row>
    <row r="87" spans="1:27" ht="19.5" customHeight="1">
      <c r="A87" s="2315"/>
      <c r="B87" s="2316"/>
      <c r="C87" s="2316"/>
      <c r="D87" s="2316"/>
      <c r="E87" s="2316"/>
      <c r="F87" s="2316"/>
      <c r="G87" s="2316"/>
      <c r="H87" s="2316"/>
      <c r="I87" s="2316"/>
      <c r="J87" s="2316"/>
      <c r="K87" s="2316"/>
      <c r="L87" s="2316"/>
      <c r="M87" s="2316"/>
      <c r="N87" s="2316"/>
      <c r="O87" s="2316"/>
      <c r="P87" s="2316"/>
      <c r="Q87" s="2316"/>
      <c r="R87" s="2316"/>
      <c r="S87" s="2316"/>
      <c r="T87" s="2316"/>
      <c r="U87" s="2316"/>
      <c r="V87" s="2316"/>
      <c r="W87" s="2271"/>
    </row>
    <row r="88" spans="1:27" ht="20.25" customHeight="1">
      <c r="A88" s="2317"/>
      <c r="B88" s="2317"/>
      <c r="C88" s="2318"/>
      <c r="D88" s="2318"/>
      <c r="E88" s="2318"/>
      <c r="F88" s="2318"/>
      <c r="G88" s="2318"/>
      <c r="H88" s="2318"/>
      <c r="I88" s="2318"/>
      <c r="J88" s="2318"/>
      <c r="K88" s="2318"/>
      <c r="L88" s="2318"/>
      <c r="M88" s="2318"/>
      <c r="N88" s="2318"/>
      <c r="O88" s="2318"/>
      <c r="P88" s="2318"/>
      <c r="Q88" s="2318"/>
      <c r="R88" s="2318"/>
      <c r="S88" s="2318"/>
      <c r="T88" s="2318"/>
      <c r="U88" s="2318"/>
      <c r="V88" s="2318"/>
      <c r="W88" s="2271"/>
    </row>
    <row r="89" spans="1:27" ht="19.5" customHeight="1">
      <c r="A89" s="2319"/>
      <c r="B89" s="2319"/>
      <c r="C89" s="2319"/>
      <c r="D89" s="2319"/>
      <c r="E89" s="2319"/>
      <c r="F89" s="2319"/>
      <c r="G89" s="2319"/>
      <c r="H89" s="2319"/>
      <c r="I89" s="2319"/>
      <c r="J89" s="2319"/>
      <c r="K89" s="2319"/>
      <c r="L89" s="2319"/>
      <c r="M89" s="2319"/>
      <c r="N89" s="2319"/>
      <c r="O89" s="2319"/>
      <c r="P89" s="2319"/>
      <c r="Q89" s="2319"/>
      <c r="R89" s="2319"/>
      <c r="S89" s="2319"/>
      <c r="T89" s="2319"/>
      <c r="U89" s="2319"/>
      <c r="V89" s="2319"/>
      <c r="W89" s="2271"/>
    </row>
    <row r="90" spans="1:27" ht="40.9" customHeight="1">
      <c r="A90" s="2310"/>
      <c r="B90" s="2320"/>
      <c r="C90" s="2320"/>
      <c r="D90" s="2320"/>
      <c r="E90" s="2320"/>
      <c r="F90" s="2320"/>
      <c r="G90" s="2320"/>
      <c r="H90" s="2320"/>
      <c r="I90" s="2320"/>
      <c r="J90" s="2320"/>
      <c r="K90" s="2309"/>
      <c r="L90" s="2309"/>
      <c r="M90" s="2309"/>
      <c r="N90" s="2309"/>
      <c r="O90" s="2309"/>
      <c r="P90" s="2309"/>
      <c r="Q90" s="2309"/>
      <c r="R90" s="2309"/>
      <c r="S90" s="2309"/>
      <c r="T90" s="2309"/>
      <c r="U90" s="2309"/>
      <c r="V90" s="2309"/>
      <c r="W90" s="2271"/>
    </row>
    <row r="91" spans="1:27" ht="25.5" customHeight="1">
      <c r="A91" s="2321"/>
      <c r="B91" s="2321"/>
      <c r="C91" s="2321"/>
      <c r="D91" s="2321"/>
      <c r="E91" s="2321"/>
      <c r="F91" s="2321"/>
      <c r="G91" s="2321"/>
      <c r="H91" s="2321"/>
      <c r="I91" s="2321"/>
      <c r="J91" s="2321"/>
      <c r="K91" s="2321"/>
      <c r="L91" s="2321"/>
      <c r="M91" s="2321"/>
      <c r="N91" s="2321"/>
      <c r="O91" s="2321"/>
      <c r="P91" s="2321"/>
      <c r="Q91" s="2321"/>
      <c r="R91" s="2321"/>
      <c r="S91" s="2321"/>
      <c r="T91" s="2321"/>
      <c r="U91" s="2321"/>
      <c r="V91" s="2321"/>
      <c r="W91" s="2271"/>
    </row>
    <row r="92" spans="1:27" ht="25.5" customHeight="1">
      <c r="A92" s="2322"/>
      <c r="B92" s="2322"/>
      <c r="C92" s="2322"/>
      <c r="D92" s="2322"/>
      <c r="E92" s="2322"/>
      <c r="F92" s="2322"/>
      <c r="G92" s="2322"/>
      <c r="H92" s="2322"/>
      <c r="I92" s="2322"/>
      <c r="J92" s="2322"/>
      <c r="K92" s="2322"/>
      <c r="L92" s="2322"/>
      <c r="M92" s="2322"/>
      <c r="N92" s="2322"/>
      <c r="O92" s="2322"/>
      <c r="P92" s="2322"/>
      <c r="Q92" s="2322"/>
      <c r="R92" s="2322"/>
      <c r="S92" s="2322"/>
      <c r="T92" s="2322"/>
      <c r="U92" s="2322"/>
      <c r="V92" s="2322"/>
      <c r="W92" s="2271"/>
    </row>
    <row r="93" spans="1:27" ht="25.5" customHeight="1">
      <c r="A93" s="2322"/>
      <c r="B93" s="2322"/>
      <c r="C93" s="2322"/>
      <c r="D93" s="2322"/>
      <c r="E93" s="2322"/>
      <c r="F93" s="2322"/>
      <c r="G93" s="2322"/>
      <c r="H93" s="2322"/>
      <c r="I93" s="2322"/>
      <c r="J93" s="2322"/>
      <c r="K93" s="2322"/>
      <c r="L93" s="2322"/>
      <c r="M93" s="2322"/>
      <c r="N93" s="2322"/>
      <c r="O93" s="2322"/>
      <c r="P93" s="2322"/>
      <c r="Q93" s="2322"/>
      <c r="R93" s="2322"/>
      <c r="S93" s="2322"/>
      <c r="T93" s="2322"/>
      <c r="U93" s="2322"/>
      <c r="V93" s="2322"/>
      <c r="W93" s="2271"/>
    </row>
    <row r="94" spans="1:27" ht="25.5" customHeight="1">
      <c r="A94" s="2322"/>
      <c r="B94" s="2322"/>
      <c r="C94" s="2322"/>
      <c r="D94" s="2322"/>
      <c r="E94" s="2322"/>
      <c r="F94" s="2322"/>
      <c r="G94" s="2322"/>
      <c r="H94" s="2322"/>
      <c r="I94" s="2322"/>
      <c r="J94" s="2322"/>
      <c r="K94" s="2322"/>
      <c r="L94" s="2322"/>
      <c r="M94" s="2322"/>
      <c r="N94" s="2322"/>
      <c r="O94" s="2322"/>
      <c r="P94" s="2322"/>
      <c r="Q94" s="2322"/>
      <c r="R94" s="2322"/>
      <c r="S94" s="2322"/>
      <c r="T94" s="2322"/>
      <c r="U94" s="2322"/>
      <c r="V94" s="2322"/>
      <c r="W94" s="2271"/>
    </row>
    <row r="95" spans="1:27" ht="36.75" customHeight="1">
      <c r="A95" s="2301"/>
      <c r="B95" s="2302"/>
      <c r="C95" s="2302"/>
      <c r="D95" s="2302"/>
      <c r="E95" s="2302"/>
      <c r="F95" s="2301"/>
      <c r="G95" s="2302"/>
      <c r="H95" s="2302"/>
      <c r="I95" s="2302"/>
      <c r="J95" s="2302"/>
      <c r="K95" s="2302"/>
      <c r="L95" s="2302"/>
      <c r="M95" s="2302"/>
      <c r="N95" s="2302"/>
      <c r="O95" s="2302"/>
      <c r="P95" s="2302"/>
      <c r="Q95" s="2302"/>
      <c r="R95" s="2302"/>
      <c r="S95" s="2302"/>
      <c r="T95" s="2302"/>
      <c r="U95" s="2302"/>
      <c r="V95" s="2302"/>
      <c r="W95" s="2271"/>
      <c r="Y95" s="2282"/>
      <c r="AA95" s="2282"/>
    </row>
    <row r="96" spans="1:27" ht="38.65" customHeight="1">
      <c r="A96" s="2313"/>
      <c r="B96" s="2323"/>
      <c r="C96" s="2311"/>
      <c r="D96" s="2311"/>
      <c r="E96" s="2311"/>
      <c r="F96" s="2313"/>
      <c r="G96" s="2311"/>
      <c r="H96" s="2311"/>
      <c r="I96" s="2311"/>
      <c r="J96" s="2311"/>
      <c r="K96" s="2311"/>
      <c r="L96" s="2311"/>
      <c r="M96" s="2311"/>
      <c r="N96" s="2311"/>
      <c r="O96" s="2311"/>
      <c r="P96" s="2311"/>
      <c r="Q96" s="2311"/>
      <c r="R96" s="2311"/>
      <c r="S96" s="2311"/>
      <c r="T96" s="2311"/>
      <c r="U96" s="2311"/>
      <c r="V96" s="2311"/>
      <c r="W96" s="2271"/>
      <c r="Y96" s="2324"/>
    </row>
    <row r="97" spans="1:45" ht="28.15" customHeight="1">
      <c r="A97" s="2313"/>
      <c r="B97" s="2323"/>
      <c r="C97" s="2311"/>
      <c r="D97" s="2311"/>
      <c r="E97" s="2311"/>
      <c r="F97" s="2313"/>
      <c r="G97" s="2311"/>
      <c r="H97" s="2311"/>
      <c r="I97" s="2311"/>
      <c r="J97" s="2311"/>
      <c r="K97" s="2311"/>
      <c r="L97" s="2311"/>
      <c r="M97" s="2311"/>
      <c r="N97" s="2311"/>
      <c r="O97" s="2311"/>
      <c r="P97" s="2311"/>
      <c r="Q97" s="2311"/>
      <c r="R97" s="2311"/>
      <c r="S97" s="2311"/>
      <c r="T97" s="2311"/>
      <c r="U97" s="2311"/>
      <c r="V97" s="2311"/>
      <c r="W97" s="2271"/>
      <c r="Y97" s="2324"/>
    </row>
    <row r="98" spans="1:45" ht="38.65" customHeight="1">
      <c r="A98" s="2313"/>
      <c r="B98" s="2323"/>
      <c r="C98" s="2311"/>
      <c r="D98" s="2311"/>
      <c r="E98" s="2311"/>
      <c r="F98" s="2313"/>
      <c r="G98" s="2311"/>
      <c r="H98" s="2311"/>
      <c r="I98" s="2311"/>
      <c r="J98" s="2311"/>
      <c r="K98" s="2311"/>
      <c r="L98" s="2311"/>
      <c r="M98" s="2311"/>
      <c r="N98" s="2311"/>
      <c r="O98" s="2311"/>
      <c r="P98" s="2311"/>
      <c r="Q98" s="2311"/>
      <c r="R98" s="2311"/>
      <c r="S98" s="2311"/>
      <c r="T98" s="2311"/>
      <c r="U98" s="2311"/>
      <c r="V98" s="2311"/>
      <c r="W98" s="2271"/>
      <c r="Y98" s="2324"/>
    </row>
    <row r="99" spans="1:45" ht="38.65" customHeight="1">
      <c r="A99" s="2313"/>
      <c r="B99" s="2323"/>
      <c r="C99" s="2311"/>
      <c r="D99" s="2311"/>
      <c r="E99" s="2311"/>
      <c r="F99" s="2313"/>
      <c r="G99" s="2311"/>
      <c r="H99" s="2311"/>
      <c r="I99" s="2311"/>
      <c r="J99" s="2311"/>
      <c r="K99" s="2311"/>
      <c r="L99" s="2311"/>
      <c r="M99" s="2311"/>
      <c r="N99" s="2311"/>
      <c r="O99" s="2311"/>
      <c r="P99" s="2311"/>
      <c r="Q99" s="2311"/>
      <c r="R99" s="2311"/>
      <c r="S99" s="2311"/>
      <c r="T99" s="2311"/>
      <c r="U99" s="2311"/>
      <c r="V99" s="2311"/>
      <c r="W99" s="2271"/>
      <c r="Y99" s="2324"/>
    </row>
    <row r="100" spans="1:45" ht="27" customHeight="1">
      <c r="A100" s="2313"/>
      <c r="B100" s="2323"/>
      <c r="C100" s="2311"/>
      <c r="D100" s="2311"/>
      <c r="E100" s="2311"/>
      <c r="F100" s="2313"/>
      <c r="G100" s="2311"/>
      <c r="H100" s="2311"/>
      <c r="I100" s="2311"/>
      <c r="J100" s="2311"/>
      <c r="K100" s="2311"/>
      <c r="L100" s="2311"/>
      <c r="M100" s="2311"/>
      <c r="N100" s="2311"/>
      <c r="O100" s="2311"/>
      <c r="P100" s="2311"/>
      <c r="Q100" s="2311"/>
      <c r="R100" s="2311"/>
      <c r="S100" s="2311"/>
      <c r="T100" s="2311"/>
      <c r="U100" s="2311"/>
      <c r="V100" s="2311"/>
    </row>
    <row r="101" spans="1:45" ht="27" customHeight="1">
      <c r="A101" s="2313"/>
      <c r="B101" s="2323"/>
      <c r="C101" s="2311"/>
      <c r="D101" s="2311"/>
      <c r="E101" s="2311"/>
      <c r="F101" s="2313"/>
      <c r="G101" s="2311"/>
      <c r="H101" s="2311"/>
      <c r="I101" s="2311"/>
      <c r="J101" s="2311"/>
      <c r="K101" s="2311"/>
      <c r="L101" s="2311"/>
      <c r="M101" s="2311"/>
      <c r="N101" s="2311"/>
      <c r="O101" s="2311"/>
      <c r="P101" s="2311"/>
      <c r="Q101" s="2311"/>
      <c r="R101" s="2311"/>
      <c r="S101" s="2311"/>
      <c r="T101" s="2311"/>
      <c r="U101" s="2311"/>
      <c r="V101" s="2311"/>
    </row>
    <row r="102" spans="1:45" ht="17.649999999999999" customHeight="1">
      <c r="A102" s="2322"/>
      <c r="B102" s="2322"/>
      <c r="C102" s="2322"/>
      <c r="D102" s="2322"/>
      <c r="E102" s="2322"/>
      <c r="F102" s="2322"/>
      <c r="G102" s="2322"/>
      <c r="H102" s="2322"/>
      <c r="I102" s="2322"/>
      <c r="J102" s="2322"/>
      <c r="K102" s="2322"/>
      <c r="L102" s="2322"/>
      <c r="M102" s="2322"/>
      <c r="N102" s="2322"/>
      <c r="O102" s="2322"/>
      <c r="P102" s="2322"/>
      <c r="Q102" s="2322"/>
      <c r="R102" s="2322"/>
      <c r="S102" s="2322"/>
      <c r="T102" s="2322"/>
      <c r="U102" s="2322"/>
      <c r="V102" s="2322"/>
      <c r="W102" s="2271"/>
      <c r="X102" s="2322"/>
      <c r="Y102" s="2322"/>
      <c r="Z102" s="2322"/>
      <c r="AA102" s="2322"/>
      <c r="AB102" s="2322"/>
      <c r="AC102" s="2322"/>
      <c r="AD102" s="2322"/>
      <c r="AE102" s="2322"/>
      <c r="AF102" s="2322"/>
      <c r="AG102" s="2322"/>
      <c r="AH102" s="2322"/>
      <c r="AI102" s="2322"/>
      <c r="AJ102" s="2322"/>
      <c r="AK102" s="2322"/>
      <c r="AL102" s="2322"/>
      <c r="AM102" s="2322"/>
      <c r="AN102" s="2322"/>
      <c r="AO102" s="2322"/>
      <c r="AP102" s="2322"/>
      <c r="AQ102" s="2322"/>
      <c r="AR102" s="2322"/>
      <c r="AS102" s="2322"/>
    </row>
    <row r="103" spans="1:45" ht="19.899999999999999" customHeight="1">
      <c r="A103" s="2325"/>
      <c r="B103" s="2325"/>
      <c r="C103" s="2325"/>
      <c r="D103" s="2325"/>
      <c r="E103" s="2325"/>
      <c r="F103" s="2325"/>
      <c r="G103" s="2325"/>
      <c r="H103" s="2325"/>
      <c r="I103" s="2325"/>
      <c r="J103" s="2325"/>
      <c r="K103" s="2325"/>
      <c r="L103" s="2325"/>
      <c r="M103" s="2325"/>
      <c r="N103" s="2325"/>
      <c r="O103" s="2325"/>
      <c r="P103" s="2325"/>
      <c r="Q103" s="2325"/>
      <c r="R103" s="2325"/>
      <c r="S103" s="2325"/>
      <c r="T103" s="2325"/>
      <c r="U103" s="2325"/>
      <c r="V103" s="2325"/>
      <c r="W103" s="2271"/>
    </row>
    <row r="104" spans="1:45" ht="16.149999999999999" customHeight="1">
      <c r="A104" s="2326"/>
      <c r="B104" s="2326"/>
      <c r="C104" s="2326"/>
      <c r="D104" s="2326"/>
      <c r="E104" s="2326"/>
      <c r="F104" s="2326"/>
      <c r="G104" s="2327"/>
      <c r="H104" s="2327"/>
      <c r="I104" s="2327"/>
      <c r="J104" s="2327"/>
      <c r="K104" s="2327"/>
      <c r="L104" s="2327"/>
      <c r="M104" s="2327"/>
      <c r="N104" s="2327"/>
      <c r="O104" s="2328"/>
      <c r="P104" s="2328"/>
      <c r="Q104" s="2328"/>
      <c r="R104" s="2328"/>
      <c r="S104" s="2328"/>
      <c r="T104" s="2328"/>
      <c r="U104" s="2328"/>
      <c r="V104" s="2328"/>
      <c r="W104" s="2271"/>
    </row>
    <row r="105" spans="1:45" ht="12.4" customHeight="1">
      <c r="A105" s="2329"/>
      <c r="B105" s="2329"/>
      <c r="C105" s="2329"/>
      <c r="D105" s="2329"/>
      <c r="E105" s="2329"/>
      <c r="F105" s="2329"/>
      <c r="G105" s="2329"/>
      <c r="H105" s="2329"/>
      <c r="I105" s="2329"/>
      <c r="J105" s="2329"/>
      <c r="K105" s="2329"/>
      <c r="L105" s="2329"/>
      <c r="M105" s="2329"/>
      <c r="N105" s="2329"/>
      <c r="O105" s="2330"/>
      <c r="P105" s="2330"/>
      <c r="Q105" s="2330"/>
      <c r="R105" s="2330"/>
      <c r="S105" s="2330"/>
      <c r="T105" s="2330"/>
      <c r="U105" s="2330"/>
      <c r="V105" s="2330"/>
      <c r="W105" s="2271"/>
    </row>
    <row r="106" spans="1:45" ht="12.4" customHeight="1">
      <c r="A106" s="2329"/>
      <c r="B106" s="2329"/>
      <c r="C106" s="2329"/>
      <c r="D106" s="2329"/>
      <c r="E106" s="2329"/>
      <c r="F106" s="2329"/>
      <c r="G106" s="2329"/>
      <c r="H106" s="2329"/>
      <c r="I106" s="2329"/>
      <c r="J106" s="2329"/>
      <c r="K106" s="2329"/>
      <c r="L106" s="2329"/>
      <c r="M106" s="2329"/>
      <c r="N106" s="2329"/>
      <c r="O106" s="2331"/>
      <c r="P106" s="2331"/>
      <c r="Q106" s="2331"/>
      <c r="R106" s="2331"/>
      <c r="S106" s="2331"/>
      <c r="T106" s="2331"/>
      <c r="U106" s="2331"/>
      <c r="V106" s="2331"/>
      <c r="W106" s="2271"/>
    </row>
    <row r="107" spans="1:45" ht="12.4" customHeight="1">
      <c r="A107" s="2329"/>
      <c r="B107" s="2329"/>
      <c r="C107" s="2329"/>
      <c r="D107" s="2329"/>
      <c r="E107" s="2329"/>
      <c r="F107" s="2329"/>
      <c r="G107" s="2329"/>
      <c r="H107" s="2329"/>
      <c r="I107" s="2329"/>
      <c r="J107" s="2329"/>
      <c r="K107" s="2329"/>
      <c r="L107" s="2329"/>
      <c r="M107" s="2329"/>
      <c r="N107" s="2329"/>
      <c r="O107" s="2328"/>
      <c r="P107" s="2328"/>
      <c r="Q107" s="2328"/>
      <c r="R107" s="2328"/>
      <c r="S107" s="2328"/>
      <c r="T107" s="2328"/>
      <c r="U107" s="2328"/>
      <c r="V107" s="2328"/>
      <c r="W107" s="2271"/>
    </row>
    <row r="108" spans="1:45" ht="16.149999999999999" customHeight="1">
      <c r="A108" s="2332"/>
      <c r="B108" s="2332"/>
      <c r="C108" s="2332"/>
      <c r="D108" s="2332"/>
      <c r="E108" s="2332"/>
      <c r="F108" s="2332"/>
      <c r="G108" s="2329"/>
      <c r="H108" s="2329"/>
      <c r="I108" s="2329"/>
      <c r="J108" s="2329"/>
      <c r="K108" s="2329"/>
      <c r="L108" s="2329"/>
      <c r="M108" s="2329"/>
      <c r="N108" s="2329"/>
      <c r="O108" s="2328"/>
      <c r="P108" s="2328"/>
      <c r="Q108" s="2328"/>
      <c r="R108" s="2328"/>
      <c r="S108" s="2328"/>
      <c r="T108" s="2328"/>
      <c r="U108" s="2328"/>
      <c r="V108" s="2328"/>
      <c r="W108" s="2271"/>
    </row>
    <row r="109" spans="1:45" ht="22.15" customHeight="1">
      <c r="A109" s="2310"/>
      <c r="B109" s="2310"/>
      <c r="C109" s="2310"/>
      <c r="D109" s="2310"/>
      <c r="E109" s="2310"/>
      <c r="F109" s="2310"/>
      <c r="G109" s="2310"/>
      <c r="H109" s="2310"/>
      <c r="I109" s="2310"/>
      <c r="J109" s="2310"/>
      <c r="K109" s="2310"/>
      <c r="L109" s="2310"/>
      <c r="M109" s="2310"/>
      <c r="N109" s="2310"/>
      <c r="O109" s="2310"/>
      <c r="P109" s="2310"/>
      <c r="Q109" s="2310"/>
      <c r="R109" s="2310"/>
      <c r="S109" s="2310"/>
      <c r="T109" s="2310"/>
      <c r="U109" s="2310"/>
      <c r="V109" s="2310"/>
      <c r="W109" s="2271"/>
    </row>
    <row r="110" spans="1:45" ht="21.4" customHeight="1">
      <c r="A110" s="2333"/>
      <c r="B110" s="2333"/>
      <c r="C110" s="2310"/>
      <c r="D110" s="2310"/>
      <c r="E110" s="2310"/>
      <c r="F110" s="2310"/>
      <c r="G110" s="2310"/>
      <c r="H110" s="2310"/>
      <c r="I110" s="2310"/>
      <c r="J110" s="2310"/>
      <c r="K110" s="2310"/>
      <c r="L110" s="2310"/>
      <c r="M110" s="2310"/>
      <c r="N110" s="2310"/>
      <c r="O110" s="2310"/>
      <c r="P110" s="2310"/>
      <c r="Q110" s="2310"/>
      <c r="R110" s="2310"/>
      <c r="S110" s="2310"/>
      <c r="T110" s="2310"/>
      <c r="U110" s="2310"/>
      <c r="V110" s="2310"/>
      <c r="W110" s="2271"/>
    </row>
    <row r="111" spans="1:45" ht="42.4" customHeight="1">
      <c r="A111" s="2333"/>
      <c r="B111" s="2333"/>
      <c r="C111" s="2333"/>
      <c r="D111" s="2333"/>
      <c r="E111" s="2333"/>
      <c r="F111" s="2333"/>
      <c r="G111" s="2333"/>
      <c r="H111" s="2333"/>
      <c r="I111" s="2333"/>
      <c r="J111" s="2333"/>
      <c r="K111" s="2333"/>
      <c r="L111" s="2333"/>
      <c r="M111" s="2333"/>
      <c r="N111" s="2333"/>
      <c r="O111" s="2333"/>
      <c r="P111" s="2333"/>
      <c r="Q111" s="2333"/>
      <c r="R111" s="2333"/>
      <c r="S111" s="2333"/>
      <c r="T111" s="2333"/>
      <c r="U111" s="2333"/>
      <c r="V111" s="2333"/>
      <c r="W111" s="2271"/>
    </row>
    <row r="112" spans="1:45" ht="21.4" customHeight="1">
      <c r="A112" s="2333"/>
      <c r="B112" s="2333"/>
      <c r="C112" s="2334"/>
      <c r="D112" s="2334"/>
      <c r="E112" s="2334"/>
      <c r="F112" s="2334"/>
      <c r="G112" s="2334"/>
      <c r="H112" s="2334"/>
      <c r="I112" s="2334"/>
      <c r="J112" s="2334"/>
      <c r="K112" s="2334"/>
      <c r="L112" s="2334"/>
      <c r="M112" s="2334"/>
      <c r="N112" s="2334"/>
      <c r="O112" s="2334"/>
      <c r="P112" s="2334"/>
      <c r="Q112" s="2334"/>
      <c r="R112" s="2334"/>
      <c r="S112" s="2334"/>
      <c r="T112" s="2334"/>
      <c r="U112" s="2334"/>
      <c r="V112" s="2334"/>
      <c r="W112" s="2271"/>
    </row>
    <row r="113" spans="1:5">
      <c r="A113" s="2335"/>
      <c r="B113" s="2335"/>
      <c r="C113" s="2335"/>
      <c r="D113" s="2335"/>
      <c r="E113" s="2335"/>
    </row>
  </sheetData>
  <mergeCells count="394">
    <mergeCell ref="A111:B111"/>
    <mergeCell ref="C111:L111"/>
    <mergeCell ref="M111:V111"/>
    <mergeCell ref="A112:B112"/>
    <mergeCell ref="C112:L112"/>
    <mergeCell ref="M112:V112"/>
    <mergeCell ref="G108:N108"/>
    <mergeCell ref="O108:V108"/>
    <mergeCell ref="A109:B109"/>
    <mergeCell ref="C109:L109"/>
    <mergeCell ref="M109:V109"/>
    <mergeCell ref="A110:B110"/>
    <mergeCell ref="C110:L110"/>
    <mergeCell ref="M110:V110"/>
    <mergeCell ref="A105:F105"/>
    <mergeCell ref="G105:N105"/>
    <mergeCell ref="O105:V105"/>
    <mergeCell ref="A106:F107"/>
    <mergeCell ref="G106:N106"/>
    <mergeCell ref="O106:V106"/>
    <mergeCell ref="G107:N107"/>
    <mergeCell ref="O107:V107"/>
    <mergeCell ref="T101:V101"/>
    <mergeCell ref="A102:V102"/>
    <mergeCell ref="X102:AS102"/>
    <mergeCell ref="A103:V103"/>
    <mergeCell ref="A104:F104"/>
    <mergeCell ref="G104:N104"/>
    <mergeCell ref="O104:V104"/>
    <mergeCell ref="B101:E101"/>
    <mergeCell ref="G101:I101"/>
    <mergeCell ref="J101:K101"/>
    <mergeCell ref="L101:M101"/>
    <mergeCell ref="N101:Q101"/>
    <mergeCell ref="R101:S101"/>
    <mergeCell ref="T99:V99"/>
    <mergeCell ref="B100:E100"/>
    <mergeCell ref="G100:I100"/>
    <mergeCell ref="J100:K100"/>
    <mergeCell ref="L100:M100"/>
    <mergeCell ref="N100:Q100"/>
    <mergeCell ref="R100:S100"/>
    <mergeCell ref="T100:V100"/>
    <mergeCell ref="B99:E99"/>
    <mergeCell ref="G99:I99"/>
    <mergeCell ref="J99:K99"/>
    <mergeCell ref="L99:M99"/>
    <mergeCell ref="N99:Q99"/>
    <mergeCell ref="R99:S99"/>
    <mergeCell ref="T97:V97"/>
    <mergeCell ref="B98:E98"/>
    <mergeCell ref="G98:I98"/>
    <mergeCell ref="J98:K98"/>
    <mergeCell ref="L98:M98"/>
    <mergeCell ref="N98:Q98"/>
    <mergeCell ref="R98:S98"/>
    <mergeCell ref="T98:V98"/>
    <mergeCell ref="B97:E97"/>
    <mergeCell ref="G97:I97"/>
    <mergeCell ref="J97:K97"/>
    <mergeCell ref="L97:M97"/>
    <mergeCell ref="N97:Q97"/>
    <mergeCell ref="R97:S97"/>
    <mergeCell ref="T95:V95"/>
    <mergeCell ref="B96:E96"/>
    <mergeCell ref="G96:I96"/>
    <mergeCell ref="J96:K96"/>
    <mergeCell ref="L96:M96"/>
    <mergeCell ref="N96:Q96"/>
    <mergeCell ref="R96:S96"/>
    <mergeCell ref="T96:V96"/>
    <mergeCell ref="B95:E95"/>
    <mergeCell ref="G95:I95"/>
    <mergeCell ref="J95:K95"/>
    <mergeCell ref="L95:M95"/>
    <mergeCell ref="N95:Q95"/>
    <mergeCell ref="R95:S95"/>
    <mergeCell ref="A93:G93"/>
    <mergeCell ref="H93:N93"/>
    <mergeCell ref="O93:V93"/>
    <mergeCell ref="A94:G94"/>
    <mergeCell ref="H94:N94"/>
    <mergeCell ref="O94:V94"/>
    <mergeCell ref="A90:J90"/>
    <mergeCell ref="K90:V90"/>
    <mergeCell ref="A91:J91"/>
    <mergeCell ref="K91:V91"/>
    <mergeCell ref="A92:G92"/>
    <mergeCell ref="H92:N92"/>
    <mergeCell ref="O92:V92"/>
    <mergeCell ref="A86:V86"/>
    <mergeCell ref="B87:V87"/>
    <mergeCell ref="A88:B88"/>
    <mergeCell ref="C88:V88"/>
    <mergeCell ref="A89:J89"/>
    <mergeCell ref="K89:V89"/>
    <mergeCell ref="A84:D85"/>
    <mergeCell ref="E84:N85"/>
    <mergeCell ref="O84:V84"/>
    <mergeCell ref="O85:P85"/>
    <mergeCell ref="Q85:R85"/>
    <mergeCell ref="S85:T85"/>
    <mergeCell ref="A81:B81"/>
    <mergeCell ref="C81:L81"/>
    <mergeCell ref="M81:V81"/>
    <mergeCell ref="A82:B82"/>
    <mergeCell ref="C82:L82"/>
    <mergeCell ref="M82:V82"/>
    <mergeCell ref="A79:B79"/>
    <mergeCell ref="C79:L79"/>
    <mergeCell ref="M79:V79"/>
    <mergeCell ref="A80:B80"/>
    <mergeCell ref="C80:L80"/>
    <mergeCell ref="M80:V80"/>
    <mergeCell ref="A76:F77"/>
    <mergeCell ref="G76:N76"/>
    <mergeCell ref="O76:V76"/>
    <mergeCell ref="G77:N77"/>
    <mergeCell ref="O77:V77"/>
    <mergeCell ref="G78:N78"/>
    <mergeCell ref="O78:V78"/>
    <mergeCell ref="T72:V72"/>
    <mergeCell ref="A73:V73"/>
    <mergeCell ref="A74:F74"/>
    <mergeCell ref="G74:N74"/>
    <mergeCell ref="O74:V74"/>
    <mergeCell ref="A75:F75"/>
    <mergeCell ref="G75:N75"/>
    <mergeCell ref="O75:V75"/>
    <mergeCell ref="B72:E72"/>
    <mergeCell ref="G72:I72"/>
    <mergeCell ref="J72:K72"/>
    <mergeCell ref="L72:M72"/>
    <mergeCell ref="N72:Q72"/>
    <mergeCell ref="R72:S72"/>
    <mergeCell ref="T70:V70"/>
    <mergeCell ref="B71:E71"/>
    <mergeCell ref="G71:I71"/>
    <mergeCell ref="J71:K71"/>
    <mergeCell ref="L71:M71"/>
    <mergeCell ref="N71:Q71"/>
    <mergeCell ref="R71:S71"/>
    <mergeCell ref="T71:V71"/>
    <mergeCell ref="B70:E70"/>
    <mergeCell ref="G70:I70"/>
    <mergeCell ref="J70:K70"/>
    <mergeCell ref="L70:M70"/>
    <mergeCell ref="N70:Q70"/>
    <mergeCell ref="R70:S70"/>
    <mergeCell ref="T68:V68"/>
    <mergeCell ref="B69:E69"/>
    <mergeCell ref="G69:I69"/>
    <mergeCell ref="J69:K69"/>
    <mergeCell ref="L69:M69"/>
    <mergeCell ref="N69:Q69"/>
    <mergeCell ref="R69:S69"/>
    <mergeCell ref="T69:V69"/>
    <mergeCell ref="B68:E68"/>
    <mergeCell ref="G68:I68"/>
    <mergeCell ref="J68:K68"/>
    <mergeCell ref="L68:M68"/>
    <mergeCell ref="N68:Q68"/>
    <mergeCell ref="R68:S68"/>
    <mergeCell ref="T66:V66"/>
    <mergeCell ref="B67:E67"/>
    <mergeCell ref="G67:I67"/>
    <mergeCell ref="J67:K67"/>
    <mergeCell ref="L67:M67"/>
    <mergeCell ref="N67:Q67"/>
    <mergeCell ref="R67:S67"/>
    <mergeCell ref="T67:V67"/>
    <mergeCell ref="B66:E66"/>
    <mergeCell ref="G66:I66"/>
    <mergeCell ref="J66:K66"/>
    <mergeCell ref="L66:M66"/>
    <mergeCell ref="N66:Q66"/>
    <mergeCell ref="R66:S66"/>
    <mergeCell ref="A64:G64"/>
    <mergeCell ref="H64:N64"/>
    <mergeCell ref="O64:V64"/>
    <mergeCell ref="A65:G65"/>
    <mergeCell ref="H65:N65"/>
    <mergeCell ref="O65:V65"/>
    <mergeCell ref="A61:J61"/>
    <mergeCell ref="K61:V61"/>
    <mergeCell ref="A62:J62"/>
    <mergeCell ref="K62:V62"/>
    <mergeCell ref="A63:G63"/>
    <mergeCell ref="H63:N63"/>
    <mergeCell ref="O63:V63"/>
    <mergeCell ref="A57:V57"/>
    <mergeCell ref="B58:V58"/>
    <mergeCell ref="A59:B59"/>
    <mergeCell ref="C59:V59"/>
    <mergeCell ref="A60:J60"/>
    <mergeCell ref="K60:V60"/>
    <mergeCell ref="A55:D56"/>
    <mergeCell ref="E55:N56"/>
    <mergeCell ref="O55:V55"/>
    <mergeCell ref="O56:P56"/>
    <mergeCell ref="Q56:R56"/>
    <mergeCell ref="S56:T56"/>
    <mergeCell ref="A52:B52"/>
    <mergeCell ref="C52:L52"/>
    <mergeCell ref="M52:V52"/>
    <mergeCell ref="A53:B53"/>
    <mergeCell ref="C53:L53"/>
    <mergeCell ref="M53:V53"/>
    <mergeCell ref="A50:B50"/>
    <mergeCell ref="C50:L50"/>
    <mergeCell ref="M50:V50"/>
    <mergeCell ref="A51:B51"/>
    <mergeCell ref="C51:L51"/>
    <mergeCell ref="M51:V51"/>
    <mergeCell ref="A47:F48"/>
    <mergeCell ref="G47:N47"/>
    <mergeCell ref="O47:V47"/>
    <mergeCell ref="G48:N48"/>
    <mergeCell ref="O48:V48"/>
    <mergeCell ref="G49:N49"/>
    <mergeCell ref="O49:V49"/>
    <mergeCell ref="T43:V43"/>
    <mergeCell ref="A44:V44"/>
    <mergeCell ref="A45:F45"/>
    <mergeCell ref="G45:N45"/>
    <mergeCell ref="O45:V45"/>
    <mergeCell ref="A46:F46"/>
    <mergeCell ref="G46:N46"/>
    <mergeCell ref="O46:V46"/>
    <mergeCell ref="B43:E43"/>
    <mergeCell ref="G43:I43"/>
    <mergeCell ref="J43:K43"/>
    <mergeCell ref="L43:M43"/>
    <mergeCell ref="N43:Q43"/>
    <mergeCell ref="R43:S43"/>
    <mergeCell ref="T41:V41"/>
    <mergeCell ref="B42:E42"/>
    <mergeCell ref="G42:I42"/>
    <mergeCell ref="J42:K42"/>
    <mergeCell ref="L42:M42"/>
    <mergeCell ref="N42:Q42"/>
    <mergeCell ref="R42:S42"/>
    <mergeCell ref="T42:V42"/>
    <mergeCell ref="B41:E41"/>
    <mergeCell ref="G41:I41"/>
    <mergeCell ref="J41:K41"/>
    <mergeCell ref="L41:M41"/>
    <mergeCell ref="N41:Q41"/>
    <mergeCell ref="R41:S41"/>
    <mergeCell ref="T39:V39"/>
    <mergeCell ref="B40:E40"/>
    <mergeCell ref="G40:I40"/>
    <mergeCell ref="J40:K40"/>
    <mergeCell ref="L40:M40"/>
    <mergeCell ref="N40:Q40"/>
    <mergeCell ref="R40:S40"/>
    <mergeCell ref="T40:V40"/>
    <mergeCell ref="B39:E39"/>
    <mergeCell ref="G39:I39"/>
    <mergeCell ref="J39:K39"/>
    <mergeCell ref="L39:M39"/>
    <mergeCell ref="N39:Q39"/>
    <mergeCell ref="R39:S39"/>
    <mergeCell ref="T37:V37"/>
    <mergeCell ref="B38:E38"/>
    <mergeCell ref="G38:I38"/>
    <mergeCell ref="J38:K38"/>
    <mergeCell ref="L38:M38"/>
    <mergeCell ref="N38:Q38"/>
    <mergeCell ref="R38:S38"/>
    <mergeCell ref="T38:V38"/>
    <mergeCell ref="B37:E37"/>
    <mergeCell ref="G37:I37"/>
    <mergeCell ref="J37:K37"/>
    <mergeCell ref="L37:M37"/>
    <mergeCell ref="N37:Q37"/>
    <mergeCell ref="R37:S37"/>
    <mergeCell ref="A35:G35"/>
    <mergeCell ref="H35:N35"/>
    <mergeCell ref="O35:V35"/>
    <mergeCell ref="A36:G36"/>
    <mergeCell ref="H36:N36"/>
    <mergeCell ref="O36:V36"/>
    <mergeCell ref="A32:J32"/>
    <mergeCell ref="K32:V32"/>
    <mergeCell ref="A33:J33"/>
    <mergeCell ref="K33:V33"/>
    <mergeCell ref="A34:G34"/>
    <mergeCell ref="H34:N34"/>
    <mergeCell ref="O34:V34"/>
    <mergeCell ref="A28:V28"/>
    <mergeCell ref="B29:V29"/>
    <mergeCell ref="A30:B30"/>
    <mergeCell ref="C30:V30"/>
    <mergeCell ref="A31:J31"/>
    <mergeCell ref="K31:V31"/>
    <mergeCell ref="A24:K24"/>
    <mergeCell ref="L24:V24"/>
    <mergeCell ref="A26:D27"/>
    <mergeCell ref="E26:N27"/>
    <mergeCell ref="O26:V26"/>
    <mergeCell ref="O27:P27"/>
    <mergeCell ref="Q27:R27"/>
    <mergeCell ref="S27:T27"/>
    <mergeCell ref="A21:K21"/>
    <mergeCell ref="L21:V21"/>
    <mergeCell ref="A22:K22"/>
    <mergeCell ref="L22:V22"/>
    <mergeCell ref="A23:K23"/>
    <mergeCell ref="L23:V23"/>
    <mergeCell ref="B19:F19"/>
    <mergeCell ref="G19:J19"/>
    <mergeCell ref="K19:O19"/>
    <mergeCell ref="P19:S19"/>
    <mergeCell ref="T19:V19"/>
    <mergeCell ref="B20:F20"/>
    <mergeCell ref="G20:J20"/>
    <mergeCell ref="K20:O20"/>
    <mergeCell ref="P20:S20"/>
    <mergeCell ref="T20:V20"/>
    <mergeCell ref="B17:F17"/>
    <mergeCell ref="G17:J17"/>
    <mergeCell ref="K17:O17"/>
    <mergeCell ref="P17:S17"/>
    <mergeCell ref="T17:V17"/>
    <mergeCell ref="B18:F18"/>
    <mergeCell ref="G18:J18"/>
    <mergeCell ref="K18:O18"/>
    <mergeCell ref="P18:S18"/>
    <mergeCell ref="T18:V18"/>
    <mergeCell ref="B15:F15"/>
    <mergeCell ref="G15:J15"/>
    <mergeCell ref="K15:O15"/>
    <mergeCell ref="P15:S15"/>
    <mergeCell ref="T15:V15"/>
    <mergeCell ref="B16:F16"/>
    <mergeCell ref="G16:J16"/>
    <mergeCell ref="K16:O16"/>
    <mergeCell ref="P16:S16"/>
    <mergeCell ref="T16:V16"/>
    <mergeCell ref="A13:A14"/>
    <mergeCell ref="B13:F14"/>
    <mergeCell ref="G13:J14"/>
    <mergeCell ref="K13:O13"/>
    <mergeCell ref="P13:S13"/>
    <mergeCell ref="T13:V13"/>
    <mergeCell ref="K14:O14"/>
    <mergeCell ref="P14:S14"/>
    <mergeCell ref="T14:V14"/>
    <mergeCell ref="B11:F11"/>
    <mergeCell ref="G11:J11"/>
    <mergeCell ref="K11:O11"/>
    <mergeCell ref="P11:S11"/>
    <mergeCell ref="T11:V11"/>
    <mergeCell ref="B12:F12"/>
    <mergeCell ref="G12:J12"/>
    <mergeCell ref="K12:O12"/>
    <mergeCell ref="P12:S12"/>
    <mergeCell ref="T12:V12"/>
    <mergeCell ref="A9:A10"/>
    <mergeCell ref="B9:F10"/>
    <mergeCell ref="G9:J10"/>
    <mergeCell ref="K9:O9"/>
    <mergeCell ref="P9:S9"/>
    <mergeCell ref="T9:V9"/>
    <mergeCell ref="K10:O10"/>
    <mergeCell ref="P10:S10"/>
    <mergeCell ref="T10:V10"/>
    <mergeCell ref="A7:A8"/>
    <mergeCell ref="B7:F8"/>
    <mergeCell ref="G7:J8"/>
    <mergeCell ref="K7:O7"/>
    <mergeCell ref="P7:S7"/>
    <mergeCell ref="T7:V7"/>
    <mergeCell ref="K8:O8"/>
    <mergeCell ref="P8:S8"/>
    <mergeCell ref="T8:V8"/>
    <mergeCell ref="A5:A6"/>
    <mergeCell ref="B5:F6"/>
    <mergeCell ref="G5:J6"/>
    <mergeCell ref="K5:O5"/>
    <mergeCell ref="P5:S5"/>
    <mergeCell ref="T5:V5"/>
    <mergeCell ref="K6:O6"/>
    <mergeCell ref="P6:S6"/>
    <mergeCell ref="T6:V6"/>
    <mergeCell ref="A1:D2"/>
    <mergeCell ref="E1:V2"/>
    <mergeCell ref="A3:V3"/>
    <mergeCell ref="B4:F4"/>
    <mergeCell ref="G4:J4"/>
    <mergeCell ref="K4:O4"/>
    <mergeCell ref="P4:S4"/>
    <mergeCell ref="T4:V4"/>
  </mergeCells>
  <pageMargins left="0.86614173228346458" right="0.43307086614173229" top="0.47244094488188981" bottom="0.39370078740157483" header="0.47244094488188981" footer="0.39370078740157483"/>
  <pageSetup paperSize="9" scale="8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 tint="0.39997558519241921"/>
  </sheetPr>
  <dimension ref="A1:I155"/>
  <sheetViews>
    <sheetView showGridLines="0" topLeftCell="A22" zoomScaleNormal="100" workbookViewId="0">
      <selection activeCell="A29" sqref="A29:XFD29"/>
    </sheetView>
  </sheetViews>
  <sheetFormatPr defaultColWidth="0" defaultRowHeight="12.3" zeroHeight="1"/>
  <cols>
    <col min="1" max="1" width="3.71875" style="55" customWidth="1"/>
    <col min="2" max="2" width="26.109375" style="55" customWidth="1"/>
    <col min="3" max="3" width="6.38671875" style="55" customWidth="1"/>
    <col min="4" max="4" width="6.71875" style="55" customWidth="1"/>
    <col min="5" max="5" width="11.38671875" style="55" customWidth="1"/>
    <col min="6" max="6" width="14.109375" style="55" customWidth="1"/>
    <col min="7" max="7" width="12.109375" style="55" customWidth="1"/>
    <col min="8" max="8" width="11.38671875" style="55" customWidth="1"/>
    <col min="9" max="9" width="8.71875" style="55" customWidth="1"/>
    <col min="10" max="16384" width="8.71875" style="55" hidden="1"/>
  </cols>
  <sheetData>
    <row r="1" spans="1:8" s="34" customFormat="1" ht="21.75" customHeight="1">
      <c r="A1" s="33"/>
      <c r="B1" s="35" t="s">
        <v>129</v>
      </c>
      <c r="C1" s="76"/>
      <c r="D1" s="76"/>
      <c r="E1" s="822" t="s">
        <v>317</v>
      </c>
      <c r="F1" s="822"/>
      <c r="G1" s="822"/>
      <c r="H1" s="822"/>
    </row>
    <row r="2" spans="1:8" s="34" customFormat="1" ht="29.25" customHeight="1">
      <c r="A2" s="33"/>
      <c r="B2" s="35" t="s">
        <v>130</v>
      </c>
      <c r="C2" s="76"/>
      <c r="D2" s="73"/>
      <c r="E2" s="100" t="s">
        <v>312</v>
      </c>
      <c r="F2" s="101"/>
      <c r="G2" s="101"/>
      <c r="H2" s="101"/>
    </row>
    <row r="3" spans="1:8" s="34" customFormat="1" ht="18.75" customHeight="1">
      <c r="A3" s="33"/>
      <c r="B3" s="823" t="s">
        <v>131</v>
      </c>
      <c r="C3" s="823"/>
      <c r="D3" s="823"/>
      <c r="E3" s="822" t="s">
        <v>318</v>
      </c>
      <c r="F3" s="822"/>
      <c r="G3" s="822"/>
      <c r="H3" s="822"/>
    </row>
    <row r="4" spans="1:8" s="36" customFormat="1" ht="13.35" customHeight="1">
      <c r="B4" s="37"/>
      <c r="C4" s="38"/>
      <c r="D4" s="38"/>
      <c r="E4" s="824"/>
      <c r="F4" s="824"/>
    </row>
    <row r="5" spans="1:8"/>
    <row r="6" spans="1:8" s="42" customFormat="1" ht="24" customHeight="1">
      <c r="A6" s="39" t="s">
        <v>15</v>
      </c>
      <c r="B6" s="40" t="s">
        <v>132</v>
      </c>
      <c r="C6" s="820" t="s">
        <v>133</v>
      </c>
      <c r="D6" s="821"/>
      <c r="E6" s="40" t="s">
        <v>134</v>
      </c>
      <c r="F6" s="40" t="s">
        <v>135</v>
      </c>
      <c r="G6" s="41" t="s">
        <v>136</v>
      </c>
      <c r="H6" s="41" t="s">
        <v>137</v>
      </c>
    </row>
    <row r="7" spans="1:8" s="42" customFormat="1" ht="27" customHeight="1">
      <c r="A7" s="19">
        <v>1</v>
      </c>
      <c r="B7" s="19" t="s">
        <v>319</v>
      </c>
      <c r="C7" s="19" t="s">
        <v>64</v>
      </c>
      <c r="D7" s="19" t="s">
        <v>138</v>
      </c>
      <c r="E7" s="19" t="s">
        <v>139</v>
      </c>
      <c r="F7" s="19" t="s">
        <v>321</v>
      </c>
      <c r="G7" s="43">
        <v>45323</v>
      </c>
      <c r="H7" s="44">
        <v>46783</v>
      </c>
    </row>
    <row r="8" spans="1:8" s="42" customFormat="1" ht="19.350000000000001" customHeight="1">
      <c r="A8" s="830">
        <v>2</v>
      </c>
      <c r="B8" s="830" t="s">
        <v>320</v>
      </c>
      <c r="C8" s="19" t="s">
        <v>110</v>
      </c>
      <c r="D8" s="19" t="s">
        <v>138</v>
      </c>
      <c r="E8" s="19" t="s">
        <v>139</v>
      </c>
      <c r="F8" s="19" t="s">
        <v>322</v>
      </c>
      <c r="G8" s="45" t="s">
        <v>323</v>
      </c>
      <c r="H8" s="45" t="s">
        <v>309</v>
      </c>
    </row>
    <row r="9" spans="1:8" s="42" customFormat="1" ht="19.350000000000001" customHeight="1">
      <c r="A9" s="831"/>
      <c r="B9" s="831"/>
      <c r="C9" s="19" t="s">
        <v>96</v>
      </c>
      <c r="D9" s="19" t="s">
        <v>138</v>
      </c>
      <c r="E9" s="19" t="s">
        <v>139</v>
      </c>
      <c r="F9" s="19" t="s">
        <v>306</v>
      </c>
      <c r="G9" s="45" t="s">
        <v>307</v>
      </c>
      <c r="H9" s="45" t="s">
        <v>308</v>
      </c>
    </row>
    <row r="10" spans="1:8" s="42" customFormat="1" ht="27" customHeight="1">
      <c r="A10" s="830">
        <v>3</v>
      </c>
      <c r="B10" s="830" t="s">
        <v>400</v>
      </c>
      <c r="C10" s="19" t="s">
        <v>64</v>
      </c>
      <c r="D10" s="19" t="s">
        <v>138</v>
      </c>
      <c r="E10" s="19" t="s">
        <v>139</v>
      </c>
      <c r="F10" s="19" t="s">
        <v>401</v>
      </c>
      <c r="G10" s="43" t="s">
        <v>402</v>
      </c>
      <c r="H10" s="43" t="s">
        <v>403</v>
      </c>
    </row>
    <row r="11" spans="1:8" s="42" customFormat="1" ht="27" customHeight="1">
      <c r="A11" s="831"/>
      <c r="B11" s="831"/>
      <c r="C11" s="19" t="s">
        <v>96</v>
      </c>
      <c r="D11" s="19" t="s">
        <v>138</v>
      </c>
      <c r="E11" s="19" t="s">
        <v>139</v>
      </c>
      <c r="F11" s="19" t="s">
        <v>401</v>
      </c>
      <c r="G11" s="43" t="s">
        <v>423</v>
      </c>
      <c r="H11" s="43" t="s">
        <v>424</v>
      </c>
    </row>
    <row r="12" spans="1:8" s="42" customFormat="1" ht="27" customHeight="1">
      <c r="A12" s="19">
        <v>4</v>
      </c>
      <c r="B12" s="19" t="s">
        <v>417</v>
      </c>
      <c r="C12" s="19" t="s">
        <v>64</v>
      </c>
      <c r="D12" s="19" t="s">
        <v>138</v>
      </c>
      <c r="E12" s="19" t="s">
        <v>139</v>
      </c>
      <c r="F12" s="74" t="s">
        <v>401</v>
      </c>
      <c r="G12" s="75" t="s">
        <v>402</v>
      </c>
      <c r="H12" s="75" t="s">
        <v>403</v>
      </c>
    </row>
    <row r="13" spans="1:8" s="42" customFormat="1" ht="19.350000000000001" customHeight="1">
      <c r="A13" s="46"/>
      <c r="B13" s="47"/>
      <c r="C13" s="46"/>
      <c r="D13" s="46"/>
      <c r="E13" s="46"/>
      <c r="F13" s="46"/>
      <c r="G13" s="48"/>
      <c r="H13" s="48"/>
    </row>
    <row r="14" spans="1:8" s="42" customFormat="1" ht="19.350000000000001" customHeight="1">
      <c r="A14" s="46"/>
      <c r="B14" s="47"/>
      <c r="C14" s="46"/>
      <c r="D14" s="46"/>
      <c r="E14" s="46"/>
      <c r="F14" s="46"/>
      <c r="G14" s="48"/>
      <c r="H14" s="48"/>
    </row>
    <row r="15" spans="1:8" s="42" customFormat="1" ht="19.350000000000001" customHeight="1">
      <c r="A15" s="46"/>
      <c r="B15" s="47"/>
      <c r="C15" s="46"/>
      <c r="D15" s="46"/>
      <c r="E15" s="46"/>
      <c r="F15" s="46"/>
      <c r="G15" s="48"/>
      <c r="H15" s="48"/>
    </row>
    <row r="16" spans="1:8" s="42" customFormat="1" ht="19.350000000000001" customHeight="1">
      <c r="A16" s="46"/>
      <c r="B16" s="47"/>
      <c r="C16" s="46"/>
      <c r="D16" s="46"/>
      <c r="E16" s="46"/>
      <c r="F16" s="46"/>
      <c r="G16" s="48"/>
      <c r="H16" s="48"/>
    </row>
    <row r="17" spans="1:8" s="42" customFormat="1" ht="19.350000000000001" customHeight="1">
      <c r="A17" s="46"/>
      <c r="B17" s="47"/>
      <c r="C17" s="46"/>
      <c r="D17" s="46"/>
      <c r="E17" s="46"/>
      <c r="F17" s="46"/>
      <c r="G17" s="48"/>
      <c r="H17" s="48"/>
    </row>
    <row r="18" spans="1:8" s="42" customFormat="1" ht="19.350000000000001" customHeight="1">
      <c r="A18" s="46"/>
      <c r="B18" s="47"/>
      <c r="C18" s="46"/>
      <c r="D18" s="46"/>
      <c r="E18" s="46"/>
      <c r="F18" s="46"/>
      <c r="G18" s="48"/>
      <c r="H18" s="48"/>
    </row>
    <row r="19" spans="1:8" s="42" customFormat="1" ht="19.350000000000001" customHeight="1">
      <c r="A19" s="46"/>
      <c r="B19" s="47"/>
      <c r="C19" s="46"/>
      <c r="D19" s="46"/>
      <c r="E19" s="46"/>
      <c r="F19" s="46"/>
      <c r="G19" s="48"/>
      <c r="H19" s="48"/>
    </row>
    <row r="20" spans="1:8" s="42" customFormat="1" ht="19.350000000000001" customHeight="1">
      <c r="A20" s="46"/>
      <c r="B20" s="47"/>
      <c r="C20" s="46"/>
      <c r="D20" s="46"/>
      <c r="E20" s="46"/>
      <c r="F20" s="46"/>
      <c r="G20" s="48"/>
      <c r="H20" s="48"/>
    </row>
    <row r="21" spans="1:8" s="42" customFormat="1" ht="19.350000000000001" customHeight="1">
      <c r="A21" s="46"/>
      <c r="B21" s="47"/>
      <c r="C21" s="46"/>
      <c r="D21" s="46"/>
      <c r="E21" s="46"/>
      <c r="F21" s="46"/>
      <c r="G21" s="48"/>
      <c r="H21" s="48"/>
    </row>
    <row r="22" spans="1:8" s="42" customFormat="1" ht="19.350000000000001" customHeight="1">
      <c r="A22" s="46"/>
      <c r="B22" s="47"/>
      <c r="C22" s="46"/>
      <c r="D22" s="46"/>
      <c r="E22" s="46"/>
      <c r="F22" s="46"/>
      <c r="G22" s="48"/>
      <c r="H22" s="48"/>
    </row>
    <row r="23" spans="1:8" s="42" customFormat="1" ht="19.350000000000001" customHeight="1">
      <c r="A23" s="46"/>
      <c r="B23" s="47"/>
      <c r="C23" s="46"/>
      <c r="D23" s="46"/>
      <c r="E23" s="46"/>
      <c r="F23" s="46"/>
      <c r="G23" s="48"/>
      <c r="H23" s="48"/>
    </row>
    <row r="24" spans="1:8" s="42" customFormat="1" ht="19.350000000000001" customHeight="1">
      <c r="A24" s="46"/>
      <c r="B24" s="47"/>
      <c r="C24" s="46"/>
      <c r="D24" s="46"/>
      <c r="E24" s="46"/>
      <c r="F24" s="46"/>
      <c r="G24" s="48"/>
      <c r="H24" s="48"/>
    </row>
    <row r="25" spans="1:8" s="42" customFormat="1" ht="19.350000000000001" customHeight="1">
      <c r="A25" s="49"/>
      <c r="B25" s="50"/>
      <c r="C25" s="50"/>
      <c r="D25" s="50"/>
      <c r="E25" s="50"/>
      <c r="F25" s="50"/>
      <c r="G25" s="51"/>
      <c r="H25" s="51"/>
    </row>
    <row r="26" spans="1:8" s="42" customFormat="1" ht="19.350000000000001" customHeight="1">
      <c r="A26" s="49"/>
      <c r="B26" s="50"/>
      <c r="C26" s="50"/>
      <c r="D26" s="50"/>
      <c r="E26" s="50"/>
      <c r="F26" s="50"/>
      <c r="G26" s="51"/>
      <c r="H26" s="51"/>
    </row>
    <row r="27" spans="1:8" s="42" customFormat="1" ht="19.350000000000001" customHeight="1">
      <c r="A27" s="49"/>
      <c r="B27" s="50"/>
      <c r="C27" s="50"/>
      <c r="D27" s="50"/>
      <c r="E27" s="50"/>
      <c r="F27" s="50"/>
      <c r="G27" s="51"/>
      <c r="H27" s="51"/>
    </row>
    <row r="28" spans="1:8" s="42" customFormat="1" ht="27" customHeight="1">
      <c r="A28" s="49"/>
      <c r="B28" s="50"/>
      <c r="C28" s="50"/>
      <c r="D28" s="50"/>
      <c r="E28" s="50"/>
      <c r="F28" s="50"/>
      <c r="G28" s="51"/>
      <c r="H28" s="51"/>
    </row>
    <row r="29" spans="1:8" s="42" customFormat="1" ht="19.350000000000001" customHeight="1">
      <c r="A29" s="49"/>
      <c r="B29" s="50"/>
      <c r="C29" s="50"/>
      <c r="D29" s="50"/>
      <c r="E29" s="50"/>
      <c r="F29" s="50"/>
      <c r="G29" s="51"/>
      <c r="H29" s="51"/>
    </row>
    <row r="30" spans="1:8" s="42" customFormat="1" ht="19.350000000000001" customHeight="1">
      <c r="A30" s="49"/>
      <c r="B30" s="50"/>
      <c r="C30" s="50"/>
      <c r="D30" s="50"/>
      <c r="E30" s="50"/>
      <c r="F30" s="50"/>
      <c r="G30" s="51"/>
      <c r="H30" s="51"/>
    </row>
    <row r="31" spans="1:8" s="42" customFormat="1" ht="15" customHeight="1">
      <c r="A31" s="52"/>
      <c r="B31" s="53"/>
      <c r="C31" s="53"/>
      <c r="D31" s="53"/>
      <c r="E31" s="53"/>
      <c r="F31" s="53"/>
      <c r="G31" s="54"/>
      <c r="H31" s="54"/>
    </row>
    <row r="32" spans="1:8" ht="78" customHeight="1">
      <c r="A32" s="832" t="s">
        <v>1047</v>
      </c>
      <c r="B32" s="833"/>
      <c r="C32" s="833"/>
      <c r="D32" s="833"/>
      <c r="E32" s="825" t="s">
        <v>310</v>
      </c>
      <c r="F32" s="826"/>
      <c r="G32" s="826"/>
      <c r="H32" s="827"/>
    </row>
    <row r="33" spans="1:8" ht="19.350000000000001" customHeight="1">
      <c r="A33" s="828" t="s">
        <v>1048</v>
      </c>
      <c r="B33" s="829"/>
      <c r="C33" s="829"/>
      <c r="D33" s="829"/>
      <c r="E33" s="828" t="str">
        <f>A33</f>
        <v>Date:  15/09/2025</v>
      </c>
      <c r="F33" s="829"/>
      <c r="G33" s="829"/>
      <c r="H33" s="56"/>
    </row>
    <row r="34" spans="1:8"/>
    <row r="35" spans="1:8"/>
    <row r="36" spans="1:8"/>
    <row r="37" spans="1:8"/>
    <row r="38" spans="1:8"/>
    <row r="39" spans="1:8"/>
    <row r="40" spans="1:8"/>
    <row r="41" spans="1:8"/>
    <row r="42" spans="1:8"/>
    <row r="43" spans="1:8"/>
    <row r="44" spans="1:8"/>
    <row r="45" spans="1:8"/>
    <row r="46" spans="1:8"/>
    <row r="47" spans="1:8"/>
    <row r="48" spans="1: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mergeCells count="13">
    <mergeCell ref="E32:H32"/>
    <mergeCell ref="A33:D33"/>
    <mergeCell ref="E33:G33"/>
    <mergeCell ref="A8:A9"/>
    <mergeCell ref="B8:B9"/>
    <mergeCell ref="A32:D32"/>
    <mergeCell ref="B10:B11"/>
    <mergeCell ref="A10:A11"/>
    <mergeCell ref="C6:D6"/>
    <mergeCell ref="E1:H1"/>
    <mergeCell ref="B3:D3"/>
    <mergeCell ref="E3:H3"/>
    <mergeCell ref="E4:F4"/>
  </mergeCells>
  <pageMargins left="0.78740157480314965" right="0.27559055118110237" top="0.98425196850393704" bottom="0.31496062992125984" header="0.51181102362204722" footer="0"/>
  <pageSetup paperSize="9" orientation="portrait" r:id="rId1"/>
  <headerFooter alignWithMargins="0">
    <oddHeader>&amp;C&amp;"Arial,Bold"&amp;18REGISTER OF NDE PERSONEL</oddHead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 tint="0.39997558519241921"/>
  </sheetPr>
  <dimension ref="A1:WVN45"/>
  <sheetViews>
    <sheetView showGridLines="0" zoomScaleNormal="100" workbookViewId="0">
      <selection activeCell="A20" sqref="A20:XFD20"/>
    </sheetView>
  </sheetViews>
  <sheetFormatPr defaultColWidth="0" defaultRowHeight="12.3" zeroHeight="1"/>
  <cols>
    <col min="1" max="1" width="6.109375" style="1" customWidth="1"/>
    <col min="2" max="3" width="10.71875" style="1" customWidth="1"/>
    <col min="4" max="4" width="7.109375" style="1" customWidth="1"/>
    <col min="5" max="5" width="15.109375" style="1" customWidth="1"/>
    <col min="6" max="6" width="6.88671875" style="1" customWidth="1"/>
    <col min="7" max="7" width="13.88671875" style="1" customWidth="1"/>
    <col min="8" max="8" width="6.88671875" style="1" customWidth="1"/>
    <col min="9" max="10" width="3.88671875" style="1" customWidth="1"/>
    <col min="11" max="11" width="9" style="1" customWidth="1"/>
    <col min="12" max="14" width="9.109375" style="1" customWidth="1"/>
    <col min="15" max="15" width="16.33203125" style="1" customWidth="1"/>
    <col min="16" max="17" width="9.109375" style="1" customWidth="1"/>
    <col min="18" max="18" width="1.27734375" style="1" customWidth="1"/>
    <col min="19" max="19" width="9.109375" style="1" customWidth="1"/>
    <col min="20" max="20" width="3.71875" style="1" customWidth="1"/>
    <col min="21" max="21" width="3.21875" style="1" customWidth="1"/>
    <col min="22" max="22" width="3.44140625" style="1" customWidth="1"/>
    <col min="23" max="251" width="9.109375" style="1" hidden="1"/>
    <col min="252" max="252" width="6.109375" style="1" hidden="1"/>
    <col min="253" max="254" width="10.71875" style="1" hidden="1"/>
    <col min="255" max="255" width="7.109375" style="1" hidden="1"/>
    <col min="256" max="256" width="15.109375" style="1" hidden="1"/>
    <col min="257" max="257" width="6.88671875" style="1" hidden="1"/>
    <col min="258" max="258" width="13.88671875" style="1" hidden="1"/>
    <col min="259" max="259" width="6.88671875" style="1" hidden="1"/>
    <col min="260" max="261" width="3.88671875" style="1" hidden="1"/>
    <col min="262" max="262" width="9" style="1" hidden="1"/>
    <col min="263" max="507" width="9.109375" style="1" hidden="1"/>
    <col min="508" max="508" width="6.109375" style="1" hidden="1"/>
    <col min="509" max="510" width="10.71875" style="1" hidden="1"/>
    <col min="511" max="511" width="7.109375" style="1" hidden="1"/>
    <col min="512" max="512" width="15.109375" style="1" hidden="1"/>
    <col min="513" max="513" width="6.88671875" style="1" hidden="1"/>
    <col min="514" max="514" width="13.88671875" style="1" hidden="1"/>
    <col min="515" max="515" width="6.88671875" style="1" hidden="1"/>
    <col min="516" max="517" width="3.88671875" style="1" hidden="1"/>
    <col min="518" max="518" width="9" style="1" hidden="1"/>
    <col min="519" max="763" width="9.109375" style="1" hidden="1"/>
    <col min="764" max="764" width="6.109375" style="1" hidden="1"/>
    <col min="765" max="766" width="10.71875" style="1" hidden="1"/>
    <col min="767" max="767" width="7.109375" style="1" hidden="1"/>
    <col min="768" max="768" width="15.109375" style="1" hidden="1"/>
    <col min="769" max="769" width="6.88671875" style="1" hidden="1"/>
    <col min="770" max="770" width="13.88671875" style="1" hidden="1"/>
    <col min="771" max="771" width="6.88671875" style="1" hidden="1"/>
    <col min="772" max="773" width="3.88671875" style="1" hidden="1"/>
    <col min="774" max="774" width="9" style="1" hidden="1"/>
    <col min="775" max="1019" width="9.109375" style="1" hidden="1"/>
    <col min="1020" max="1020" width="6.109375" style="1" hidden="1"/>
    <col min="1021" max="1022" width="10.71875" style="1" hidden="1"/>
    <col min="1023" max="1023" width="7.109375" style="1" hidden="1"/>
    <col min="1024" max="1024" width="15.109375" style="1" hidden="1"/>
    <col min="1025" max="1025" width="6.88671875" style="1" hidden="1"/>
    <col min="1026" max="1026" width="13.88671875" style="1" hidden="1"/>
    <col min="1027" max="1027" width="6.88671875" style="1" hidden="1"/>
    <col min="1028" max="1029" width="3.88671875" style="1" hidden="1"/>
    <col min="1030" max="1030" width="9" style="1" hidden="1"/>
    <col min="1031" max="1275" width="9.109375" style="1" hidden="1"/>
    <col min="1276" max="1276" width="6.109375" style="1" hidden="1"/>
    <col min="1277" max="1278" width="10.71875" style="1" hidden="1"/>
    <col min="1279" max="1279" width="7.109375" style="1" hidden="1"/>
    <col min="1280" max="1280" width="15.109375" style="1" hidden="1"/>
    <col min="1281" max="1281" width="6.88671875" style="1" hidden="1"/>
    <col min="1282" max="1282" width="13.88671875" style="1" hidden="1"/>
    <col min="1283" max="1283" width="6.88671875" style="1" hidden="1"/>
    <col min="1284" max="1285" width="3.88671875" style="1" hidden="1"/>
    <col min="1286" max="1286" width="9" style="1" hidden="1"/>
    <col min="1287" max="1531" width="9.109375" style="1" hidden="1"/>
    <col min="1532" max="1532" width="6.109375" style="1" hidden="1"/>
    <col min="1533" max="1534" width="10.71875" style="1" hidden="1"/>
    <col min="1535" max="1535" width="7.109375" style="1" hidden="1"/>
    <col min="1536" max="1536" width="15.109375" style="1" hidden="1"/>
    <col min="1537" max="1537" width="6.88671875" style="1" hidden="1"/>
    <col min="1538" max="1538" width="13.88671875" style="1" hidden="1"/>
    <col min="1539" max="1539" width="6.88671875" style="1" hidden="1"/>
    <col min="1540" max="1541" width="3.88671875" style="1" hidden="1"/>
    <col min="1542" max="1542" width="9" style="1" hidden="1"/>
    <col min="1543" max="1787" width="9.109375" style="1" hidden="1"/>
    <col min="1788" max="1788" width="6.109375" style="1" hidden="1"/>
    <col min="1789" max="1790" width="10.71875" style="1" hidden="1"/>
    <col min="1791" max="1791" width="7.109375" style="1" hidden="1"/>
    <col min="1792" max="1792" width="15.109375" style="1" hidden="1"/>
    <col min="1793" max="1793" width="6.88671875" style="1" hidden="1"/>
    <col min="1794" max="1794" width="13.88671875" style="1" hidden="1"/>
    <col min="1795" max="1795" width="6.88671875" style="1" hidden="1"/>
    <col min="1796" max="1797" width="3.88671875" style="1" hidden="1"/>
    <col min="1798" max="1798" width="9" style="1" hidden="1"/>
    <col min="1799" max="2043" width="9.109375" style="1" hidden="1"/>
    <col min="2044" max="2044" width="6.109375" style="1" hidden="1"/>
    <col min="2045" max="2046" width="10.71875" style="1" hidden="1"/>
    <col min="2047" max="2047" width="7.109375" style="1" hidden="1"/>
    <col min="2048" max="2048" width="15.109375" style="1" hidden="1"/>
    <col min="2049" max="2049" width="6.88671875" style="1" hidden="1"/>
    <col min="2050" max="2050" width="13.88671875" style="1" hidden="1"/>
    <col min="2051" max="2051" width="6.88671875" style="1" hidden="1"/>
    <col min="2052" max="2053" width="3.88671875" style="1" hidden="1"/>
    <col min="2054" max="2054" width="9" style="1" hidden="1"/>
    <col min="2055" max="2299" width="9.109375" style="1" hidden="1"/>
    <col min="2300" max="2300" width="6.109375" style="1" hidden="1"/>
    <col min="2301" max="2302" width="10.71875" style="1" hidden="1"/>
    <col min="2303" max="2303" width="7.109375" style="1" hidden="1"/>
    <col min="2304" max="2304" width="15.109375" style="1" hidden="1"/>
    <col min="2305" max="2305" width="6.88671875" style="1" hidden="1"/>
    <col min="2306" max="2306" width="13.88671875" style="1" hidden="1"/>
    <col min="2307" max="2307" width="6.88671875" style="1" hidden="1"/>
    <col min="2308" max="2309" width="3.88671875" style="1" hidden="1"/>
    <col min="2310" max="2310" width="9" style="1" hidden="1"/>
    <col min="2311" max="2555" width="9.109375" style="1" hidden="1"/>
    <col min="2556" max="2556" width="6.109375" style="1" hidden="1"/>
    <col min="2557" max="2558" width="10.71875" style="1" hidden="1"/>
    <col min="2559" max="2559" width="7.109375" style="1" hidden="1"/>
    <col min="2560" max="2560" width="15.109375" style="1" hidden="1"/>
    <col min="2561" max="2561" width="6.88671875" style="1" hidden="1"/>
    <col min="2562" max="2562" width="13.88671875" style="1" hidden="1"/>
    <col min="2563" max="2563" width="6.88671875" style="1" hidden="1"/>
    <col min="2564" max="2565" width="3.88671875" style="1" hidden="1"/>
    <col min="2566" max="2566" width="9" style="1" hidden="1"/>
    <col min="2567" max="2811" width="9.109375" style="1" hidden="1"/>
    <col min="2812" max="2812" width="6.109375" style="1" hidden="1"/>
    <col min="2813" max="2814" width="10.71875" style="1" hidden="1"/>
    <col min="2815" max="2815" width="7.109375" style="1" hidden="1"/>
    <col min="2816" max="2816" width="15.109375" style="1" hidden="1"/>
    <col min="2817" max="2817" width="6.88671875" style="1" hidden="1"/>
    <col min="2818" max="2818" width="13.88671875" style="1" hidden="1"/>
    <col min="2819" max="2819" width="6.88671875" style="1" hidden="1"/>
    <col min="2820" max="2821" width="3.88671875" style="1" hidden="1"/>
    <col min="2822" max="2822" width="9" style="1" hidden="1"/>
    <col min="2823" max="3067" width="9.109375" style="1" hidden="1"/>
    <col min="3068" max="3068" width="6.109375" style="1" hidden="1"/>
    <col min="3069" max="3070" width="10.71875" style="1" hidden="1"/>
    <col min="3071" max="3071" width="7.109375" style="1" hidden="1"/>
    <col min="3072" max="3072" width="15.109375" style="1" hidden="1"/>
    <col min="3073" max="3073" width="6.88671875" style="1" hidden="1"/>
    <col min="3074" max="3074" width="13.88671875" style="1" hidden="1"/>
    <col min="3075" max="3075" width="6.88671875" style="1" hidden="1"/>
    <col min="3076" max="3077" width="3.88671875" style="1" hidden="1"/>
    <col min="3078" max="3078" width="9" style="1" hidden="1"/>
    <col min="3079" max="3323" width="9.109375" style="1" hidden="1"/>
    <col min="3324" max="3324" width="6.109375" style="1" hidden="1"/>
    <col min="3325" max="3326" width="10.71875" style="1" hidden="1"/>
    <col min="3327" max="3327" width="7.109375" style="1" hidden="1"/>
    <col min="3328" max="3328" width="15.109375" style="1" hidden="1"/>
    <col min="3329" max="3329" width="6.88671875" style="1" hidden="1"/>
    <col min="3330" max="3330" width="13.88671875" style="1" hidden="1"/>
    <col min="3331" max="3331" width="6.88671875" style="1" hidden="1"/>
    <col min="3332" max="3333" width="3.88671875" style="1" hidden="1"/>
    <col min="3334" max="3334" width="9" style="1" hidden="1"/>
    <col min="3335" max="3579" width="9.109375" style="1" hidden="1"/>
    <col min="3580" max="3580" width="6.109375" style="1" hidden="1"/>
    <col min="3581" max="3582" width="10.71875" style="1" hidden="1"/>
    <col min="3583" max="3583" width="7.109375" style="1" hidden="1"/>
    <col min="3584" max="3584" width="15.109375" style="1" hidden="1"/>
    <col min="3585" max="3585" width="6.88671875" style="1" hidden="1"/>
    <col min="3586" max="3586" width="13.88671875" style="1" hidden="1"/>
    <col min="3587" max="3587" width="6.88671875" style="1" hidden="1"/>
    <col min="3588" max="3589" width="3.88671875" style="1" hidden="1"/>
    <col min="3590" max="3590" width="9" style="1" hidden="1"/>
    <col min="3591" max="3835" width="9.109375" style="1" hidden="1"/>
    <col min="3836" max="3836" width="6.109375" style="1" hidden="1"/>
    <col min="3837" max="3838" width="10.71875" style="1" hidden="1"/>
    <col min="3839" max="3839" width="7.109375" style="1" hidden="1"/>
    <col min="3840" max="3840" width="15.109375" style="1" hidden="1"/>
    <col min="3841" max="3841" width="6.88671875" style="1" hidden="1"/>
    <col min="3842" max="3842" width="13.88671875" style="1" hidden="1"/>
    <col min="3843" max="3843" width="6.88671875" style="1" hidden="1"/>
    <col min="3844" max="3845" width="3.88671875" style="1" hidden="1"/>
    <col min="3846" max="3846" width="9" style="1" hidden="1"/>
    <col min="3847" max="4091" width="9.109375" style="1" hidden="1"/>
    <col min="4092" max="4092" width="6.109375" style="1" hidden="1"/>
    <col min="4093" max="4094" width="10.71875" style="1" hidden="1"/>
    <col min="4095" max="4095" width="7.109375" style="1" hidden="1"/>
    <col min="4096" max="4096" width="15.109375" style="1" hidden="1"/>
    <col min="4097" max="4097" width="6.88671875" style="1" hidden="1"/>
    <col min="4098" max="4098" width="13.88671875" style="1" hidden="1"/>
    <col min="4099" max="4099" width="6.88671875" style="1" hidden="1"/>
    <col min="4100" max="4101" width="3.88671875" style="1" hidden="1"/>
    <col min="4102" max="4102" width="9" style="1" hidden="1"/>
    <col min="4103" max="4347" width="9.109375" style="1" hidden="1"/>
    <col min="4348" max="4348" width="6.109375" style="1" hidden="1"/>
    <col min="4349" max="4350" width="10.71875" style="1" hidden="1"/>
    <col min="4351" max="4351" width="7.109375" style="1" hidden="1"/>
    <col min="4352" max="4352" width="15.109375" style="1" hidden="1"/>
    <col min="4353" max="4353" width="6.88671875" style="1" hidden="1"/>
    <col min="4354" max="4354" width="13.88671875" style="1" hidden="1"/>
    <col min="4355" max="4355" width="6.88671875" style="1" hidden="1"/>
    <col min="4356" max="4357" width="3.88671875" style="1" hidden="1"/>
    <col min="4358" max="4358" width="9" style="1" hidden="1"/>
    <col min="4359" max="4603" width="9.109375" style="1" hidden="1"/>
    <col min="4604" max="4604" width="6.109375" style="1" hidden="1"/>
    <col min="4605" max="4606" width="10.71875" style="1" hidden="1"/>
    <col min="4607" max="4607" width="7.109375" style="1" hidden="1"/>
    <col min="4608" max="4608" width="15.109375" style="1" hidden="1"/>
    <col min="4609" max="4609" width="6.88671875" style="1" hidden="1"/>
    <col min="4610" max="4610" width="13.88671875" style="1" hidden="1"/>
    <col min="4611" max="4611" width="6.88671875" style="1" hidden="1"/>
    <col min="4612" max="4613" width="3.88671875" style="1" hidden="1"/>
    <col min="4614" max="4614" width="9" style="1" hidden="1"/>
    <col min="4615" max="4859" width="9.109375" style="1" hidden="1"/>
    <col min="4860" max="4860" width="6.109375" style="1" hidden="1"/>
    <col min="4861" max="4862" width="10.71875" style="1" hidden="1"/>
    <col min="4863" max="4863" width="7.109375" style="1" hidden="1"/>
    <col min="4864" max="4864" width="15.109375" style="1" hidden="1"/>
    <col min="4865" max="4865" width="6.88671875" style="1" hidden="1"/>
    <col min="4866" max="4866" width="13.88671875" style="1" hidden="1"/>
    <col min="4867" max="4867" width="6.88671875" style="1" hidden="1"/>
    <col min="4868" max="4869" width="3.88671875" style="1" hidden="1"/>
    <col min="4870" max="4870" width="9" style="1" hidden="1"/>
    <col min="4871" max="5115" width="9.109375" style="1" hidden="1"/>
    <col min="5116" max="5116" width="6.109375" style="1" hidden="1"/>
    <col min="5117" max="5118" width="10.71875" style="1" hidden="1"/>
    <col min="5119" max="5119" width="7.109375" style="1" hidden="1"/>
    <col min="5120" max="5120" width="15.109375" style="1" hidden="1"/>
    <col min="5121" max="5121" width="6.88671875" style="1" hidden="1"/>
    <col min="5122" max="5122" width="13.88671875" style="1" hidden="1"/>
    <col min="5123" max="5123" width="6.88671875" style="1" hidden="1"/>
    <col min="5124" max="5125" width="3.88671875" style="1" hidden="1"/>
    <col min="5126" max="5126" width="9" style="1" hidden="1"/>
    <col min="5127" max="5371" width="9.109375" style="1" hidden="1"/>
    <col min="5372" max="5372" width="6.109375" style="1" hidden="1"/>
    <col min="5373" max="5374" width="10.71875" style="1" hidden="1"/>
    <col min="5375" max="5375" width="7.109375" style="1" hidden="1"/>
    <col min="5376" max="5376" width="15.109375" style="1" hidden="1"/>
    <col min="5377" max="5377" width="6.88671875" style="1" hidden="1"/>
    <col min="5378" max="5378" width="13.88671875" style="1" hidden="1"/>
    <col min="5379" max="5379" width="6.88671875" style="1" hidden="1"/>
    <col min="5380" max="5381" width="3.88671875" style="1" hidden="1"/>
    <col min="5382" max="5382" width="9" style="1" hidden="1"/>
    <col min="5383" max="5627" width="9.109375" style="1" hidden="1"/>
    <col min="5628" max="5628" width="6.109375" style="1" hidden="1"/>
    <col min="5629" max="5630" width="10.71875" style="1" hidden="1"/>
    <col min="5631" max="5631" width="7.109375" style="1" hidden="1"/>
    <col min="5632" max="5632" width="15.109375" style="1" hidden="1"/>
    <col min="5633" max="5633" width="6.88671875" style="1" hidden="1"/>
    <col min="5634" max="5634" width="13.88671875" style="1" hidden="1"/>
    <col min="5635" max="5635" width="6.88671875" style="1" hidden="1"/>
    <col min="5636" max="5637" width="3.88671875" style="1" hidden="1"/>
    <col min="5638" max="5638" width="9" style="1" hidden="1"/>
    <col min="5639" max="5883" width="9.109375" style="1" hidden="1"/>
    <col min="5884" max="5884" width="6.109375" style="1" hidden="1"/>
    <col min="5885" max="5886" width="10.71875" style="1" hidden="1"/>
    <col min="5887" max="5887" width="7.109375" style="1" hidden="1"/>
    <col min="5888" max="5888" width="15.109375" style="1" hidden="1"/>
    <col min="5889" max="5889" width="6.88671875" style="1" hidden="1"/>
    <col min="5890" max="5890" width="13.88671875" style="1" hidden="1"/>
    <col min="5891" max="5891" width="6.88671875" style="1" hidden="1"/>
    <col min="5892" max="5893" width="3.88671875" style="1" hidden="1"/>
    <col min="5894" max="5894" width="9" style="1" hidden="1"/>
    <col min="5895" max="6139" width="9.109375" style="1" hidden="1"/>
    <col min="6140" max="6140" width="6.109375" style="1" hidden="1"/>
    <col min="6141" max="6142" width="10.71875" style="1" hidden="1"/>
    <col min="6143" max="6143" width="7.109375" style="1" hidden="1"/>
    <col min="6144" max="6144" width="15.109375" style="1" hidden="1"/>
    <col min="6145" max="6145" width="6.88671875" style="1" hidden="1"/>
    <col min="6146" max="6146" width="13.88671875" style="1" hidden="1"/>
    <col min="6147" max="6147" width="6.88671875" style="1" hidden="1"/>
    <col min="6148" max="6149" width="3.88671875" style="1" hidden="1"/>
    <col min="6150" max="6150" width="9" style="1" hidden="1"/>
    <col min="6151" max="6395" width="9.109375" style="1" hidden="1"/>
    <col min="6396" max="6396" width="6.109375" style="1" hidden="1"/>
    <col min="6397" max="6398" width="10.71875" style="1" hidden="1"/>
    <col min="6399" max="6399" width="7.109375" style="1" hidden="1"/>
    <col min="6400" max="6400" width="15.109375" style="1" hidden="1"/>
    <col min="6401" max="6401" width="6.88671875" style="1" hidden="1"/>
    <col min="6402" max="6402" width="13.88671875" style="1" hidden="1"/>
    <col min="6403" max="6403" width="6.88671875" style="1" hidden="1"/>
    <col min="6404" max="6405" width="3.88671875" style="1" hidden="1"/>
    <col min="6406" max="6406" width="9" style="1" hidden="1"/>
    <col min="6407" max="6651" width="9.109375" style="1" hidden="1"/>
    <col min="6652" max="6652" width="6.109375" style="1" hidden="1"/>
    <col min="6653" max="6654" width="10.71875" style="1" hidden="1"/>
    <col min="6655" max="6655" width="7.109375" style="1" hidden="1"/>
    <col min="6656" max="6656" width="15.109375" style="1" hidden="1"/>
    <col min="6657" max="6657" width="6.88671875" style="1" hidden="1"/>
    <col min="6658" max="6658" width="13.88671875" style="1" hidden="1"/>
    <col min="6659" max="6659" width="6.88671875" style="1" hidden="1"/>
    <col min="6660" max="6661" width="3.88671875" style="1" hidden="1"/>
    <col min="6662" max="6662" width="9" style="1" hidden="1"/>
    <col min="6663" max="6907" width="9.109375" style="1" hidden="1"/>
    <col min="6908" max="6908" width="6.109375" style="1" hidden="1"/>
    <col min="6909" max="6910" width="10.71875" style="1" hidden="1"/>
    <col min="6911" max="6911" width="7.109375" style="1" hidden="1"/>
    <col min="6912" max="6912" width="15.109375" style="1" hidden="1"/>
    <col min="6913" max="6913" width="6.88671875" style="1" hidden="1"/>
    <col min="6914" max="6914" width="13.88671875" style="1" hidden="1"/>
    <col min="6915" max="6915" width="6.88671875" style="1" hidden="1"/>
    <col min="6916" max="6917" width="3.88671875" style="1" hidden="1"/>
    <col min="6918" max="6918" width="9" style="1" hidden="1"/>
    <col min="6919" max="7163" width="9.109375" style="1" hidden="1"/>
    <col min="7164" max="7164" width="6.109375" style="1" hidden="1"/>
    <col min="7165" max="7166" width="10.71875" style="1" hidden="1"/>
    <col min="7167" max="7167" width="7.109375" style="1" hidden="1"/>
    <col min="7168" max="7168" width="15.109375" style="1" hidden="1"/>
    <col min="7169" max="7169" width="6.88671875" style="1" hidden="1"/>
    <col min="7170" max="7170" width="13.88671875" style="1" hidden="1"/>
    <col min="7171" max="7171" width="6.88671875" style="1" hidden="1"/>
    <col min="7172" max="7173" width="3.88671875" style="1" hidden="1"/>
    <col min="7174" max="7174" width="9" style="1" hidden="1"/>
    <col min="7175" max="7419" width="9.109375" style="1" hidden="1"/>
    <col min="7420" max="7420" width="6.109375" style="1" hidden="1"/>
    <col min="7421" max="7422" width="10.71875" style="1" hidden="1"/>
    <col min="7423" max="7423" width="7.109375" style="1" hidden="1"/>
    <col min="7424" max="7424" width="15.109375" style="1" hidden="1"/>
    <col min="7425" max="7425" width="6.88671875" style="1" hidden="1"/>
    <col min="7426" max="7426" width="13.88671875" style="1" hidden="1"/>
    <col min="7427" max="7427" width="6.88671875" style="1" hidden="1"/>
    <col min="7428" max="7429" width="3.88671875" style="1" hidden="1"/>
    <col min="7430" max="7430" width="9" style="1" hidden="1"/>
    <col min="7431" max="7675" width="9.109375" style="1" hidden="1"/>
    <col min="7676" max="7676" width="6.109375" style="1" hidden="1"/>
    <col min="7677" max="7678" width="10.71875" style="1" hidden="1"/>
    <col min="7679" max="7679" width="7.109375" style="1" hidden="1"/>
    <col min="7680" max="7680" width="15.109375" style="1" hidden="1"/>
    <col min="7681" max="7681" width="6.88671875" style="1" hidden="1"/>
    <col min="7682" max="7682" width="13.88671875" style="1" hidden="1"/>
    <col min="7683" max="7683" width="6.88671875" style="1" hidden="1"/>
    <col min="7684" max="7685" width="3.88671875" style="1" hidden="1"/>
    <col min="7686" max="7686" width="9" style="1" hidden="1"/>
    <col min="7687" max="7931" width="9.109375" style="1" hidden="1"/>
    <col min="7932" max="7932" width="6.109375" style="1" hidden="1"/>
    <col min="7933" max="7934" width="10.71875" style="1" hidden="1"/>
    <col min="7935" max="7935" width="7.109375" style="1" hidden="1"/>
    <col min="7936" max="7936" width="15.109375" style="1" hidden="1"/>
    <col min="7937" max="7937" width="6.88671875" style="1" hidden="1"/>
    <col min="7938" max="7938" width="13.88671875" style="1" hidden="1"/>
    <col min="7939" max="7939" width="6.88671875" style="1" hidden="1"/>
    <col min="7940" max="7941" width="3.88671875" style="1" hidden="1"/>
    <col min="7942" max="7942" width="9" style="1" hidden="1"/>
    <col min="7943" max="8187" width="9.109375" style="1" hidden="1"/>
    <col min="8188" max="8188" width="6.109375" style="1" hidden="1"/>
    <col min="8189" max="8190" width="10.71875" style="1" hidden="1"/>
    <col min="8191" max="8191" width="7.109375" style="1" hidden="1"/>
    <col min="8192" max="8192" width="15.109375" style="1" hidden="1"/>
    <col min="8193" max="8193" width="6.88671875" style="1" hidden="1"/>
    <col min="8194" max="8194" width="13.88671875" style="1" hidden="1"/>
    <col min="8195" max="8195" width="6.88671875" style="1" hidden="1"/>
    <col min="8196" max="8197" width="3.88671875" style="1" hidden="1"/>
    <col min="8198" max="8198" width="9" style="1" hidden="1"/>
    <col min="8199" max="8443" width="9.109375" style="1" hidden="1"/>
    <col min="8444" max="8444" width="6.109375" style="1" hidden="1"/>
    <col min="8445" max="8446" width="10.71875" style="1" hidden="1"/>
    <col min="8447" max="8447" width="7.109375" style="1" hidden="1"/>
    <col min="8448" max="8448" width="15.109375" style="1" hidden="1"/>
    <col min="8449" max="8449" width="6.88671875" style="1" hidden="1"/>
    <col min="8450" max="8450" width="13.88671875" style="1" hidden="1"/>
    <col min="8451" max="8451" width="6.88671875" style="1" hidden="1"/>
    <col min="8452" max="8453" width="3.88671875" style="1" hidden="1"/>
    <col min="8454" max="8454" width="9" style="1" hidden="1"/>
    <col min="8455" max="8699" width="9.109375" style="1" hidden="1"/>
    <col min="8700" max="8700" width="6.109375" style="1" hidden="1"/>
    <col min="8701" max="8702" width="10.71875" style="1" hidden="1"/>
    <col min="8703" max="8703" width="7.109375" style="1" hidden="1"/>
    <col min="8704" max="8704" width="15.109375" style="1" hidden="1"/>
    <col min="8705" max="8705" width="6.88671875" style="1" hidden="1"/>
    <col min="8706" max="8706" width="13.88671875" style="1" hidden="1"/>
    <col min="8707" max="8707" width="6.88671875" style="1" hidden="1"/>
    <col min="8708" max="8709" width="3.88671875" style="1" hidden="1"/>
    <col min="8710" max="8710" width="9" style="1" hidden="1"/>
    <col min="8711" max="8955" width="9.109375" style="1" hidden="1"/>
    <col min="8956" max="8956" width="6.109375" style="1" hidden="1"/>
    <col min="8957" max="8958" width="10.71875" style="1" hidden="1"/>
    <col min="8959" max="8959" width="7.109375" style="1" hidden="1"/>
    <col min="8960" max="8960" width="15.109375" style="1" hidden="1"/>
    <col min="8961" max="8961" width="6.88671875" style="1" hidden="1"/>
    <col min="8962" max="8962" width="13.88671875" style="1" hidden="1"/>
    <col min="8963" max="8963" width="6.88671875" style="1" hidden="1"/>
    <col min="8964" max="8965" width="3.88671875" style="1" hidden="1"/>
    <col min="8966" max="8966" width="9" style="1" hidden="1"/>
    <col min="8967" max="9211" width="9.109375" style="1" hidden="1"/>
    <col min="9212" max="9212" width="6.109375" style="1" hidden="1"/>
    <col min="9213" max="9214" width="10.71875" style="1" hidden="1"/>
    <col min="9215" max="9215" width="7.109375" style="1" hidden="1"/>
    <col min="9216" max="9216" width="15.109375" style="1" hidden="1"/>
    <col min="9217" max="9217" width="6.88671875" style="1" hidden="1"/>
    <col min="9218" max="9218" width="13.88671875" style="1" hidden="1"/>
    <col min="9219" max="9219" width="6.88671875" style="1" hidden="1"/>
    <col min="9220" max="9221" width="3.88671875" style="1" hidden="1"/>
    <col min="9222" max="9222" width="9" style="1" hidden="1"/>
    <col min="9223" max="9467" width="9.109375" style="1" hidden="1"/>
    <col min="9468" max="9468" width="6.109375" style="1" hidden="1"/>
    <col min="9469" max="9470" width="10.71875" style="1" hidden="1"/>
    <col min="9471" max="9471" width="7.109375" style="1" hidden="1"/>
    <col min="9472" max="9472" width="15.109375" style="1" hidden="1"/>
    <col min="9473" max="9473" width="6.88671875" style="1" hidden="1"/>
    <col min="9474" max="9474" width="13.88671875" style="1" hidden="1"/>
    <col min="9475" max="9475" width="6.88671875" style="1" hidden="1"/>
    <col min="9476" max="9477" width="3.88671875" style="1" hidden="1"/>
    <col min="9478" max="9478" width="9" style="1" hidden="1"/>
    <col min="9479" max="9723" width="9.109375" style="1" hidden="1"/>
    <col min="9724" max="9724" width="6.109375" style="1" hidden="1"/>
    <col min="9725" max="9726" width="10.71875" style="1" hidden="1"/>
    <col min="9727" max="9727" width="7.109375" style="1" hidden="1"/>
    <col min="9728" max="9728" width="15.109375" style="1" hidden="1"/>
    <col min="9729" max="9729" width="6.88671875" style="1" hidden="1"/>
    <col min="9730" max="9730" width="13.88671875" style="1" hidden="1"/>
    <col min="9731" max="9731" width="6.88671875" style="1" hidden="1"/>
    <col min="9732" max="9733" width="3.88671875" style="1" hidden="1"/>
    <col min="9734" max="9734" width="9" style="1" hidden="1"/>
    <col min="9735" max="9979" width="9.109375" style="1" hidden="1"/>
    <col min="9980" max="9980" width="6.109375" style="1" hidden="1"/>
    <col min="9981" max="9982" width="10.71875" style="1" hidden="1"/>
    <col min="9983" max="9983" width="7.109375" style="1" hidden="1"/>
    <col min="9984" max="9984" width="15.109375" style="1" hidden="1"/>
    <col min="9985" max="9985" width="6.88671875" style="1" hidden="1"/>
    <col min="9986" max="9986" width="13.88671875" style="1" hidden="1"/>
    <col min="9987" max="9987" width="6.88671875" style="1" hidden="1"/>
    <col min="9988" max="9989" width="3.88671875" style="1" hidden="1"/>
    <col min="9990" max="9990" width="9" style="1" hidden="1"/>
    <col min="9991" max="10235" width="9.109375" style="1" hidden="1"/>
    <col min="10236" max="10236" width="6.109375" style="1" hidden="1"/>
    <col min="10237" max="10238" width="10.71875" style="1" hidden="1"/>
    <col min="10239" max="10239" width="7.109375" style="1" hidden="1"/>
    <col min="10240" max="10240" width="15.109375" style="1" hidden="1"/>
    <col min="10241" max="10241" width="6.88671875" style="1" hidden="1"/>
    <col min="10242" max="10242" width="13.88671875" style="1" hidden="1"/>
    <col min="10243" max="10243" width="6.88671875" style="1" hidden="1"/>
    <col min="10244" max="10245" width="3.88671875" style="1" hidden="1"/>
    <col min="10246" max="10246" width="9" style="1" hidden="1"/>
    <col min="10247" max="10491" width="9.109375" style="1" hidden="1"/>
    <col min="10492" max="10492" width="6.109375" style="1" hidden="1"/>
    <col min="10493" max="10494" width="10.71875" style="1" hidden="1"/>
    <col min="10495" max="10495" width="7.109375" style="1" hidden="1"/>
    <col min="10496" max="10496" width="15.109375" style="1" hidden="1"/>
    <col min="10497" max="10497" width="6.88671875" style="1" hidden="1"/>
    <col min="10498" max="10498" width="13.88671875" style="1" hidden="1"/>
    <col min="10499" max="10499" width="6.88671875" style="1" hidden="1"/>
    <col min="10500" max="10501" width="3.88671875" style="1" hidden="1"/>
    <col min="10502" max="10502" width="9" style="1" hidden="1"/>
    <col min="10503" max="10747" width="9.109375" style="1" hidden="1"/>
    <col min="10748" max="10748" width="6.109375" style="1" hidden="1"/>
    <col min="10749" max="10750" width="10.71875" style="1" hidden="1"/>
    <col min="10751" max="10751" width="7.109375" style="1" hidden="1"/>
    <col min="10752" max="10752" width="15.109375" style="1" hidden="1"/>
    <col min="10753" max="10753" width="6.88671875" style="1" hidden="1"/>
    <col min="10754" max="10754" width="13.88671875" style="1" hidden="1"/>
    <col min="10755" max="10755" width="6.88671875" style="1" hidden="1"/>
    <col min="10756" max="10757" width="3.88671875" style="1" hidden="1"/>
    <col min="10758" max="10758" width="9" style="1" hidden="1"/>
    <col min="10759" max="11003" width="9.109375" style="1" hidden="1"/>
    <col min="11004" max="11004" width="6.109375" style="1" hidden="1"/>
    <col min="11005" max="11006" width="10.71875" style="1" hidden="1"/>
    <col min="11007" max="11007" width="7.109375" style="1" hidden="1"/>
    <col min="11008" max="11008" width="15.109375" style="1" hidden="1"/>
    <col min="11009" max="11009" width="6.88671875" style="1" hidden="1"/>
    <col min="11010" max="11010" width="13.88671875" style="1" hidden="1"/>
    <col min="11011" max="11011" width="6.88671875" style="1" hidden="1"/>
    <col min="11012" max="11013" width="3.88671875" style="1" hidden="1"/>
    <col min="11014" max="11014" width="9" style="1" hidden="1"/>
    <col min="11015" max="11259" width="9.109375" style="1" hidden="1"/>
    <col min="11260" max="11260" width="6.109375" style="1" hidden="1"/>
    <col min="11261" max="11262" width="10.71875" style="1" hidden="1"/>
    <col min="11263" max="11263" width="7.109375" style="1" hidden="1"/>
    <col min="11264" max="11264" width="15.109375" style="1" hidden="1"/>
    <col min="11265" max="11265" width="6.88671875" style="1" hidden="1"/>
    <col min="11266" max="11266" width="13.88671875" style="1" hidden="1"/>
    <col min="11267" max="11267" width="6.88671875" style="1" hidden="1"/>
    <col min="11268" max="11269" width="3.88671875" style="1" hidden="1"/>
    <col min="11270" max="11270" width="9" style="1" hidden="1"/>
    <col min="11271" max="11515" width="9.109375" style="1" hidden="1"/>
    <col min="11516" max="11516" width="6.109375" style="1" hidden="1"/>
    <col min="11517" max="11518" width="10.71875" style="1" hidden="1"/>
    <col min="11519" max="11519" width="7.109375" style="1" hidden="1"/>
    <col min="11520" max="11520" width="15.109375" style="1" hidden="1"/>
    <col min="11521" max="11521" width="6.88671875" style="1" hidden="1"/>
    <col min="11522" max="11522" width="13.88671875" style="1" hidden="1"/>
    <col min="11523" max="11523" width="6.88671875" style="1" hidden="1"/>
    <col min="11524" max="11525" width="3.88671875" style="1" hidden="1"/>
    <col min="11526" max="11526" width="9" style="1" hidden="1"/>
    <col min="11527" max="11771" width="9.109375" style="1" hidden="1"/>
    <col min="11772" max="11772" width="6.109375" style="1" hidden="1"/>
    <col min="11773" max="11774" width="10.71875" style="1" hidden="1"/>
    <col min="11775" max="11775" width="7.109375" style="1" hidden="1"/>
    <col min="11776" max="11776" width="15.109375" style="1" hidden="1"/>
    <col min="11777" max="11777" width="6.88671875" style="1" hidden="1"/>
    <col min="11778" max="11778" width="13.88671875" style="1" hidden="1"/>
    <col min="11779" max="11779" width="6.88671875" style="1" hidden="1"/>
    <col min="11780" max="11781" width="3.88671875" style="1" hidden="1"/>
    <col min="11782" max="11782" width="9" style="1" hidden="1"/>
    <col min="11783" max="12027" width="9.109375" style="1" hidden="1"/>
    <col min="12028" max="12028" width="6.109375" style="1" hidden="1"/>
    <col min="12029" max="12030" width="10.71875" style="1" hidden="1"/>
    <col min="12031" max="12031" width="7.109375" style="1" hidden="1"/>
    <col min="12032" max="12032" width="15.109375" style="1" hidden="1"/>
    <col min="12033" max="12033" width="6.88671875" style="1" hidden="1"/>
    <col min="12034" max="12034" width="13.88671875" style="1" hidden="1"/>
    <col min="12035" max="12035" width="6.88671875" style="1" hidden="1"/>
    <col min="12036" max="12037" width="3.88671875" style="1" hidden="1"/>
    <col min="12038" max="12038" width="9" style="1" hidden="1"/>
    <col min="12039" max="12283" width="9.109375" style="1" hidden="1"/>
    <col min="12284" max="12284" width="6.109375" style="1" hidden="1"/>
    <col min="12285" max="12286" width="10.71875" style="1" hidden="1"/>
    <col min="12287" max="12287" width="7.109375" style="1" hidden="1"/>
    <col min="12288" max="12288" width="15.109375" style="1" hidden="1"/>
    <col min="12289" max="12289" width="6.88671875" style="1" hidden="1"/>
    <col min="12290" max="12290" width="13.88671875" style="1" hidden="1"/>
    <col min="12291" max="12291" width="6.88671875" style="1" hidden="1"/>
    <col min="12292" max="12293" width="3.88671875" style="1" hidden="1"/>
    <col min="12294" max="12294" width="9" style="1" hidden="1"/>
    <col min="12295" max="12539" width="9.109375" style="1" hidden="1"/>
    <col min="12540" max="12540" width="6.109375" style="1" hidden="1"/>
    <col min="12541" max="12542" width="10.71875" style="1" hidden="1"/>
    <col min="12543" max="12543" width="7.109375" style="1" hidden="1"/>
    <col min="12544" max="12544" width="15.109375" style="1" hidden="1"/>
    <col min="12545" max="12545" width="6.88671875" style="1" hidden="1"/>
    <col min="12546" max="12546" width="13.88671875" style="1" hidden="1"/>
    <col min="12547" max="12547" width="6.88671875" style="1" hidden="1"/>
    <col min="12548" max="12549" width="3.88671875" style="1" hidden="1"/>
    <col min="12550" max="12550" width="9" style="1" hidden="1"/>
    <col min="12551" max="12795" width="9.109375" style="1" hidden="1"/>
    <col min="12796" max="12796" width="6.109375" style="1" hidden="1"/>
    <col min="12797" max="12798" width="10.71875" style="1" hidden="1"/>
    <col min="12799" max="12799" width="7.109375" style="1" hidden="1"/>
    <col min="12800" max="12800" width="15.109375" style="1" hidden="1"/>
    <col min="12801" max="12801" width="6.88671875" style="1" hidden="1"/>
    <col min="12802" max="12802" width="13.88671875" style="1" hidden="1"/>
    <col min="12803" max="12803" width="6.88671875" style="1" hidden="1"/>
    <col min="12804" max="12805" width="3.88671875" style="1" hidden="1"/>
    <col min="12806" max="12806" width="9" style="1" hidden="1"/>
    <col min="12807" max="13051" width="9.109375" style="1" hidden="1"/>
    <col min="13052" max="13052" width="6.109375" style="1" hidden="1"/>
    <col min="13053" max="13054" width="10.71875" style="1" hidden="1"/>
    <col min="13055" max="13055" width="7.109375" style="1" hidden="1"/>
    <col min="13056" max="13056" width="15.109375" style="1" hidden="1"/>
    <col min="13057" max="13057" width="6.88671875" style="1" hidden="1"/>
    <col min="13058" max="13058" width="13.88671875" style="1" hidden="1"/>
    <col min="13059" max="13059" width="6.88671875" style="1" hidden="1"/>
    <col min="13060" max="13061" width="3.88671875" style="1" hidden="1"/>
    <col min="13062" max="13062" width="9" style="1" hidden="1"/>
    <col min="13063" max="13307" width="9.109375" style="1" hidden="1"/>
    <col min="13308" max="13308" width="6.109375" style="1" hidden="1"/>
    <col min="13309" max="13310" width="10.71875" style="1" hidden="1"/>
    <col min="13311" max="13311" width="7.109375" style="1" hidden="1"/>
    <col min="13312" max="13312" width="15.109375" style="1" hidden="1"/>
    <col min="13313" max="13313" width="6.88671875" style="1" hidden="1"/>
    <col min="13314" max="13314" width="13.88671875" style="1" hidden="1"/>
    <col min="13315" max="13315" width="6.88671875" style="1" hidden="1"/>
    <col min="13316" max="13317" width="3.88671875" style="1" hidden="1"/>
    <col min="13318" max="13318" width="9" style="1" hidden="1"/>
    <col min="13319" max="13563" width="9.109375" style="1" hidden="1"/>
    <col min="13564" max="13564" width="6.109375" style="1" hidden="1"/>
    <col min="13565" max="13566" width="10.71875" style="1" hidden="1"/>
    <col min="13567" max="13567" width="7.109375" style="1" hidden="1"/>
    <col min="13568" max="13568" width="15.109375" style="1" hidden="1"/>
    <col min="13569" max="13569" width="6.88671875" style="1" hidden="1"/>
    <col min="13570" max="13570" width="13.88671875" style="1" hidden="1"/>
    <col min="13571" max="13571" width="6.88671875" style="1" hidden="1"/>
    <col min="13572" max="13573" width="3.88671875" style="1" hidden="1"/>
    <col min="13574" max="13574" width="9" style="1" hidden="1"/>
    <col min="13575" max="13819" width="9.109375" style="1" hidden="1"/>
    <col min="13820" max="13820" width="6.109375" style="1" hidden="1"/>
    <col min="13821" max="13822" width="10.71875" style="1" hidden="1"/>
    <col min="13823" max="13823" width="7.109375" style="1" hidden="1"/>
    <col min="13824" max="13824" width="15.109375" style="1" hidden="1"/>
    <col min="13825" max="13825" width="6.88671875" style="1" hidden="1"/>
    <col min="13826" max="13826" width="13.88671875" style="1" hidden="1"/>
    <col min="13827" max="13827" width="6.88671875" style="1" hidden="1"/>
    <col min="13828" max="13829" width="3.88671875" style="1" hidden="1"/>
    <col min="13830" max="13830" width="9" style="1" hidden="1"/>
    <col min="13831" max="14075" width="9.109375" style="1" hidden="1"/>
    <col min="14076" max="14076" width="6.109375" style="1" hidden="1"/>
    <col min="14077" max="14078" width="10.71875" style="1" hidden="1"/>
    <col min="14079" max="14079" width="7.109375" style="1" hidden="1"/>
    <col min="14080" max="14080" width="15.109375" style="1" hidden="1"/>
    <col min="14081" max="14081" width="6.88671875" style="1" hidden="1"/>
    <col min="14082" max="14082" width="13.88671875" style="1" hidden="1"/>
    <col min="14083" max="14083" width="6.88671875" style="1" hidden="1"/>
    <col min="14084" max="14085" width="3.88671875" style="1" hidden="1"/>
    <col min="14086" max="14086" width="9" style="1" hidden="1"/>
    <col min="14087" max="14331" width="9.109375" style="1" hidden="1"/>
    <col min="14332" max="14332" width="6.109375" style="1" hidden="1"/>
    <col min="14333" max="14334" width="10.71875" style="1" hidden="1"/>
    <col min="14335" max="14335" width="7.109375" style="1" hidden="1"/>
    <col min="14336" max="14336" width="15.109375" style="1" hidden="1"/>
    <col min="14337" max="14337" width="6.88671875" style="1" hidden="1"/>
    <col min="14338" max="14338" width="13.88671875" style="1" hidden="1"/>
    <col min="14339" max="14339" width="6.88671875" style="1" hidden="1"/>
    <col min="14340" max="14341" width="3.88671875" style="1" hidden="1"/>
    <col min="14342" max="14342" width="9" style="1" hidden="1"/>
    <col min="14343" max="14587" width="9.109375" style="1" hidden="1"/>
    <col min="14588" max="14588" width="6.109375" style="1" hidden="1"/>
    <col min="14589" max="14590" width="10.71875" style="1" hidden="1"/>
    <col min="14591" max="14591" width="7.109375" style="1" hidden="1"/>
    <col min="14592" max="14592" width="15.109375" style="1" hidden="1"/>
    <col min="14593" max="14593" width="6.88671875" style="1" hidden="1"/>
    <col min="14594" max="14594" width="13.88671875" style="1" hidden="1"/>
    <col min="14595" max="14595" width="6.88671875" style="1" hidden="1"/>
    <col min="14596" max="14597" width="3.88671875" style="1" hidden="1"/>
    <col min="14598" max="14598" width="9" style="1" hidden="1"/>
    <col min="14599" max="14843" width="9.109375" style="1" hidden="1"/>
    <col min="14844" max="14844" width="6.109375" style="1" hidden="1"/>
    <col min="14845" max="14846" width="10.71875" style="1" hidden="1"/>
    <col min="14847" max="14847" width="7.109375" style="1" hidden="1"/>
    <col min="14848" max="14848" width="15.109375" style="1" hidden="1"/>
    <col min="14849" max="14849" width="6.88671875" style="1" hidden="1"/>
    <col min="14850" max="14850" width="13.88671875" style="1" hidden="1"/>
    <col min="14851" max="14851" width="6.88671875" style="1" hidden="1"/>
    <col min="14852" max="14853" width="3.88671875" style="1" hidden="1"/>
    <col min="14854" max="14854" width="9" style="1" hidden="1"/>
    <col min="14855" max="15099" width="9.109375" style="1" hidden="1"/>
    <col min="15100" max="15100" width="6.109375" style="1" hidden="1"/>
    <col min="15101" max="15102" width="10.71875" style="1" hidden="1"/>
    <col min="15103" max="15103" width="7.109375" style="1" hidden="1"/>
    <col min="15104" max="15104" width="15.109375" style="1" hidden="1"/>
    <col min="15105" max="15105" width="6.88671875" style="1" hidden="1"/>
    <col min="15106" max="15106" width="13.88671875" style="1" hidden="1"/>
    <col min="15107" max="15107" width="6.88671875" style="1" hidden="1"/>
    <col min="15108" max="15109" width="3.88671875" style="1" hidden="1"/>
    <col min="15110" max="15110" width="9" style="1" hidden="1"/>
    <col min="15111" max="15355" width="9.109375" style="1" hidden="1"/>
    <col min="15356" max="15356" width="6.109375" style="1" hidden="1"/>
    <col min="15357" max="15358" width="10.71875" style="1" hidden="1"/>
    <col min="15359" max="15359" width="7.109375" style="1" hidden="1"/>
    <col min="15360" max="15360" width="15.109375" style="1" hidden="1"/>
    <col min="15361" max="15361" width="6.88671875" style="1" hidden="1"/>
    <col min="15362" max="15362" width="13.88671875" style="1" hidden="1"/>
    <col min="15363" max="15363" width="6.88671875" style="1" hidden="1"/>
    <col min="15364" max="15365" width="3.88671875" style="1" hidden="1"/>
    <col min="15366" max="15366" width="9" style="1" hidden="1"/>
    <col min="15367" max="15611" width="9.109375" style="1" hidden="1"/>
    <col min="15612" max="15612" width="6.109375" style="1" hidden="1"/>
    <col min="15613" max="15614" width="10.71875" style="1" hidden="1"/>
    <col min="15615" max="15615" width="7.109375" style="1" hidden="1"/>
    <col min="15616" max="15616" width="15.109375" style="1" hidden="1"/>
    <col min="15617" max="15617" width="6.88671875" style="1" hidden="1"/>
    <col min="15618" max="15618" width="13.88671875" style="1" hidden="1"/>
    <col min="15619" max="15619" width="6.88671875" style="1" hidden="1"/>
    <col min="15620" max="15621" width="3.88671875" style="1" hidden="1"/>
    <col min="15622" max="15622" width="9" style="1" hidden="1"/>
    <col min="15623" max="15867" width="9.109375" style="1" hidden="1"/>
    <col min="15868" max="15868" width="6.109375" style="1" hidden="1"/>
    <col min="15869" max="15870" width="10.71875" style="1" hidden="1"/>
    <col min="15871" max="15871" width="7.109375" style="1" hidden="1"/>
    <col min="15872" max="15872" width="15.109375" style="1" hidden="1"/>
    <col min="15873" max="15873" width="6.88671875" style="1" hidden="1"/>
    <col min="15874" max="15874" width="13.88671875" style="1" hidden="1"/>
    <col min="15875" max="15875" width="6.88671875" style="1" hidden="1"/>
    <col min="15876" max="15877" width="3.88671875" style="1" hidden="1"/>
    <col min="15878" max="15878" width="9" style="1" hidden="1"/>
    <col min="15879" max="16123" width="9.109375" style="1" hidden="1"/>
    <col min="16124" max="16124" width="6.109375" style="1" hidden="1"/>
    <col min="16125" max="16126" width="10.71875" style="1" hidden="1"/>
    <col min="16127" max="16127" width="7.109375" style="1" hidden="1"/>
    <col min="16128" max="16128" width="15.109375" style="1" hidden="1"/>
    <col min="16129" max="16129" width="6.88671875" style="1" hidden="1"/>
    <col min="16130" max="16130" width="13.88671875" style="1" hidden="1"/>
    <col min="16131" max="16131" width="6.88671875" style="1" hidden="1"/>
    <col min="16132" max="16133" width="3.88671875" style="1" hidden="1"/>
    <col min="16134" max="16134" width="9" style="1" hidden="1"/>
    <col min="16135" max="16384" width="9.109375" style="1" hidden="1"/>
  </cols>
  <sheetData>
    <row r="1" spans="1:11" ht="20.25" customHeight="1">
      <c r="A1" s="906"/>
      <c r="B1" s="907"/>
      <c r="C1" s="834" t="s">
        <v>0</v>
      </c>
      <c r="D1" s="834"/>
      <c r="E1" s="834"/>
      <c r="F1" s="834"/>
      <c r="G1" s="834"/>
      <c r="H1" s="834"/>
      <c r="I1" s="834"/>
      <c r="J1" s="835" t="s">
        <v>1</v>
      </c>
      <c r="K1" s="835"/>
    </row>
    <row r="2" spans="1:11" ht="15" customHeight="1">
      <c r="A2" s="908"/>
      <c r="B2" s="909"/>
      <c r="C2" s="836" t="s">
        <v>2</v>
      </c>
      <c r="D2" s="836"/>
      <c r="E2" s="836"/>
      <c r="F2" s="836"/>
      <c r="G2" s="836"/>
      <c r="H2" s="836"/>
      <c r="I2" s="836"/>
      <c r="J2" s="837" t="s">
        <v>3</v>
      </c>
      <c r="K2" s="837"/>
    </row>
    <row r="3" spans="1:11" ht="15" customHeight="1">
      <c r="A3" s="908"/>
      <c r="B3" s="909"/>
      <c r="C3" s="838" t="s">
        <v>4</v>
      </c>
      <c r="D3" s="838"/>
      <c r="E3" s="838"/>
      <c r="F3" s="838"/>
      <c r="G3" s="838"/>
      <c r="H3" s="838"/>
      <c r="I3" s="838"/>
      <c r="J3" s="839" t="s">
        <v>5</v>
      </c>
      <c r="K3" s="839"/>
    </row>
    <row r="4" spans="1:11" ht="15" customHeight="1">
      <c r="A4" s="908"/>
      <c r="B4" s="909"/>
      <c r="C4" s="836" t="s">
        <v>6</v>
      </c>
      <c r="D4" s="836"/>
      <c r="E4" s="836"/>
      <c r="F4" s="836"/>
      <c r="G4" s="836"/>
      <c r="H4" s="836"/>
      <c r="I4" s="836"/>
      <c r="J4" s="840"/>
      <c r="K4" s="841"/>
    </row>
    <row r="5" spans="1:11">
      <c r="A5" s="910"/>
      <c r="B5" s="911"/>
      <c r="C5" s="842"/>
      <c r="D5" s="842"/>
      <c r="E5" s="842"/>
      <c r="F5" s="842"/>
      <c r="G5" s="842"/>
      <c r="H5" s="842"/>
      <c r="I5" s="842"/>
      <c r="J5" s="843" t="s">
        <v>7</v>
      </c>
      <c r="K5" s="843"/>
    </row>
    <row r="6" spans="1:11" ht="34.799999999999997" customHeight="1">
      <c r="A6" s="844" t="s">
        <v>8</v>
      </c>
      <c r="B6" s="844"/>
      <c r="C6" s="844"/>
      <c r="D6" s="845" t="s">
        <v>316</v>
      </c>
      <c r="E6" s="846"/>
      <c r="F6" s="846"/>
      <c r="G6" s="847"/>
      <c r="H6" s="848" t="s">
        <v>333</v>
      </c>
      <c r="I6" s="849"/>
      <c r="J6" s="849"/>
      <c r="K6" s="850"/>
    </row>
    <row r="7" spans="1:11" ht="20.25" customHeight="1">
      <c r="A7" s="851" t="s">
        <v>9</v>
      </c>
      <c r="B7" s="852"/>
      <c r="C7" s="852"/>
      <c r="D7" s="852"/>
      <c r="E7" s="853" t="s">
        <v>524</v>
      </c>
      <c r="F7" s="853"/>
      <c r="G7" s="853"/>
      <c r="H7" s="853"/>
      <c r="I7" s="854" t="s">
        <v>10</v>
      </c>
      <c r="J7" s="854"/>
      <c r="K7" s="855"/>
    </row>
    <row r="8" spans="1:11" ht="20.25" customHeight="1">
      <c r="A8" s="856" t="s">
        <v>11</v>
      </c>
      <c r="B8" s="857"/>
      <c r="C8" s="857"/>
      <c r="D8" s="857"/>
      <c r="E8" s="858" t="s">
        <v>12</v>
      </c>
      <c r="F8" s="858"/>
      <c r="G8" s="858"/>
      <c r="H8" s="858"/>
      <c r="I8" s="858"/>
      <c r="J8" s="858"/>
      <c r="K8" s="859"/>
    </row>
    <row r="9" spans="1:11" ht="20.25" customHeight="1">
      <c r="A9" s="851" t="s">
        <v>13</v>
      </c>
      <c r="B9" s="852"/>
      <c r="C9" s="852"/>
      <c r="D9" s="852"/>
      <c r="E9" s="860"/>
      <c r="F9" s="860"/>
      <c r="G9" s="860"/>
      <c r="H9" s="860"/>
      <c r="I9" s="860"/>
      <c r="J9" s="860"/>
      <c r="K9" s="861"/>
    </row>
    <row r="10" spans="1:11" ht="20.25" customHeight="1">
      <c r="A10" s="856" t="s">
        <v>14</v>
      </c>
      <c r="B10" s="857"/>
      <c r="C10" s="857"/>
      <c r="D10" s="857"/>
      <c r="E10" s="862"/>
      <c r="F10" s="862"/>
      <c r="G10" s="862"/>
      <c r="H10" s="862"/>
      <c r="I10" s="862"/>
      <c r="J10" s="862"/>
      <c r="K10" s="863"/>
    </row>
    <row r="11" spans="1:11" ht="15" customHeight="1">
      <c r="A11" s="10" t="s">
        <v>15</v>
      </c>
      <c r="B11" s="864" t="s">
        <v>16</v>
      </c>
      <c r="C11" s="864"/>
      <c r="D11" s="864"/>
      <c r="E11" s="864" t="s">
        <v>17</v>
      </c>
      <c r="F11" s="864"/>
      <c r="G11" s="864"/>
      <c r="H11" s="868" t="s">
        <v>18</v>
      </c>
      <c r="I11" s="864" t="s">
        <v>19</v>
      </c>
      <c r="J11" s="864"/>
      <c r="K11" s="10" t="s">
        <v>20</v>
      </c>
    </row>
    <row r="12" spans="1:11" ht="18" customHeight="1">
      <c r="A12" s="12" t="s">
        <v>21</v>
      </c>
      <c r="B12" s="912" t="s">
        <v>22</v>
      </c>
      <c r="C12" s="913"/>
      <c r="D12" s="914"/>
      <c r="E12" s="865" t="s">
        <v>23</v>
      </c>
      <c r="F12" s="865"/>
      <c r="G12" s="865"/>
      <c r="H12" s="868"/>
      <c r="I12" s="865" t="s">
        <v>24</v>
      </c>
      <c r="J12" s="865"/>
      <c r="K12" s="12" t="s">
        <v>25</v>
      </c>
    </row>
    <row r="13" spans="1:11" ht="24.6">
      <c r="A13" s="13" t="s">
        <v>26</v>
      </c>
      <c r="B13" s="915"/>
      <c r="C13" s="916"/>
      <c r="D13" s="917"/>
      <c r="E13" s="866"/>
      <c r="F13" s="866"/>
      <c r="G13" s="866"/>
      <c r="H13" s="868"/>
      <c r="I13" s="867" t="s">
        <v>27</v>
      </c>
      <c r="J13" s="867"/>
      <c r="K13" s="15" t="s">
        <v>28</v>
      </c>
    </row>
    <row r="14" spans="1:11" ht="18" customHeight="1">
      <c r="A14" s="11">
        <v>1</v>
      </c>
      <c r="B14" s="869" t="s">
        <v>29</v>
      </c>
      <c r="C14" s="870"/>
      <c r="D14" s="871"/>
      <c r="E14" s="872" t="s">
        <v>30</v>
      </c>
      <c r="F14" s="873"/>
      <c r="G14" s="874"/>
      <c r="H14" s="11"/>
      <c r="I14" s="872"/>
      <c r="J14" s="874"/>
      <c r="K14" s="11"/>
    </row>
    <row r="15" spans="1:11" ht="18" customHeight="1">
      <c r="A15" s="14">
        <v>2</v>
      </c>
      <c r="B15" s="875" t="s">
        <v>33</v>
      </c>
      <c r="C15" s="876"/>
      <c r="D15" s="877"/>
      <c r="E15" s="878" t="s">
        <v>349</v>
      </c>
      <c r="F15" s="879"/>
      <c r="G15" s="880"/>
      <c r="H15" s="14"/>
      <c r="I15" s="881"/>
      <c r="J15" s="882"/>
      <c r="K15" s="14"/>
    </row>
    <row r="16" spans="1:11" ht="18" customHeight="1">
      <c r="A16" s="11">
        <v>3</v>
      </c>
      <c r="B16" s="875" t="s">
        <v>32</v>
      </c>
      <c r="C16" s="876"/>
      <c r="D16" s="877"/>
      <c r="E16" s="878" t="s">
        <v>416</v>
      </c>
      <c r="F16" s="879"/>
      <c r="G16" s="880"/>
      <c r="H16" s="14"/>
      <c r="I16" s="881"/>
      <c r="J16" s="882"/>
      <c r="K16" s="14"/>
    </row>
    <row r="17" spans="1:22" ht="18" customHeight="1">
      <c r="A17" s="11">
        <v>4</v>
      </c>
      <c r="B17" s="875" t="s">
        <v>31</v>
      </c>
      <c r="C17" s="876"/>
      <c r="D17" s="877"/>
      <c r="E17" s="878" t="s">
        <v>415</v>
      </c>
      <c r="F17" s="879"/>
      <c r="G17" s="880"/>
      <c r="H17" s="14"/>
      <c r="I17" s="881"/>
      <c r="J17" s="882"/>
      <c r="K17" s="14"/>
    </row>
    <row r="18" spans="1:22" ht="19.5" customHeight="1">
      <c r="A18" s="11">
        <v>3</v>
      </c>
      <c r="B18" s="875" t="s">
        <v>304</v>
      </c>
      <c r="C18" s="876"/>
      <c r="D18" s="877"/>
      <c r="E18" s="872" t="s">
        <v>30</v>
      </c>
      <c r="F18" s="873"/>
      <c r="G18" s="874"/>
      <c r="H18" s="14"/>
      <c r="I18" s="881"/>
      <c r="J18" s="882"/>
      <c r="K18" s="14"/>
      <c r="M18" s="885" t="s">
        <v>34</v>
      </c>
      <c r="N18" s="885"/>
      <c r="O18" s="885"/>
      <c r="P18" s="885"/>
      <c r="Q18" s="885"/>
      <c r="R18" s="885"/>
    </row>
    <row r="19" spans="1:22" ht="18" customHeight="1">
      <c r="A19" s="14"/>
      <c r="B19" s="875"/>
      <c r="C19" s="876"/>
      <c r="D19" s="877"/>
      <c r="E19" s="872"/>
      <c r="F19" s="873"/>
      <c r="G19" s="874"/>
      <c r="H19" s="14"/>
      <c r="I19" s="881"/>
      <c r="J19" s="882"/>
      <c r="K19" s="14"/>
      <c r="M19" s="885"/>
      <c r="N19" s="885"/>
      <c r="O19" s="885"/>
      <c r="P19" s="885"/>
      <c r="Q19" s="885"/>
      <c r="R19" s="885"/>
    </row>
    <row r="20" spans="1:22" ht="18" customHeight="1">
      <c r="A20" s="11"/>
      <c r="B20" s="875"/>
      <c r="C20" s="876"/>
      <c r="D20" s="877"/>
      <c r="E20" s="872"/>
      <c r="F20" s="873"/>
      <c r="G20" s="874"/>
      <c r="H20" s="14"/>
      <c r="I20" s="881"/>
      <c r="J20" s="882"/>
      <c r="K20" s="14"/>
      <c r="M20" s="885"/>
      <c r="N20" s="885"/>
      <c r="O20" s="885"/>
      <c r="P20" s="885"/>
      <c r="Q20" s="885"/>
      <c r="R20" s="885"/>
    </row>
    <row r="21" spans="1:22" ht="18" customHeight="1">
      <c r="A21" s="11"/>
      <c r="B21" s="875"/>
      <c r="C21" s="876"/>
      <c r="D21" s="877"/>
      <c r="E21" s="872"/>
      <c r="F21" s="873"/>
      <c r="G21" s="874"/>
      <c r="H21" s="14"/>
      <c r="I21" s="881"/>
      <c r="J21" s="882"/>
      <c r="K21" s="14"/>
    </row>
    <row r="22" spans="1:22" ht="18" customHeight="1">
      <c r="A22" s="14"/>
      <c r="B22" s="875"/>
      <c r="C22" s="876"/>
      <c r="D22" s="877"/>
      <c r="E22" s="872"/>
      <c r="F22" s="873"/>
      <c r="G22" s="874"/>
      <c r="H22" s="14"/>
      <c r="I22" s="881"/>
      <c r="J22" s="882"/>
      <c r="K22" s="14"/>
    </row>
    <row r="23" spans="1:22" ht="21.75" customHeight="1">
      <c r="A23" s="14"/>
      <c r="B23" s="875"/>
      <c r="C23" s="876"/>
      <c r="D23" s="877"/>
      <c r="E23" s="872"/>
      <c r="F23" s="873"/>
      <c r="G23" s="874"/>
      <c r="H23" s="14"/>
      <c r="I23" s="881"/>
      <c r="J23" s="882"/>
      <c r="K23" s="14"/>
      <c r="M23" s="883" t="s">
        <v>35</v>
      </c>
      <c r="N23" s="883"/>
      <c r="O23" s="883"/>
      <c r="P23" s="884" t="s">
        <v>36</v>
      </c>
      <c r="Q23" s="884"/>
      <c r="R23" s="884"/>
      <c r="S23" s="918" t="s">
        <v>37</v>
      </c>
      <c r="T23" s="918"/>
      <c r="U23" s="918"/>
      <c r="V23" s="918"/>
    </row>
    <row r="24" spans="1:22" ht="19.5" customHeight="1">
      <c r="A24" s="14"/>
      <c r="B24" s="875"/>
      <c r="C24" s="876"/>
      <c r="D24" s="877"/>
      <c r="E24" s="872"/>
      <c r="F24" s="873"/>
      <c r="G24" s="874"/>
      <c r="H24" s="14"/>
      <c r="I24" s="881"/>
      <c r="J24" s="882"/>
      <c r="K24" s="14"/>
      <c r="M24" s="883" t="s">
        <v>38</v>
      </c>
      <c r="N24" s="883"/>
      <c r="O24" s="883"/>
      <c r="P24" s="884" t="s">
        <v>39</v>
      </c>
      <c r="Q24" s="884"/>
      <c r="R24" s="884"/>
      <c r="S24" s="918"/>
      <c r="T24" s="918"/>
      <c r="U24" s="918"/>
      <c r="V24" s="918"/>
    </row>
    <row r="25" spans="1:22" ht="18" customHeight="1">
      <c r="A25" s="14"/>
      <c r="B25" s="875"/>
      <c r="C25" s="876"/>
      <c r="D25" s="877"/>
      <c r="E25" s="872"/>
      <c r="F25" s="873"/>
      <c r="G25" s="874"/>
      <c r="H25" s="14"/>
      <c r="I25" s="881"/>
      <c r="J25" s="882"/>
      <c r="K25" s="14"/>
      <c r="M25" s="883" t="s">
        <v>40</v>
      </c>
      <c r="N25" s="883"/>
      <c r="O25" s="883"/>
      <c r="P25" s="884" t="s">
        <v>41</v>
      </c>
      <c r="Q25" s="884"/>
      <c r="R25" s="884"/>
      <c r="S25" s="918"/>
      <c r="T25" s="918"/>
      <c r="U25" s="918"/>
      <c r="V25" s="918"/>
    </row>
    <row r="26" spans="1:22" ht="18" customHeight="1">
      <c r="A26" s="14"/>
      <c r="B26" s="875"/>
      <c r="C26" s="876"/>
      <c r="D26" s="877"/>
      <c r="E26" s="872"/>
      <c r="F26" s="873"/>
      <c r="G26" s="874"/>
      <c r="H26" s="14"/>
      <c r="I26" s="881"/>
      <c r="J26" s="882"/>
      <c r="K26" s="14"/>
    </row>
    <row r="27" spans="1:22" ht="18" customHeight="1">
      <c r="A27" s="14"/>
      <c r="B27" s="875"/>
      <c r="C27" s="876"/>
      <c r="D27" s="877"/>
      <c r="E27" s="872"/>
      <c r="F27" s="873"/>
      <c r="G27" s="874"/>
      <c r="H27" s="14"/>
      <c r="I27" s="881"/>
      <c r="J27" s="882"/>
      <c r="K27" s="14"/>
    </row>
    <row r="28" spans="1:22" ht="18" customHeight="1">
      <c r="A28" s="14"/>
      <c r="B28" s="875"/>
      <c r="C28" s="876"/>
      <c r="D28" s="877"/>
      <c r="E28" s="872"/>
      <c r="F28" s="873"/>
      <c r="G28" s="874"/>
      <c r="H28" s="14"/>
      <c r="I28" s="881"/>
      <c r="J28" s="882"/>
      <c r="K28" s="14"/>
    </row>
    <row r="29" spans="1:22" ht="18" customHeight="1">
      <c r="A29" s="14"/>
      <c r="B29" s="875"/>
      <c r="C29" s="876"/>
      <c r="D29" s="877"/>
      <c r="E29" s="872"/>
      <c r="F29" s="873"/>
      <c r="G29" s="874"/>
      <c r="H29" s="14"/>
      <c r="I29" s="881"/>
      <c r="J29" s="882"/>
      <c r="K29" s="14"/>
    </row>
    <row r="30" spans="1:22" ht="18" customHeight="1">
      <c r="A30" s="14"/>
      <c r="B30" s="875"/>
      <c r="C30" s="876"/>
      <c r="D30" s="877"/>
      <c r="E30" s="872"/>
      <c r="F30" s="873"/>
      <c r="G30" s="874"/>
      <c r="H30" s="14"/>
      <c r="I30" s="881"/>
      <c r="J30" s="882"/>
      <c r="K30" s="14"/>
    </row>
    <row r="31" spans="1:22" ht="18" customHeight="1">
      <c r="A31" s="14"/>
      <c r="B31" s="875"/>
      <c r="C31" s="876"/>
      <c r="D31" s="877"/>
      <c r="E31" s="872"/>
      <c r="F31" s="873"/>
      <c r="G31" s="874"/>
      <c r="H31" s="14"/>
      <c r="I31" s="881"/>
      <c r="J31" s="882"/>
      <c r="K31" s="14"/>
    </row>
    <row r="32" spans="1:22" ht="18" customHeight="1">
      <c r="A32" s="14"/>
      <c r="B32" s="895"/>
      <c r="C32" s="895"/>
      <c r="D32" s="895"/>
      <c r="E32" s="896" t="s">
        <v>42</v>
      </c>
      <c r="F32" s="896"/>
      <c r="G32" s="896"/>
      <c r="H32" s="14"/>
      <c r="I32" s="896"/>
      <c r="J32" s="896"/>
      <c r="K32" s="16">
        <f>SUM(K14:K31)</f>
        <v>0</v>
      </c>
    </row>
    <row r="33" spans="1:11" ht="19.5" customHeight="1">
      <c r="A33" s="897" t="s">
        <v>43</v>
      </c>
      <c r="B33" s="898"/>
      <c r="C33" s="898"/>
      <c r="D33" s="898"/>
      <c r="E33" s="898"/>
      <c r="F33" s="898"/>
      <c r="G33" s="898"/>
      <c r="H33" s="898"/>
      <c r="I33" s="898"/>
      <c r="J33" s="898"/>
      <c r="K33" s="899"/>
    </row>
    <row r="34" spans="1:11" ht="15" customHeight="1">
      <c r="A34" s="900" t="s">
        <v>44</v>
      </c>
      <c r="B34" s="901"/>
      <c r="C34" s="901"/>
      <c r="D34" s="901"/>
      <c r="E34" s="901"/>
      <c r="F34" s="901"/>
      <c r="G34" s="901"/>
      <c r="H34" s="901"/>
      <c r="I34" s="901"/>
      <c r="J34" s="901"/>
      <c r="K34" s="902"/>
    </row>
    <row r="35" spans="1:11" ht="15" customHeight="1">
      <c r="A35" s="903" t="s">
        <v>45</v>
      </c>
      <c r="B35" s="904"/>
      <c r="C35" s="904"/>
      <c r="D35" s="904"/>
      <c r="E35" s="904"/>
      <c r="F35" s="904"/>
      <c r="G35" s="904"/>
      <c r="H35" s="904"/>
      <c r="I35" s="904"/>
      <c r="J35" s="904"/>
      <c r="K35" s="905"/>
    </row>
    <row r="36" spans="1:11" ht="15" customHeight="1">
      <c r="A36" s="903" t="s">
        <v>46</v>
      </c>
      <c r="B36" s="904"/>
      <c r="C36" s="904"/>
      <c r="D36" s="904"/>
      <c r="E36" s="904"/>
      <c r="F36" s="904"/>
      <c r="G36" s="904"/>
      <c r="H36" s="904"/>
      <c r="I36" s="904"/>
      <c r="J36" s="904"/>
      <c r="K36" s="905"/>
    </row>
    <row r="37" spans="1:11" ht="15" customHeight="1">
      <c r="A37" s="903" t="s">
        <v>47</v>
      </c>
      <c r="B37" s="904"/>
      <c r="C37" s="904"/>
      <c r="D37" s="904"/>
      <c r="E37" s="904"/>
      <c r="F37" s="904"/>
      <c r="G37" s="904"/>
      <c r="H37" s="904"/>
      <c r="I37" s="904"/>
      <c r="J37" s="904"/>
      <c r="K37" s="905"/>
    </row>
    <row r="38" spans="1:11">
      <c r="A38" s="919" t="s">
        <v>48</v>
      </c>
      <c r="B38" s="920"/>
      <c r="C38" s="920"/>
      <c r="D38" s="920"/>
      <c r="E38" s="920"/>
      <c r="F38" s="920"/>
      <c r="G38" s="920"/>
      <c r="H38" s="920"/>
      <c r="I38" s="920"/>
      <c r="J38" s="920"/>
      <c r="K38" s="921"/>
    </row>
    <row r="39" spans="1:11" ht="30" customHeight="1">
      <c r="A39" s="889" t="s">
        <v>49</v>
      </c>
      <c r="B39" s="890"/>
      <c r="C39" s="890"/>
      <c r="D39" s="890"/>
      <c r="E39" s="890"/>
      <c r="F39" s="890"/>
      <c r="G39" s="890"/>
      <c r="H39" s="890"/>
      <c r="I39" s="890"/>
      <c r="J39" s="890"/>
      <c r="K39" s="891"/>
    </row>
    <row r="40" spans="1:11" ht="24" customHeight="1">
      <c r="A40" s="900" t="s">
        <v>50</v>
      </c>
      <c r="B40" s="901"/>
      <c r="C40" s="901"/>
      <c r="D40" s="901"/>
      <c r="E40" s="901"/>
      <c r="F40" s="901"/>
      <c r="G40" s="901"/>
      <c r="H40" s="901"/>
      <c r="I40" s="901"/>
      <c r="J40" s="901"/>
      <c r="K40" s="902"/>
    </row>
    <row r="41" spans="1:11" ht="15" customHeight="1">
      <c r="A41" s="886" t="s">
        <v>51</v>
      </c>
      <c r="B41" s="887"/>
      <c r="C41" s="887"/>
      <c r="D41" s="887"/>
      <c r="E41" s="887"/>
      <c r="F41" s="887" t="s">
        <v>52</v>
      </c>
      <c r="G41" s="887"/>
      <c r="H41" s="887"/>
      <c r="I41" s="887"/>
      <c r="J41" s="887"/>
      <c r="K41" s="888"/>
    </row>
    <row r="42" spans="1:11" ht="15" customHeight="1">
      <c r="A42" s="889" t="s">
        <v>53</v>
      </c>
      <c r="B42" s="890"/>
      <c r="C42" s="890"/>
      <c r="D42" s="890"/>
      <c r="E42" s="890"/>
      <c r="F42" s="890"/>
      <c r="G42" s="890"/>
      <c r="H42" s="890"/>
      <c r="I42" s="890"/>
      <c r="J42" s="890"/>
      <c r="K42" s="891"/>
    </row>
    <row r="43" spans="1:11">
      <c r="A43" s="892"/>
      <c r="B43" s="893"/>
      <c r="C43" s="893"/>
      <c r="D43" s="893"/>
      <c r="E43" s="893"/>
      <c r="F43" s="893"/>
      <c r="G43" s="893"/>
      <c r="H43" s="893"/>
      <c r="I43" s="893"/>
      <c r="J43" s="893"/>
      <c r="K43" s="894"/>
    </row>
    <row r="44" spans="1:11"/>
    <row r="45" spans="1:11"/>
  </sheetData>
  <mergeCells count="109">
    <mergeCell ref="A1:B5"/>
    <mergeCell ref="B12:D13"/>
    <mergeCell ref="S23:V25"/>
    <mergeCell ref="A36:K36"/>
    <mergeCell ref="A37:K37"/>
    <mergeCell ref="A38:K38"/>
    <mergeCell ref="A39:K39"/>
    <mergeCell ref="A40:K40"/>
    <mergeCell ref="B28:D28"/>
    <mergeCell ref="E28:G28"/>
    <mergeCell ref="I28:J28"/>
    <mergeCell ref="B29:D29"/>
    <mergeCell ref="E29:G29"/>
    <mergeCell ref="I29:J29"/>
    <mergeCell ref="B30:D30"/>
    <mergeCell ref="E30:G30"/>
    <mergeCell ref="I30:J30"/>
    <mergeCell ref="B25:D25"/>
    <mergeCell ref="E25:G25"/>
    <mergeCell ref="I25:J25"/>
    <mergeCell ref="M25:O25"/>
    <mergeCell ref="P25:R25"/>
    <mergeCell ref="B26:D26"/>
    <mergeCell ref="E26:G26"/>
    <mergeCell ref="A41:E41"/>
    <mergeCell ref="F41:K41"/>
    <mergeCell ref="A42:K42"/>
    <mergeCell ref="A43:K43"/>
    <mergeCell ref="B31:D31"/>
    <mergeCell ref="E31:G31"/>
    <mergeCell ref="I31:J31"/>
    <mergeCell ref="B32:D32"/>
    <mergeCell ref="E32:G32"/>
    <mergeCell ref="I32:J32"/>
    <mergeCell ref="A33:K33"/>
    <mergeCell ref="A34:K34"/>
    <mergeCell ref="A35:K35"/>
    <mergeCell ref="I26:J26"/>
    <mergeCell ref="B27:D27"/>
    <mergeCell ref="E27:G27"/>
    <mergeCell ref="I27:J27"/>
    <mergeCell ref="B22:D22"/>
    <mergeCell ref="E22:G22"/>
    <mergeCell ref="I22:J22"/>
    <mergeCell ref="B23:D23"/>
    <mergeCell ref="E23:G23"/>
    <mergeCell ref="I23:J23"/>
    <mergeCell ref="M23:O23"/>
    <mergeCell ref="P23:R23"/>
    <mergeCell ref="B24:D24"/>
    <mergeCell ref="E24:G24"/>
    <mergeCell ref="I24:J24"/>
    <mergeCell ref="M24:O24"/>
    <mergeCell ref="P24:R24"/>
    <mergeCell ref="B20:D20"/>
    <mergeCell ref="E20:G20"/>
    <mergeCell ref="I20:J20"/>
    <mergeCell ref="B21:D21"/>
    <mergeCell ref="E21:G21"/>
    <mergeCell ref="I21:J21"/>
    <mergeCell ref="M18:R20"/>
    <mergeCell ref="B17:D17"/>
    <mergeCell ref="E17:G17"/>
    <mergeCell ref="I17:J17"/>
    <mergeCell ref="B18:D18"/>
    <mergeCell ref="E18:G18"/>
    <mergeCell ref="I18:J18"/>
    <mergeCell ref="B19:D19"/>
    <mergeCell ref="E19:G19"/>
    <mergeCell ref="I19:J19"/>
    <mergeCell ref="B14:D14"/>
    <mergeCell ref="E14:G14"/>
    <mergeCell ref="I14:J14"/>
    <mergeCell ref="B15:D15"/>
    <mergeCell ref="E15:G15"/>
    <mergeCell ref="I15:J15"/>
    <mergeCell ref="B16:D16"/>
    <mergeCell ref="E16:G16"/>
    <mergeCell ref="I16:J16"/>
    <mergeCell ref="A10:D10"/>
    <mergeCell ref="E10:K10"/>
    <mergeCell ref="B11:D11"/>
    <mergeCell ref="E11:G11"/>
    <mergeCell ref="I11:J11"/>
    <mergeCell ref="E12:G12"/>
    <mergeCell ref="I12:J12"/>
    <mergeCell ref="E13:G13"/>
    <mergeCell ref="I13:J13"/>
    <mergeCell ref="H11:H13"/>
    <mergeCell ref="A6:C6"/>
    <mergeCell ref="D6:G6"/>
    <mergeCell ref="H6:K6"/>
    <mergeCell ref="A7:D7"/>
    <mergeCell ref="E7:H7"/>
    <mergeCell ref="I7:K7"/>
    <mergeCell ref="A8:D8"/>
    <mergeCell ref="E8:K8"/>
    <mergeCell ref="A9:D9"/>
    <mergeCell ref="E9:K9"/>
    <mergeCell ref="C1:I1"/>
    <mergeCell ref="J1:K1"/>
    <mergeCell ref="C2:I2"/>
    <mergeCell ref="J2:K2"/>
    <mergeCell ref="C3:I3"/>
    <mergeCell ref="J3:K3"/>
    <mergeCell ref="C4:I4"/>
    <mergeCell ref="J4:K4"/>
    <mergeCell ref="C5:I5"/>
    <mergeCell ref="J5:K5"/>
  </mergeCells>
  <pageMargins left="0.70866141732283472" right="0.27559055118110237" top="0.39370078740157483" bottom="0.23622047244094491" header="0.19685039370078741" footer="3.937007874015748E-2"/>
  <pageSetup paperSize="9" orientation="portrait" r:id="rId1"/>
  <headerFooter alignWithMargins="0">
    <oddFooter>&amp;R&amp;8Take effect from /Áp dụng từ ngày 07.04.03</oddFooter>
  </headerFooter>
  <drawing r:id="rId2"/>
  <legacyDrawing r:id="rId3"/>
  <oleObjects>
    <mc:AlternateContent xmlns:mc="http://schemas.openxmlformats.org/markup-compatibility/2006">
      <mc:Choice Requires="x14">
        <oleObject progId="PBrush" shapeId="56321" r:id="rId4">
          <objectPr defaultSize="0" altText="" r:id="rId5">
            <anchor moveWithCells="1" sizeWithCells="1">
              <from>
                <xdr:col>0</xdr:col>
                <xdr:colOff>22860</xdr:colOff>
                <xdr:row>0</xdr:row>
                <xdr:rowOff>15240</xdr:rowOff>
              </from>
              <to>
                <xdr:col>1</xdr:col>
                <xdr:colOff>746760</xdr:colOff>
                <xdr:row>4</xdr:row>
                <xdr:rowOff>125730</xdr:rowOff>
              </to>
            </anchor>
          </objectPr>
        </oleObject>
      </mc:Choice>
      <mc:Fallback>
        <oleObject progId="PBrush" shapeId="5632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8">
    <tabColor theme="7" tint="0.39997558519241921"/>
  </sheetPr>
  <dimension ref="A1:AA47"/>
  <sheetViews>
    <sheetView showGridLines="0" zoomScaleNormal="100" zoomScaleSheetLayoutView="40" workbookViewId="0">
      <selection activeCell="Y12" sqref="Y12"/>
    </sheetView>
  </sheetViews>
  <sheetFormatPr defaultColWidth="0" defaultRowHeight="12.3" zeroHeight="1"/>
  <cols>
    <col min="1" max="1" width="4" style="432" customWidth="1"/>
    <col min="2" max="2" width="10" style="432" customWidth="1"/>
    <col min="3" max="3" width="4.27734375" style="432" customWidth="1"/>
    <col min="4" max="4" width="8.38671875" style="432" customWidth="1"/>
    <col min="5" max="5" width="3.38671875" style="432" customWidth="1"/>
    <col min="6" max="6" width="3.27734375" style="432" customWidth="1"/>
    <col min="7" max="7" width="3.71875" style="432" customWidth="1"/>
    <col min="8" max="8" width="2.27734375" style="432" customWidth="1"/>
    <col min="9" max="9" width="1.109375" style="432" hidden="1" customWidth="1"/>
    <col min="10" max="11" width="2.109375" style="432" customWidth="1"/>
    <col min="12" max="12" width="7.609375" style="432" customWidth="1"/>
    <col min="13" max="13" width="1.27734375" style="432" customWidth="1"/>
    <col min="14" max="14" width="6.109375" style="432" customWidth="1"/>
    <col min="15" max="15" width="6.27734375" style="432" customWidth="1"/>
    <col min="16" max="16" width="1" style="432" customWidth="1"/>
    <col min="17" max="17" width="4" style="432" customWidth="1"/>
    <col min="18" max="18" width="4.71875" style="432" hidden="1" customWidth="1"/>
    <col min="19" max="19" width="3" style="432" customWidth="1"/>
    <col min="20" max="20" width="4.88671875" style="432" customWidth="1"/>
    <col min="21" max="21" width="2.38671875" style="432" customWidth="1"/>
    <col min="22" max="22" width="7.88671875" style="432" customWidth="1"/>
    <col min="23" max="23" width="7.38671875" style="432" customWidth="1"/>
    <col min="24" max="25" width="9.109375" style="432" customWidth="1"/>
    <col min="26" max="26" width="9.109375" style="432" hidden="1" customWidth="1"/>
    <col min="27" max="27" width="0" style="432" hidden="1" customWidth="1"/>
    <col min="28" max="16384" width="9.109375" style="432" hidden="1"/>
  </cols>
  <sheetData>
    <row r="1" spans="1:27" ht="28.5" customHeight="1">
      <c r="A1" s="1049"/>
      <c r="B1" s="1050"/>
      <c r="C1" s="1055" t="s">
        <v>172</v>
      </c>
      <c r="D1" s="1056"/>
      <c r="E1" s="1056"/>
      <c r="F1" s="1056"/>
      <c r="G1" s="1056"/>
      <c r="H1" s="1056"/>
      <c r="I1" s="1056"/>
      <c r="J1" s="1056"/>
      <c r="K1" s="1056"/>
      <c r="L1" s="1056"/>
      <c r="M1" s="1056"/>
      <c r="N1" s="1056"/>
      <c r="O1" s="1056"/>
      <c r="P1" s="1056"/>
      <c r="Q1" s="1056"/>
      <c r="R1" s="1057"/>
      <c r="S1" s="1058" t="s">
        <v>1021</v>
      </c>
      <c r="T1" s="1059"/>
      <c r="U1" s="1059"/>
      <c r="V1" s="1059"/>
      <c r="W1" s="1060"/>
    </row>
    <row r="2" spans="1:27" ht="17.25" customHeight="1">
      <c r="A2" s="1051"/>
      <c r="B2" s="1052"/>
      <c r="C2" s="1061" t="s">
        <v>173</v>
      </c>
      <c r="D2" s="1062"/>
      <c r="E2" s="1062"/>
      <c r="F2" s="1062"/>
      <c r="G2" s="1062"/>
      <c r="H2" s="1062"/>
      <c r="I2" s="1062"/>
      <c r="J2" s="1062"/>
      <c r="K2" s="1062"/>
      <c r="L2" s="1062"/>
      <c r="M2" s="1062"/>
      <c r="N2" s="1062"/>
      <c r="O2" s="1062"/>
      <c r="P2" s="1062"/>
      <c r="Q2" s="1062"/>
      <c r="R2" s="1063"/>
      <c r="S2" s="1064" t="s">
        <v>1022</v>
      </c>
      <c r="T2" s="1065"/>
      <c r="U2" s="1065"/>
      <c r="V2" s="1065"/>
      <c r="W2" s="1066"/>
    </row>
    <row r="3" spans="1:27" ht="14.4" customHeight="1">
      <c r="A3" s="1051"/>
      <c r="B3" s="1052"/>
      <c r="C3" s="1061" t="s">
        <v>174</v>
      </c>
      <c r="D3" s="1062"/>
      <c r="E3" s="1062"/>
      <c r="F3" s="1062"/>
      <c r="G3" s="1062"/>
      <c r="H3" s="1062"/>
      <c r="I3" s="1062"/>
      <c r="J3" s="1062"/>
      <c r="K3" s="1062"/>
      <c r="L3" s="1062"/>
      <c r="M3" s="1062"/>
      <c r="N3" s="1062"/>
      <c r="O3" s="1062"/>
      <c r="P3" s="1062"/>
      <c r="Q3" s="1062"/>
      <c r="R3" s="1063"/>
      <c r="S3" s="1067" t="s">
        <v>1023</v>
      </c>
      <c r="T3" s="1068"/>
      <c r="U3" s="1068"/>
      <c r="V3" s="1068"/>
      <c r="W3" s="1069"/>
    </row>
    <row r="4" spans="1:27" ht="15" customHeight="1">
      <c r="A4" s="1051"/>
      <c r="B4" s="1052"/>
      <c r="C4" s="1061" t="s">
        <v>175</v>
      </c>
      <c r="D4" s="1062"/>
      <c r="E4" s="1062"/>
      <c r="F4" s="1062"/>
      <c r="G4" s="1062"/>
      <c r="H4" s="1062"/>
      <c r="I4" s="1062"/>
      <c r="J4" s="1062"/>
      <c r="K4" s="1062"/>
      <c r="L4" s="1062"/>
      <c r="M4" s="1062"/>
      <c r="N4" s="1062"/>
      <c r="O4" s="1062"/>
      <c r="P4" s="1062"/>
      <c r="Q4" s="1062"/>
      <c r="R4" s="426"/>
      <c r="S4" s="1067" t="s">
        <v>1024</v>
      </c>
      <c r="T4" s="1068"/>
      <c r="U4" s="1068"/>
      <c r="V4" s="1068"/>
      <c r="W4" s="1069"/>
    </row>
    <row r="5" spans="1:27" ht="14.4" customHeight="1">
      <c r="A5" s="1053"/>
      <c r="B5" s="1054"/>
      <c r="C5" s="1070"/>
      <c r="D5" s="1071"/>
      <c r="E5" s="1071"/>
      <c r="F5" s="1071"/>
      <c r="G5" s="1071"/>
      <c r="H5" s="1071"/>
      <c r="I5" s="1071"/>
      <c r="J5" s="1071"/>
      <c r="K5" s="1071"/>
      <c r="L5" s="1071"/>
      <c r="M5" s="1071"/>
      <c r="N5" s="1071"/>
      <c r="O5" s="1071"/>
      <c r="P5" s="1071"/>
      <c r="Q5" s="1071"/>
      <c r="R5" s="1072"/>
      <c r="S5" s="1038" t="s">
        <v>1025</v>
      </c>
      <c r="T5" s="1039"/>
      <c r="U5" s="1039"/>
      <c r="V5" s="1039"/>
      <c r="W5" s="1040"/>
    </row>
    <row r="6" spans="1:27" s="431" customFormat="1" ht="16.5" customHeight="1">
      <c r="A6" s="1041" t="s">
        <v>1026</v>
      </c>
      <c r="B6" s="1022"/>
      <c r="C6" s="1022"/>
      <c r="D6" s="1022"/>
      <c r="E6" s="1022"/>
      <c r="F6" s="1022"/>
      <c r="G6" s="1022"/>
      <c r="H6" s="1022"/>
      <c r="I6" s="1022"/>
      <c r="J6" s="1022"/>
      <c r="K6" s="1023"/>
      <c r="L6" s="1041" t="s">
        <v>1027</v>
      </c>
      <c r="M6" s="1022"/>
      <c r="N6" s="1022"/>
      <c r="O6" s="1022"/>
      <c r="P6" s="1022"/>
      <c r="Q6" s="1022"/>
      <c r="R6" s="1022"/>
      <c r="S6" s="1022"/>
      <c r="T6" s="1022"/>
      <c r="U6" s="1022"/>
      <c r="V6" s="1022"/>
      <c r="W6" s="1023"/>
    </row>
    <row r="7" spans="1:27" s="431" customFormat="1" ht="14.1" customHeight="1">
      <c r="A7" s="1027" t="s">
        <v>334</v>
      </c>
      <c r="B7" s="1042"/>
      <c r="C7" s="1042"/>
      <c r="D7" s="1042"/>
      <c r="E7" s="1042"/>
      <c r="F7" s="1042"/>
      <c r="G7" s="1042"/>
      <c r="H7" s="1042"/>
      <c r="I7" s="1042"/>
      <c r="J7" s="1042"/>
      <c r="K7" s="1043"/>
      <c r="L7" s="1044" t="s">
        <v>312</v>
      </c>
      <c r="M7" s="997"/>
      <c r="N7" s="997"/>
      <c r="O7" s="997"/>
      <c r="P7" s="1045"/>
      <c r="Q7" s="1045"/>
      <c r="R7" s="1045"/>
      <c r="S7" s="1045"/>
      <c r="T7" s="997"/>
      <c r="U7" s="997"/>
      <c r="V7" s="997"/>
      <c r="W7" s="998"/>
    </row>
    <row r="8" spans="1:27" s="431" customFormat="1" ht="19.5" customHeight="1">
      <c r="A8" s="1046" t="s">
        <v>1028</v>
      </c>
      <c r="B8" s="1047"/>
      <c r="C8" s="1047"/>
      <c r="D8" s="1047"/>
      <c r="E8" s="1047"/>
      <c r="F8" s="1047"/>
      <c r="G8" s="1047"/>
      <c r="H8" s="1047"/>
      <c r="I8" s="1047"/>
      <c r="J8" s="1047"/>
      <c r="K8" s="1048"/>
      <c r="L8" s="1001"/>
      <c r="M8" s="1002"/>
      <c r="N8" s="1002"/>
      <c r="O8" s="1002"/>
      <c r="P8" s="1002"/>
      <c r="Q8" s="1002"/>
      <c r="R8" s="1002"/>
      <c r="S8" s="1002"/>
      <c r="T8" s="1002"/>
      <c r="U8" s="1002"/>
      <c r="V8" s="1002"/>
      <c r="W8" s="1003"/>
    </row>
    <row r="9" spans="1:27" s="431" customFormat="1" ht="16.5" customHeight="1">
      <c r="A9" s="1017" t="s">
        <v>1029</v>
      </c>
      <c r="B9" s="1018"/>
      <c r="C9" s="1018"/>
      <c r="D9" s="1018"/>
      <c r="E9" s="1018"/>
      <c r="F9" s="1018"/>
      <c r="G9" s="1018"/>
      <c r="H9" s="1018"/>
      <c r="I9" s="1018"/>
      <c r="J9" s="1018"/>
      <c r="K9" s="1018"/>
      <c r="L9" s="1019" t="s">
        <v>1030</v>
      </c>
      <c r="M9" s="1020"/>
      <c r="N9" s="1020"/>
      <c r="O9" s="1020"/>
      <c r="P9" s="1020"/>
      <c r="Q9" s="1020"/>
      <c r="R9" s="1021"/>
      <c r="S9" s="1022"/>
      <c r="T9" s="1022"/>
      <c r="U9" s="1022"/>
      <c r="V9" s="1022"/>
      <c r="W9" s="1023"/>
    </row>
    <row r="10" spans="1:27" s="431" customFormat="1" ht="16.5" customHeight="1">
      <c r="A10" s="1024" t="s">
        <v>1031</v>
      </c>
      <c r="B10" s="1025"/>
      <c r="C10" s="1025"/>
      <c r="D10" s="1025"/>
      <c r="E10" s="1025"/>
      <c r="F10" s="1025"/>
      <c r="G10" s="1025"/>
      <c r="H10" s="1025"/>
      <c r="I10" s="1025"/>
      <c r="J10" s="1025"/>
      <c r="K10" s="1026"/>
      <c r="L10" s="1027" t="s">
        <v>177</v>
      </c>
      <c r="M10" s="1028"/>
      <c r="N10" s="1028"/>
      <c r="O10" s="1028"/>
      <c r="P10" s="1029"/>
      <c r="Q10" s="1029"/>
      <c r="R10" s="1029"/>
      <c r="S10" s="1030"/>
      <c r="T10" s="1028"/>
      <c r="U10" s="1028"/>
      <c r="V10" s="1028"/>
      <c r="W10" s="1031"/>
    </row>
    <row r="11" spans="1:27" s="431" customFormat="1" ht="15.75" customHeight="1">
      <c r="A11" s="1008" t="s">
        <v>178</v>
      </c>
      <c r="B11" s="1009"/>
      <c r="C11" s="1010"/>
      <c r="D11" s="1032" t="s">
        <v>179</v>
      </c>
      <c r="E11" s="1033"/>
      <c r="F11" s="1033"/>
      <c r="G11" s="1034"/>
      <c r="H11" s="1008" t="s">
        <v>180</v>
      </c>
      <c r="I11" s="1009"/>
      <c r="J11" s="1009"/>
      <c r="K11" s="1009"/>
      <c r="L11" s="1009"/>
      <c r="M11" s="1010"/>
      <c r="N11" s="1032" t="s">
        <v>181</v>
      </c>
      <c r="O11" s="1033"/>
      <c r="P11" s="58"/>
      <c r="Q11" s="1035" t="s">
        <v>182</v>
      </c>
      <c r="R11" s="1036"/>
      <c r="S11" s="1036"/>
      <c r="T11" s="1037"/>
      <c r="U11" s="1008" t="s">
        <v>183</v>
      </c>
      <c r="V11" s="1009"/>
      <c r="W11" s="1010"/>
    </row>
    <row r="12" spans="1:27" s="431" customFormat="1" ht="24.75" customHeight="1">
      <c r="A12" s="1011" t="s">
        <v>184</v>
      </c>
      <c r="B12" s="1012"/>
      <c r="C12" s="1013"/>
      <c r="D12" s="1011" t="s">
        <v>185</v>
      </c>
      <c r="E12" s="1012"/>
      <c r="F12" s="1012"/>
      <c r="G12" s="1013"/>
      <c r="H12" s="1011" t="s">
        <v>186</v>
      </c>
      <c r="I12" s="1012"/>
      <c r="J12" s="1012"/>
      <c r="K12" s="1012"/>
      <c r="L12" s="1012"/>
      <c r="M12" s="1013"/>
      <c r="N12" s="1011" t="s">
        <v>187</v>
      </c>
      <c r="O12" s="1012"/>
      <c r="P12" s="59"/>
      <c r="Q12" s="1014" t="s">
        <v>188</v>
      </c>
      <c r="R12" s="1015"/>
      <c r="S12" s="1015"/>
      <c r="T12" s="1016"/>
      <c r="U12" s="1011" t="s">
        <v>189</v>
      </c>
      <c r="V12" s="1012"/>
      <c r="W12" s="1013"/>
    </row>
    <row r="13" spans="1:27" s="431" customFormat="1" ht="18" customHeight="1">
      <c r="A13" s="996" t="s">
        <v>190</v>
      </c>
      <c r="B13" s="997"/>
      <c r="C13" s="998"/>
      <c r="D13" s="999" t="s">
        <v>302</v>
      </c>
      <c r="E13" s="1000"/>
      <c r="F13" s="1000"/>
      <c r="G13" s="1000"/>
      <c r="H13" s="1001" t="s">
        <v>305</v>
      </c>
      <c r="I13" s="1002"/>
      <c r="J13" s="1002"/>
      <c r="K13" s="1002"/>
      <c r="L13" s="1002"/>
      <c r="M13" s="1003"/>
      <c r="N13" s="999" t="s">
        <v>351</v>
      </c>
      <c r="O13" s="1000"/>
      <c r="P13" s="1004"/>
      <c r="Q13" s="1005" t="s">
        <v>154</v>
      </c>
      <c r="R13" s="1006"/>
      <c r="S13" s="1006"/>
      <c r="T13" s="1007"/>
      <c r="U13" s="996" t="s">
        <v>191</v>
      </c>
      <c r="V13" s="997"/>
      <c r="W13" s="998"/>
    </row>
    <row r="14" spans="1:27" s="431" customFormat="1" ht="17.25" customHeight="1">
      <c r="A14" s="979" t="s">
        <v>303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1"/>
      <c r="N14" s="982" t="s">
        <v>352</v>
      </c>
      <c r="O14" s="983"/>
      <c r="P14" s="983"/>
      <c r="Q14" s="983"/>
      <c r="R14" s="983"/>
      <c r="S14" s="983"/>
      <c r="T14" s="983"/>
      <c r="U14" s="983"/>
      <c r="V14" s="983"/>
      <c r="W14" s="984"/>
    </row>
    <row r="15" spans="1:27" s="431" customFormat="1" ht="15" customHeight="1">
      <c r="A15" s="985" t="s">
        <v>192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7"/>
      <c r="N15" s="985" t="s">
        <v>353</v>
      </c>
      <c r="O15" s="988"/>
      <c r="P15" s="988"/>
      <c r="Q15" s="988"/>
      <c r="R15" s="988"/>
      <c r="S15" s="988"/>
      <c r="T15" s="988"/>
      <c r="U15" s="988"/>
      <c r="V15" s="988"/>
      <c r="W15" s="989"/>
    </row>
    <row r="16" spans="1:27" s="61" customFormat="1" ht="68.099999999999994" customHeight="1">
      <c r="A16" s="60" t="s">
        <v>354</v>
      </c>
      <c r="B16" s="990" t="s">
        <v>355</v>
      </c>
      <c r="C16" s="991"/>
      <c r="D16" s="992"/>
      <c r="E16" s="990" t="s">
        <v>356</v>
      </c>
      <c r="F16" s="992"/>
      <c r="G16" s="993" t="s">
        <v>194</v>
      </c>
      <c r="H16" s="991"/>
      <c r="I16" s="994"/>
      <c r="J16" s="995"/>
      <c r="K16" s="990" t="s">
        <v>357</v>
      </c>
      <c r="L16" s="992"/>
      <c r="M16" s="990" t="s">
        <v>358</v>
      </c>
      <c r="N16" s="992"/>
      <c r="O16" s="990" t="s">
        <v>359</v>
      </c>
      <c r="P16" s="995"/>
      <c r="Q16" s="990" t="s">
        <v>360</v>
      </c>
      <c r="R16" s="994"/>
      <c r="S16" s="995"/>
      <c r="T16" s="990" t="s">
        <v>361</v>
      </c>
      <c r="U16" s="995"/>
      <c r="V16" s="427" t="s">
        <v>362</v>
      </c>
      <c r="W16" s="60" t="s">
        <v>363</v>
      </c>
      <c r="AA16" s="431"/>
    </row>
    <row r="17" spans="1:27" s="431" customFormat="1" ht="19" customHeight="1">
      <c r="A17" s="449">
        <f>IF(E17="","",MAX($A$16:A16)+1)</f>
        <v>1</v>
      </c>
      <c r="B17" s="975" t="s">
        <v>380</v>
      </c>
      <c r="C17" s="976"/>
      <c r="D17" s="977"/>
      <c r="E17" s="970">
        <v>5</v>
      </c>
      <c r="F17" s="971"/>
      <c r="G17" s="951" t="s">
        <v>412</v>
      </c>
      <c r="H17" s="952"/>
      <c r="I17" s="952"/>
      <c r="J17" s="953"/>
      <c r="K17" s="951" t="s">
        <v>1014</v>
      </c>
      <c r="L17" s="953"/>
      <c r="M17" s="974" t="s">
        <v>1032</v>
      </c>
      <c r="N17" s="978"/>
      <c r="O17" s="951" t="s">
        <v>195</v>
      </c>
      <c r="P17" s="953"/>
      <c r="Q17" s="951" t="s">
        <v>195</v>
      </c>
      <c r="R17" s="952"/>
      <c r="S17" s="953"/>
      <c r="T17" s="951" t="s">
        <v>195</v>
      </c>
      <c r="U17" s="953"/>
      <c r="V17" s="428" t="s">
        <v>154</v>
      </c>
      <c r="W17" s="62"/>
    </row>
    <row r="18" spans="1:27" s="431" customFormat="1" ht="19" customHeight="1">
      <c r="A18" s="449" t="str">
        <f>IF(E18="","",MAX($A$16:A17)+1)</f>
        <v/>
      </c>
      <c r="B18" s="967" t="s">
        <v>1033</v>
      </c>
      <c r="C18" s="968"/>
      <c r="D18" s="969"/>
      <c r="E18" s="970"/>
      <c r="F18" s="971"/>
      <c r="G18" s="974" t="s">
        <v>1034</v>
      </c>
      <c r="H18" s="952"/>
      <c r="I18" s="952"/>
      <c r="J18" s="953"/>
      <c r="K18" s="951"/>
      <c r="L18" s="953"/>
      <c r="M18" s="972" t="s">
        <v>1035</v>
      </c>
      <c r="N18" s="973"/>
      <c r="O18" s="951" t="s">
        <v>195</v>
      </c>
      <c r="P18" s="953"/>
      <c r="Q18" s="951" t="s">
        <v>195</v>
      </c>
      <c r="R18" s="952"/>
      <c r="S18" s="953"/>
      <c r="T18" s="951" t="s">
        <v>195</v>
      </c>
      <c r="U18" s="953"/>
      <c r="V18" s="428" t="s">
        <v>154</v>
      </c>
      <c r="W18" s="62" t="s">
        <v>325</v>
      </c>
    </row>
    <row r="19" spans="1:27" s="431" customFormat="1" ht="19" customHeight="1">
      <c r="A19" s="449" t="str">
        <f>IF(E19="","",MAX($A$16:A18)+1)</f>
        <v/>
      </c>
      <c r="B19" s="975"/>
      <c r="C19" s="976"/>
      <c r="D19" s="977"/>
      <c r="E19" s="970"/>
      <c r="F19" s="971"/>
      <c r="G19" s="951"/>
      <c r="H19" s="952"/>
      <c r="I19" s="952"/>
      <c r="J19" s="953"/>
      <c r="K19" s="951"/>
      <c r="L19" s="953"/>
      <c r="M19" s="972" t="s">
        <v>1036</v>
      </c>
      <c r="N19" s="973"/>
      <c r="O19" s="951" t="s">
        <v>195</v>
      </c>
      <c r="P19" s="953"/>
      <c r="Q19" s="951" t="s">
        <v>195</v>
      </c>
      <c r="R19" s="952"/>
      <c r="S19" s="953"/>
      <c r="T19" s="951" t="s">
        <v>195</v>
      </c>
      <c r="U19" s="953"/>
      <c r="V19" s="428" t="s">
        <v>154</v>
      </c>
      <c r="W19" s="62"/>
    </row>
    <row r="20" spans="1:27" s="429" customFormat="1" ht="19" customHeight="1">
      <c r="A20" s="449">
        <f>IF(E20="","",MAX($A$16:A19)+1)</f>
        <v>2</v>
      </c>
      <c r="B20" s="975" t="s">
        <v>196</v>
      </c>
      <c r="C20" s="976"/>
      <c r="D20" s="977"/>
      <c r="E20" s="970">
        <v>8</v>
      </c>
      <c r="F20" s="971"/>
      <c r="G20" s="951" t="s">
        <v>412</v>
      </c>
      <c r="H20" s="952"/>
      <c r="I20" s="952"/>
      <c r="J20" s="953"/>
      <c r="K20" s="951" t="s">
        <v>1014</v>
      </c>
      <c r="L20" s="953"/>
      <c r="M20" s="974" t="s">
        <v>1032</v>
      </c>
      <c r="N20" s="978"/>
      <c r="O20" s="951" t="s">
        <v>195</v>
      </c>
      <c r="P20" s="953"/>
      <c r="Q20" s="951" t="s">
        <v>195</v>
      </c>
      <c r="R20" s="952"/>
      <c r="S20" s="953"/>
      <c r="T20" s="951" t="s">
        <v>195</v>
      </c>
      <c r="U20" s="953"/>
      <c r="V20" s="428" t="s">
        <v>154</v>
      </c>
      <c r="W20" s="62"/>
      <c r="AA20" s="431"/>
    </row>
    <row r="21" spans="1:27" s="429" customFormat="1" ht="19" customHeight="1">
      <c r="A21" s="449" t="str">
        <f>IF(E21="","",MAX($A$16:A20)+1)</f>
        <v/>
      </c>
      <c r="B21" s="967"/>
      <c r="C21" s="968"/>
      <c r="D21" s="969"/>
      <c r="E21" s="970"/>
      <c r="F21" s="971"/>
      <c r="G21" s="974" t="s">
        <v>1034</v>
      </c>
      <c r="H21" s="952"/>
      <c r="I21" s="952"/>
      <c r="J21" s="953"/>
      <c r="K21" s="951"/>
      <c r="L21" s="953"/>
      <c r="M21" s="972" t="s">
        <v>1035</v>
      </c>
      <c r="N21" s="973"/>
      <c r="O21" s="951" t="s">
        <v>195</v>
      </c>
      <c r="P21" s="953"/>
      <c r="Q21" s="951" t="s">
        <v>195</v>
      </c>
      <c r="R21" s="952"/>
      <c r="S21" s="953"/>
      <c r="T21" s="951" t="s">
        <v>195</v>
      </c>
      <c r="U21" s="953"/>
      <c r="V21" s="428" t="s">
        <v>154</v>
      </c>
      <c r="W21" s="62"/>
      <c r="AA21" s="431"/>
    </row>
    <row r="22" spans="1:27" s="431" customFormat="1" ht="19" customHeight="1">
      <c r="A22" s="449" t="str">
        <f>IF(E22="","",MAX($A$16:A21)+1)</f>
        <v/>
      </c>
      <c r="B22" s="967"/>
      <c r="C22" s="968"/>
      <c r="D22" s="969"/>
      <c r="E22" s="970"/>
      <c r="F22" s="971"/>
      <c r="G22" s="951"/>
      <c r="H22" s="952"/>
      <c r="I22" s="952"/>
      <c r="J22" s="953"/>
      <c r="K22" s="951"/>
      <c r="L22" s="953"/>
      <c r="M22" s="972" t="s">
        <v>1036</v>
      </c>
      <c r="N22" s="973"/>
      <c r="O22" s="951" t="s">
        <v>195</v>
      </c>
      <c r="P22" s="953"/>
      <c r="Q22" s="951" t="s">
        <v>195</v>
      </c>
      <c r="R22" s="952"/>
      <c r="S22" s="953"/>
      <c r="T22" s="951" t="s">
        <v>195</v>
      </c>
      <c r="U22" s="953"/>
      <c r="V22" s="428" t="s">
        <v>154</v>
      </c>
      <c r="W22" s="62" t="s">
        <v>325</v>
      </c>
    </row>
    <row r="23" spans="1:27" s="431" customFormat="1" ht="19" customHeight="1">
      <c r="A23" s="449" t="str">
        <f>IF(E23="","",MAX($A$16:A22)+1)</f>
        <v/>
      </c>
      <c r="B23" s="975"/>
      <c r="C23" s="976"/>
      <c r="D23" s="977"/>
      <c r="E23" s="970"/>
      <c r="F23" s="971"/>
      <c r="G23" s="951"/>
      <c r="H23" s="952"/>
      <c r="I23" s="952"/>
      <c r="J23" s="953"/>
      <c r="K23" s="951"/>
      <c r="L23" s="953"/>
      <c r="M23" s="974"/>
      <c r="N23" s="978"/>
      <c r="O23" s="951"/>
      <c r="P23" s="953"/>
      <c r="Q23" s="951"/>
      <c r="R23" s="952"/>
      <c r="S23" s="953"/>
      <c r="T23" s="951"/>
      <c r="U23" s="953"/>
      <c r="V23" s="428"/>
      <c r="W23" s="62"/>
    </row>
    <row r="24" spans="1:27" s="431" customFormat="1" ht="19" customHeight="1">
      <c r="A24" s="449" t="str">
        <f>IF(E24="","",MAX($A$16:A23)+1)</f>
        <v/>
      </c>
      <c r="B24" s="967"/>
      <c r="C24" s="968"/>
      <c r="D24" s="969"/>
      <c r="E24" s="970"/>
      <c r="F24" s="971"/>
      <c r="G24" s="974"/>
      <c r="H24" s="952"/>
      <c r="I24" s="952"/>
      <c r="J24" s="953"/>
      <c r="K24" s="951"/>
      <c r="L24" s="953"/>
      <c r="M24" s="972"/>
      <c r="N24" s="973"/>
      <c r="O24" s="951"/>
      <c r="P24" s="953"/>
      <c r="Q24" s="951"/>
      <c r="R24" s="952"/>
      <c r="S24" s="953"/>
      <c r="T24" s="951"/>
      <c r="U24" s="953"/>
      <c r="V24" s="428"/>
      <c r="W24" s="62"/>
    </row>
    <row r="25" spans="1:27" s="431" customFormat="1" ht="19" customHeight="1">
      <c r="A25" s="449" t="str">
        <f>IF(E25="","",MAX($A$16:A24)+1)</f>
        <v/>
      </c>
      <c r="B25" s="967"/>
      <c r="C25" s="968"/>
      <c r="D25" s="969"/>
      <c r="E25" s="970"/>
      <c r="F25" s="971"/>
      <c r="G25" s="951"/>
      <c r="H25" s="952"/>
      <c r="I25" s="952"/>
      <c r="J25" s="953"/>
      <c r="K25" s="951"/>
      <c r="L25" s="953"/>
      <c r="M25" s="972"/>
      <c r="N25" s="973"/>
      <c r="O25" s="951"/>
      <c r="P25" s="953"/>
      <c r="Q25" s="951"/>
      <c r="R25" s="952"/>
      <c r="S25" s="953"/>
      <c r="T25" s="951"/>
      <c r="U25" s="953"/>
      <c r="V25" s="428"/>
      <c r="W25" s="62"/>
    </row>
    <row r="26" spans="1:27" s="431" customFormat="1" ht="19" customHeight="1">
      <c r="A26" s="449" t="str">
        <f>IF(E26="","",MAX($A$16:A25)+1)</f>
        <v/>
      </c>
      <c r="B26" s="975"/>
      <c r="C26" s="976"/>
      <c r="D26" s="977"/>
      <c r="E26" s="970"/>
      <c r="F26" s="971"/>
      <c r="G26" s="951"/>
      <c r="H26" s="952"/>
      <c r="I26" s="952"/>
      <c r="J26" s="953"/>
      <c r="K26" s="951"/>
      <c r="L26" s="953"/>
      <c r="M26" s="974"/>
      <c r="N26" s="978"/>
      <c r="O26" s="951"/>
      <c r="P26" s="953"/>
      <c r="Q26" s="951"/>
      <c r="R26" s="952"/>
      <c r="S26" s="953"/>
      <c r="T26" s="951"/>
      <c r="U26" s="953"/>
      <c r="V26" s="428"/>
      <c r="W26" s="63"/>
    </row>
    <row r="27" spans="1:27" s="431" customFormat="1" ht="19" customHeight="1">
      <c r="A27" s="449" t="str">
        <f>IF(E27="","",MAX($A$16:A26)+1)</f>
        <v/>
      </c>
      <c r="B27" s="967"/>
      <c r="C27" s="968"/>
      <c r="D27" s="969"/>
      <c r="E27" s="970"/>
      <c r="F27" s="971"/>
      <c r="G27" s="974"/>
      <c r="H27" s="952"/>
      <c r="I27" s="952"/>
      <c r="J27" s="953"/>
      <c r="K27" s="951"/>
      <c r="L27" s="953"/>
      <c r="M27" s="972"/>
      <c r="N27" s="973"/>
      <c r="O27" s="951"/>
      <c r="P27" s="953"/>
      <c r="Q27" s="951"/>
      <c r="R27" s="952"/>
      <c r="S27" s="953"/>
      <c r="T27" s="951"/>
      <c r="U27" s="953"/>
      <c r="V27" s="428"/>
      <c r="W27" s="63"/>
    </row>
    <row r="28" spans="1:27" s="431" customFormat="1" ht="19" customHeight="1">
      <c r="A28" s="449" t="str">
        <f>IF(E28="","",MAX($A$16:A27)+1)</f>
        <v/>
      </c>
      <c r="B28" s="967"/>
      <c r="C28" s="968"/>
      <c r="D28" s="969"/>
      <c r="E28" s="970"/>
      <c r="F28" s="971"/>
      <c r="G28" s="951"/>
      <c r="H28" s="952"/>
      <c r="I28" s="952"/>
      <c r="J28" s="953"/>
      <c r="K28" s="951"/>
      <c r="L28" s="953"/>
      <c r="M28" s="972"/>
      <c r="N28" s="973"/>
      <c r="O28" s="951"/>
      <c r="P28" s="953"/>
      <c r="Q28" s="951"/>
      <c r="R28" s="952"/>
      <c r="S28" s="953"/>
      <c r="T28" s="951"/>
      <c r="U28" s="953"/>
      <c r="V28" s="428"/>
      <c r="W28" s="64"/>
    </row>
    <row r="29" spans="1:27" s="429" customFormat="1" ht="12" customHeight="1">
      <c r="A29" s="954" t="s">
        <v>197</v>
      </c>
      <c r="B29" s="955"/>
      <c r="C29" s="955"/>
      <c r="D29" s="955"/>
      <c r="E29" s="955"/>
      <c r="F29" s="955"/>
      <c r="G29" s="955"/>
      <c r="H29" s="955" t="s">
        <v>364</v>
      </c>
      <c r="I29" s="955"/>
      <c r="J29" s="955"/>
      <c r="K29" s="955"/>
      <c r="L29" s="955"/>
      <c r="M29" s="955"/>
      <c r="N29" s="955"/>
      <c r="O29" s="955"/>
      <c r="P29" s="65"/>
      <c r="Q29" s="955" t="s">
        <v>365</v>
      </c>
      <c r="R29" s="956"/>
      <c r="S29" s="956"/>
      <c r="T29" s="956"/>
      <c r="U29" s="956"/>
      <c r="V29" s="956"/>
      <c r="W29" s="957"/>
    </row>
    <row r="30" spans="1:27" s="429" customFormat="1" ht="12" customHeight="1">
      <c r="A30" s="962" t="s">
        <v>366</v>
      </c>
      <c r="B30" s="963"/>
      <c r="C30" s="963"/>
      <c r="D30" s="963"/>
      <c r="E30" s="963"/>
      <c r="F30" s="963"/>
      <c r="G30" s="963"/>
      <c r="H30" s="964" t="s">
        <v>367</v>
      </c>
      <c r="I30" s="964"/>
      <c r="J30" s="964"/>
      <c r="K30" s="964"/>
      <c r="L30" s="964"/>
      <c r="M30" s="964"/>
      <c r="N30" s="964"/>
      <c r="O30" s="964"/>
      <c r="P30" s="66"/>
      <c r="Q30" s="958"/>
      <c r="R30" s="958"/>
      <c r="S30" s="958"/>
      <c r="T30" s="958"/>
      <c r="U30" s="958"/>
      <c r="V30" s="958"/>
      <c r="W30" s="959"/>
    </row>
    <row r="31" spans="1:27" s="429" customFormat="1" ht="12" customHeight="1">
      <c r="A31" s="965" t="s">
        <v>368</v>
      </c>
      <c r="B31" s="966"/>
      <c r="C31" s="966"/>
      <c r="D31" s="966"/>
      <c r="E31" s="966"/>
      <c r="F31" s="966"/>
      <c r="G31" s="966"/>
      <c r="H31" s="964" t="s">
        <v>369</v>
      </c>
      <c r="I31" s="964"/>
      <c r="J31" s="964"/>
      <c r="K31" s="964"/>
      <c r="L31" s="964"/>
      <c r="M31" s="964"/>
      <c r="N31" s="964"/>
      <c r="O31" s="964"/>
      <c r="P31" s="66"/>
      <c r="Q31" s="958"/>
      <c r="R31" s="958"/>
      <c r="S31" s="958"/>
      <c r="T31" s="958"/>
      <c r="U31" s="958"/>
      <c r="V31" s="958"/>
      <c r="W31" s="959"/>
    </row>
    <row r="32" spans="1:27" s="429" customFormat="1" ht="12" customHeight="1">
      <c r="A32" s="67" t="s">
        <v>370</v>
      </c>
      <c r="B32" s="430"/>
      <c r="C32" s="430"/>
      <c r="D32" s="430"/>
      <c r="E32" s="430"/>
      <c r="F32" s="430"/>
      <c r="G32" s="430"/>
      <c r="H32" s="68" t="s">
        <v>371</v>
      </c>
      <c r="I32" s="430"/>
      <c r="J32" s="430"/>
      <c r="K32" s="430"/>
      <c r="L32" s="430"/>
      <c r="M32" s="430"/>
      <c r="N32" s="430"/>
      <c r="O32" s="430"/>
      <c r="P32" s="69"/>
      <c r="Q32" s="960"/>
      <c r="R32" s="960"/>
      <c r="S32" s="960"/>
      <c r="T32" s="960"/>
      <c r="U32" s="960"/>
      <c r="V32" s="960"/>
      <c r="W32" s="961"/>
    </row>
    <row r="33" spans="1:23" s="429" customFormat="1" ht="35.25" customHeight="1">
      <c r="A33" s="933" t="s">
        <v>372</v>
      </c>
      <c r="B33" s="934"/>
      <c r="C33" s="934"/>
      <c r="D33" s="934"/>
      <c r="E33" s="934"/>
      <c r="F33" s="934"/>
      <c r="G33" s="934"/>
      <c r="H33" s="939" t="s">
        <v>373</v>
      </c>
      <c r="I33" s="940"/>
      <c r="J33" s="940"/>
      <c r="K33" s="940"/>
      <c r="L33" s="940"/>
      <c r="M33" s="940"/>
      <c r="N33" s="940"/>
      <c r="O33" s="940"/>
      <c r="P33" s="70"/>
      <c r="Q33" s="942" t="s">
        <v>374</v>
      </c>
      <c r="R33" s="942"/>
      <c r="S33" s="942"/>
      <c r="T33" s="942"/>
      <c r="U33" s="942"/>
      <c r="V33" s="942"/>
      <c r="W33" s="943"/>
    </row>
    <row r="34" spans="1:23" s="429" customFormat="1" ht="29.25" customHeight="1">
      <c r="A34" s="935"/>
      <c r="B34" s="936"/>
      <c r="C34" s="936"/>
      <c r="D34" s="936"/>
      <c r="E34" s="936"/>
      <c r="F34" s="936"/>
      <c r="G34" s="936"/>
      <c r="H34" s="940"/>
      <c r="I34" s="940"/>
      <c r="J34" s="940"/>
      <c r="K34" s="940"/>
      <c r="L34" s="940"/>
      <c r="M34" s="940"/>
      <c r="N34" s="940"/>
      <c r="O34" s="940"/>
      <c r="P34" s="70"/>
      <c r="Q34" s="939"/>
      <c r="R34" s="939"/>
      <c r="S34" s="939"/>
      <c r="T34" s="939"/>
      <c r="U34" s="939"/>
      <c r="V34" s="939"/>
      <c r="W34" s="944"/>
    </row>
    <row r="35" spans="1:23" s="429" customFormat="1" ht="12.75" customHeight="1">
      <c r="A35" s="935"/>
      <c r="B35" s="936"/>
      <c r="C35" s="936"/>
      <c r="D35" s="936"/>
      <c r="E35" s="936"/>
      <c r="F35" s="936"/>
      <c r="G35" s="936"/>
      <c r="H35" s="940"/>
      <c r="I35" s="940"/>
      <c r="J35" s="940"/>
      <c r="K35" s="940"/>
      <c r="L35" s="940"/>
      <c r="M35" s="940"/>
      <c r="N35" s="940"/>
      <c r="O35" s="940"/>
      <c r="P35" s="70"/>
      <c r="Q35" s="939"/>
      <c r="R35" s="939"/>
      <c r="S35" s="939"/>
      <c r="T35" s="939"/>
      <c r="U35" s="939"/>
      <c r="V35" s="939"/>
      <c r="W35" s="944"/>
    </row>
    <row r="36" spans="1:23" s="71" customFormat="1" ht="20.100000000000001" customHeight="1">
      <c r="A36" s="935"/>
      <c r="B36" s="936"/>
      <c r="C36" s="936"/>
      <c r="D36" s="936"/>
      <c r="E36" s="936"/>
      <c r="F36" s="936"/>
      <c r="G36" s="936"/>
      <c r="H36" s="940"/>
      <c r="I36" s="940"/>
      <c r="J36" s="940"/>
      <c r="K36" s="940"/>
      <c r="L36" s="940"/>
      <c r="M36" s="940"/>
      <c r="N36" s="940"/>
      <c r="O36" s="940"/>
      <c r="P36" s="433"/>
      <c r="Q36" s="939"/>
      <c r="R36" s="939"/>
      <c r="S36" s="939"/>
      <c r="T36" s="939"/>
      <c r="U36" s="939"/>
      <c r="V36" s="939"/>
      <c r="W36" s="944"/>
    </row>
    <row r="37" spans="1:23" s="71" customFormat="1" ht="2.25" customHeight="1">
      <c r="A37" s="937"/>
      <c r="B37" s="938"/>
      <c r="C37" s="938"/>
      <c r="D37" s="938"/>
      <c r="E37" s="938"/>
      <c r="F37" s="938"/>
      <c r="G37" s="938"/>
      <c r="H37" s="941"/>
      <c r="I37" s="941"/>
      <c r="J37" s="941"/>
      <c r="K37" s="941"/>
      <c r="L37" s="941"/>
      <c r="M37" s="941"/>
      <c r="N37" s="941"/>
      <c r="O37" s="941"/>
      <c r="P37" s="434"/>
      <c r="Q37" s="945"/>
      <c r="R37" s="945"/>
      <c r="S37" s="945"/>
      <c r="T37" s="945"/>
      <c r="U37" s="945"/>
      <c r="V37" s="945"/>
      <c r="W37" s="946"/>
    </row>
    <row r="38" spans="1:23" ht="12.75" customHeight="1">
      <c r="A38" s="947" t="s">
        <v>198</v>
      </c>
      <c r="B38" s="947"/>
      <c r="C38" s="947"/>
      <c r="D38" s="947"/>
      <c r="E38" s="947"/>
      <c r="F38" s="947"/>
      <c r="G38" s="947"/>
      <c r="H38" s="947" t="s">
        <v>199</v>
      </c>
      <c r="I38" s="947"/>
      <c r="J38" s="947"/>
      <c r="K38" s="947"/>
      <c r="L38" s="947"/>
      <c r="M38" s="947"/>
      <c r="N38" s="947"/>
      <c r="O38" s="947"/>
      <c r="P38" s="947"/>
      <c r="Q38" s="948" t="s">
        <v>375</v>
      </c>
      <c r="R38" s="949"/>
      <c r="S38" s="949"/>
      <c r="T38" s="949"/>
      <c r="U38" s="949"/>
      <c r="V38" s="949"/>
      <c r="W38" s="950"/>
    </row>
    <row r="39" spans="1:23" s="72" customFormat="1" ht="12" customHeight="1">
      <c r="A39" s="929" t="s">
        <v>201</v>
      </c>
      <c r="B39" s="929"/>
      <c r="C39" s="929"/>
      <c r="D39" s="929"/>
      <c r="E39" s="929"/>
      <c r="F39" s="929"/>
      <c r="G39" s="929"/>
      <c r="H39" s="929" t="s">
        <v>202</v>
      </c>
      <c r="I39" s="929"/>
      <c r="J39" s="929"/>
      <c r="K39" s="929"/>
      <c r="L39" s="929"/>
      <c r="M39" s="929"/>
      <c r="N39" s="929"/>
      <c r="O39" s="929"/>
      <c r="P39" s="929"/>
      <c r="Q39" s="929" t="s">
        <v>203</v>
      </c>
      <c r="R39" s="929"/>
      <c r="S39" s="929"/>
      <c r="T39" s="929"/>
      <c r="U39" s="929"/>
      <c r="V39" s="929"/>
      <c r="W39" s="929"/>
    </row>
    <row r="40" spans="1:23" s="72" customFormat="1" ht="12.9" customHeight="1">
      <c r="A40" s="929" t="s">
        <v>376</v>
      </c>
      <c r="B40" s="929"/>
      <c r="C40" s="929"/>
      <c r="D40" s="929"/>
      <c r="E40" s="929"/>
      <c r="F40" s="929"/>
      <c r="G40" s="929"/>
      <c r="H40" s="929" t="s">
        <v>204</v>
      </c>
      <c r="I40" s="929"/>
      <c r="J40" s="929"/>
      <c r="K40" s="929"/>
      <c r="L40" s="929"/>
      <c r="M40" s="929"/>
      <c r="N40" s="929"/>
      <c r="O40" s="929"/>
      <c r="P40" s="929"/>
      <c r="Q40" s="929" t="s">
        <v>204</v>
      </c>
      <c r="R40" s="929"/>
      <c r="S40" s="929"/>
      <c r="T40" s="929"/>
      <c r="U40" s="929"/>
      <c r="V40" s="929"/>
      <c r="W40" s="929"/>
    </row>
    <row r="41" spans="1:23" s="72" customFormat="1" ht="22.15" customHeight="1">
      <c r="A41" s="929" t="s">
        <v>205</v>
      </c>
      <c r="B41" s="929"/>
      <c r="C41" s="929"/>
      <c r="D41" s="929"/>
      <c r="E41" s="929"/>
      <c r="F41" s="929"/>
      <c r="G41" s="929"/>
      <c r="H41" s="929" t="s">
        <v>205</v>
      </c>
      <c r="I41" s="929"/>
      <c r="J41" s="929"/>
      <c r="K41" s="929"/>
      <c r="L41" s="929"/>
      <c r="M41" s="929"/>
      <c r="N41" s="929"/>
      <c r="O41" s="929"/>
      <c r="P41" s="929"/>
      <c r="Q41" s="929" t="s">
        <v>205</v>
      </c>
      <c r="R41" s="929"/>
      <c r="S41" s="929"/>
      <c r="T41" s="929"/>
      <c r="U41" s="929"/>
      <c r="V41" s="929"/>
      <c r="W41" s="929"/>
    </row>
    <row r="42" spans="1:23" s="72" customFormat="1" ht="2.25" customHeight="1">
      <c r="A42" s="929"/>
      <c r="B42" s="929"/>
      <c r="C42" s="929"/>
      <c r="D42" s="929"/>
      <c r="E42" s="929"/>
      <c r="F42" s="929"/>
      <c r="G42" s="929"/>
      <c r="H42" s="930"/>
      <c r="I42" s="931"/>
      <c r="J42" s="931"/>
      <c r="K42" s="931"/>
      <c r="L42" s="931"/>
      <c r="M42" s="931"/>
      <c r="N42" s="931"/>
      <c r="O42" s="931"/>
      <c r="P42" s="932"/>
      <c r="Q42" s="929"/>
      <c r="R42" s="929"/>
      <c r="S42" s="929"/>
      <c r="T42" s="929"/>
      <c r="U42" s="929"/>
      <c r="V42" s="929"/>
      <c r="W42" s="929"/>
    </row>
    <row r="43" spans="1:23" s="72" customFormat="1" ht="18" customHeight="1">
      <c r="A43" s="922" t="s">
        <v>418</v>
      </c>
      <c r="B43" s="923"/>
      <c r="C43" s="924">
        <f>S5+1</f>
        <v>45835</v>
      </c>
      <c r="D43" s="925"/>
      <c r="E43" s="925"/>
      <c r="F43" s="925"/>
      <c r="G43" s="926"/>
      <c r="H43" s="922" t="s">
        <v>377</v>
      </c>
      <c r="I43" s="923"/>
      <c r="J43" s="923"/>
      <c r="K43" s="923"/>
      <c r="L43" s="923"/>
      <c r="M43" s="927">
        <f>C43</f>
        <v>45835</v>
      </c>
      <c r="N43" s="925"/>
      <c r="O43" s="925"/>
      <c r="P43" s="926"/>
      <c r="Q43" s="928" t="s">
        <v>378</v>
      </c>
      <c r="R43" s="928"/>
      <c r="S43" s="928"/>
      <c r="T43" s="928"/>
      <c r="U43" s="928"/>
      <c r="V43" s="928"/>
      <c r="W43" s="928"/>
    </row>
    <row r="44" spans="1:23"/>
    <row r="47" spans="1:23" hidden="1">
      <c r="U47" s="432" t="s">
        <v>7</v>
      </c>
    </row>
  </sheetData>
  <mergeCells count="176">
    <mergeCell ref="S5:W5"/>
    <mergeCell ref="A6:K6"/>
    <mergeCell ref="L6:W6"/>
    <mergeCell ref="A7:K7"/>
    <mergeCell ref="L7:W8"/>
    <mergeCell ref="A8:K8"/>
    <mergeCell ref="A1:B5"/>
    <mergeCell ref="C1:R1"/>
    <mergeCell ref="S1:W1"/>
    <mergeCell ref="C2:R2"/>
    <mergeCell ref="S2:W2"/>
    <mergeCell ref="C3:R3"/>
    <mergeCell ref="S3:W3"/>
    <mergeCell ref="C4:Q4"/>
    <mergeCell ref="S4:W4"/>
    <mergeCell ref="C5:R5"/>
    <mergeCell ref="A9:K9"/>
    <mergeCell ref="L9:W9"/>
    <mergeCell ref="A10:K10"/>
    <mergeCell ref="L10:W10"/>
    <mergeCell ref="A11:C11"/>
    <mergeCell ref="D11:G11"/>
    <mergeCell ref="H11:M11"/>
    <mergeCell ref="N11:O11"/>
    <mergeCell ref="Q11:T11"/>
    <mergeCell ref="A13:C13"/>
    <mergeCell ref="D13:G13"/>
    <mergeCell ref="H13:M13"/>
    <mergeCell ref="N13:P13"/>
    <mergeCell ref="Q13:T13"/>
    <mergeCell ref="U13:W13"/>
    <mergeCell ref="U11:W11"/>
    <mergeCell ref="A12:C12"/>
    <mergeCell ref="D12:G12"/>
    <mergeCell ref="H12:M12"/>
    <mergeCell ref="N12:O12"/>
    <mergeCell ref="Q12:T12"/>
    <mergeCell ref="U12:W12"/>
    <mergeCell ref="A14:M14"/>
    <mergeCell ref="N14:W14"/>
    <mergeCell ref="A15:M15"/>
    <mergeCell ref="N15:W15"/>
    <mergeCell ref="B16:D16"/>
    <mergeCell ref="E16:F16"/>
    <mergeCell ref="G16:J16"/>
    <mergeCell ref="K16:L16"/>
    <mergeCell ref="M16:N16"/>
    <mergeCell ref="O16:P16"/>
    <mergeCell ref="Q16:S16"/>
    <mergeCell ref="T16:U16"/>
    <mergeCell ref="B17:D17"/>
    <mergeCell ref="E17:F17"/>
    <mergeCell ref="G17:J17"/>
    <mergeCell ref="K17:L17"/>
    <mergeCell ref="M17:N17"/>
    <mergeCell ref="O17:P17"/>
    <mergeCell ref="Q17:S17"/>
    <mergeCell ref="T17:U17"/>
    <mergeCell ref="Q18:S18"/>
    <mergeCell ref="T18:U18"/>
    <mergeCell ref="B19:D19"/>
    <mergeCell ref="E19:F19"/>
    <mergeCell ref="G19:J19"/>
    <mergeCell ref="K19:L19"/>
    <mergeCell ref="M19:N19"/>
    <mergeCell ref="O19:P19"/>
    <mergeCell ref="Q19:S19"/>
    <mergeCell ref="T19:U19"/>
    <mergeCell ref="B18:D18"/>
    <mergeCell ref="E18:F18"/>
    <mergeCell ref="G18:J18"/>
    <mergeCell ref="K18:L18"/>
    <mergeCell ref="M18:N18"/>
    <mergeCell ref="O18:P18"/>
    <mergeCell ref="Q20:S20"/>
    <mergeCell ref="T20:U20"/>
    <mergeCell ref="B21:D21"/>
    <mergeCell ref="E21:F21"/>
    <mergeCell ref="G21:J21"/>
    <mergeCell ref="K21:L21"/>
    <mergeCell ref="M21:N21"/>
    <mergeCell ref="O21:P21"/>
    <mergeCell ref="Q21:S21"/>
    <mergeCell ref="T21:U21"/>
    <mergeCell ref="B20:D20"/>
    <mergeCell ref="E20:F20"/>
    <mergeCell ref="G20:J20"/>
    <mergeCell ref="K20:L20"/>
    <mergeCell ref="M20:N20"/>
    <mergeCell ref="O20:P20"/>
    <mergeCell ref="Q22:S22"/>
    <mergeCell ref="T22:U22"/>
    <mergeCell ref="B23:D23"/>
    <mergeCell ref="E23:F23"/>
    <mergeCell ref="G23:J23"/>
    <mergeCell ref="K23:L23"/>
    <mergeCell ref="M23:N23"/>
    <mergeCell ref="O23:P23"/>
    <mergeCell ref="Q23:S23"/>
    <mergeCell ref="T23:U23"/>
    <mergeCell ref="B22:D22"/>
    <mergeCell ref="E22:F22"/>
    <mergeCell ref="G22:J22"/>
    <mergeCell ref="K22:L22"/>
    <mergeCell ref="M22:N22"/>
    <mergeCell ref="O22:P22"/>
    <mergeCell ref="Q24:S24"/>
    <mergeCell ref="T24:U24"/>
    <mergeCell ref="B25:D25"/>
    <mergeCell ref="E25:F25"/>
    <mergeCell ref="G25:J25"/>
    <mergeCell ref="K25:L25"/>
    <mergeCell ref="M25:N25"/>
    <mergeCell ref="O25:P25"/>
    <mergeCell ref="Q25:S25"/>
    <mergeCell ref="T25:U25"/>
    <mergeCell ref="B24:D24"/>
    <mergeCell ref="E24:F24"/>
    <mergeCell ref="G24:J24"/>
    <mergeCell ref="K24:L24"/>
    <mergeCell ref="M24:N24"/>
    <mergeCell ref="O24:P24"/>
    <mergeCell ref="Q26:S26"/>
    <mergeCell ref="T26:U26"/>
    <mergeCell ref="B27:D27"/>
    <mergeCell ref="E27:F27"/>
    <mergeCell ref="G27:J27"/>
    <mergeCell ref="K27:L27"/>
    <mergeCell ref="M27:N27"/>
    <mergeCell ref="O27:P27"/>
    <mergeCell ref="Q27:S27"/>
    <mergeCell ref="T27:U27"/>
    <mergeCell ref="B26:D26"/>
    <mergeCell ref="E26:F26"/>
    <mergeCell ref="G26:J26"/>
    <mergeCell ref="K26:L26"/>
    <mergeCell ref="M26:N26"/>
    <mergeCell ref="O26:P26"/>
    <mergeCell ref="Q28:S28"/>
    <mergeCell ref="T28:U28"/>
    <mergeCell ref="A29:G29"/>
    <mergeCell ref="H29:O29"/>
    <mergeCell ref="Q29:W32"/>
    <mergeCell ref="A30:G30"/>
    <mergeCell ref="H30:O30"/>
    <mergeCell ref="A31:G31"/>
    <mergeCell ref="H31:O31"/>
    <mergeCell ref="B28:D28"/>
    <mergeCell ref="E28:F28"/>
    <mergeCell ref="G28:J28"/>
    <mergeCell ref="K28:L28"/>
    <mergeCell ref="M28:N28"/>
    <mergeCell ref="O28:P28"/>
    <mergeCell ref="A39:G39"/>
    <mergeCell ref="H39:P39"/>
    <mergeCell ref="Q39:W39"/>
    <mergeCell ref="A40:G40"/>
    <mergeCell ref="H40:P40"/>
    <mergeCell ref="Q40:W40"/>
    <mergeCell ref="A33:G37"/>
    <mergeCell ref="H33:O37"/>
    <mergeCell ref="Q33:W37"/>
    <mergeCell ref="A38:G38"/>
    <mergeCell ref="H38:P38"/>
    <mergeCell ref="Q38:W38"/>
    <mergeCell ref="A43:B43"/>
    <mergeCell ref="C43:G43"/>
    <mergeCell ref="H43:L43"/>
    <mergeCell ref="M43:P43"/>
    <mergeCell ref="Q43:W43"/>
    <mergeCell ref="A41:G41"/>
    <mergeCell ref="H41:P41"/>
    <mergeCell ref="Q41:W41"/>
    <mergeCell ref="A42:G42"/>
    <mergeCell ref="H42:P42"/>
    <mergeCell ref="Q42:W42"/>
  </mergeCells>
  <pageMargins left="0.6692913385826772" right="0.23622047244094491" top="0.39370078740157483" bottom="0.19685039370078741" header="0.15748031496062992" footer="0"/>
  <pageSetup paperSize="9" orientation="portrait" r:id="rId1"/>
  <headerFooter alignWithMargins="0">
    <oddFooter>&amp;R    &amp;9       Take effect from/Áp dụng từ ngày 01.01.14</oddFooter>
  </headerFooter>
  <drawing r:id="rId2"/>
  <legacyDrawing r:id="rId3"/>
  <oleObjects>
    <mc:AlternateContent xmlns:mc="http://schemas.openxmlformats.org/markup-compatibility/2006">
      <mc:Choice Requires="x14">
        <oleObject progId="PBrush" shapeId="14514177" r:id="rId4">
          <objectPr defaultSize="0" autoPict="0" r:id="rId5">
            <anchor moveWithCells="1" sizeWithCells="1">
              <from>
                <xdr:col>0</xdr:col>
                <xdr:colOff>106680</xdr:colOff>
                <xdr:row>0</xdr:row>
                <xdr:rowOff>278130</xdr:rowOff>
              </from>
              <to>
                <xdr:col>1</xdr:col>
                <xdr:colOff>659130</xdr:colOff>
                <xdr:row>3</xdr:row>
                <xdr:rowOff>125730</xdr:rowOff>
              </to>
            </anchor>
          </objectPr>
        </oleObject>
      </mc:Choice>
      <mc:Fallback>
        <oleObject progId="PBrush" shapeId="14514177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514178" r:id="rId6" name="Check Box 2">
              <controlPr defaultSize="0" autoFill="0" autoLine="0" autoPict="0">
                <anchor moveWithCells="1">
                  <from>
                    <xdr:col>13</xdr:col>
                    <xdr:colOff>30480</xdr:colOff>
                    <xdr:row>13</xdr:row>
                    <xdr:rowOff>182880</xdr:rowOff>
                  </from>
                  <to>
                    <xdr:col>13</xdr:col>
                    <xdr:colOff>373380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4179" r:id="rId7" name="Check Box 3">
              <controlPr defaultSize="0" autoFill="0" autoLine="0" autoPict="0">
                <anchor moveWithCells="1">
                  <from>
                    <xdr:col>14</xdr:col>
                    <xdr:colOff>240030</xdr:colOff>
                    <xdr:row>13</xdr:row>
                    <xdr:rowOff>163830</xdr:rowOff>
                  </from>
                  <to>
                    <xdr:col>16</xdr:col>
                    <xdr:colOff>30480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4180" r:id="rId8" name="Check Box 4">
              <controlPr defaultSize="0" autoFill="0" autoLine="0" autoPict="0">
                <anchor moveWithCells="1">
                  <from>
                    <xdr:col>18</xdr:col>
                    <xdr:colOff>87630</xdr:colOff>
                    <xdr:row>13</xdr:row>
                    <xdr:rowOff>163830</xdr:rowOff>
                  </from>
                  <to>
                    <xdr:col>19</xdr:col>
                    <xdr:colOff>220980</xdr:colOff>
                    <xdr:row>14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4181" r:id="rId9" name="Check Box 5">
              <controlPr defaultSize="0" autoFill="0" autoLine="0" autoPict="0">
                <anchor moveWithCells="1">
                  <from>
                    <xdr:col>20</xdr:col>
                    <xdr:colOff>125730</xdr:colOff>
                    <xdr:row>13</xdr:row>
                    <xdr:rowOff>163830</xdr:rowOff>
                  </from>
                  <to>
                    <xdr:col>21</xdr:col>
                    <xdr:colOff>247650</xdr:colOff>
                    <xdr:row>15</xdr:row>
                    <xdr:rowOff>11430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9">
    <tabColor theme="9" tint="0.39997558519241921"/>
  </sheetPr>
  <dimension ref="A1:E40"/>
  <sheetViews>
    <sheetView showGridLines="0" zoomScaleNormal="100" zoomScaleSheetLayoutView="110" workbookViewId="0">
      <selection activeCell="A25" sqref="A25:XFD25"/>
    </sheetView>
  </sheetViews>
  <sheetFormatPr defaultColWidth="9.109375" defaultRowHeight="12.3"/>
  <cols>
    <col min="1" max="1" width="5" style="406" customWidth="1"/>
    <col min="2" max="2" width="15.94140625" style="406" customWidth="1"/>
    <col min="3" max="3" width="33.44140625" style="406" customWidth="1"/>
    <col min="4" max="4" width="27.33203125" style="417" customWidth="1"/>
    <col min="5" max="5" width="12.88671875" style="406" customWidth="1"/>
    <col min="6" max="16384" width="9.109375" style="406"/>
  </cols>
  <sheetData>
    <row r="1" spans="1:5" ht="26.25" customHeight="1">
      <c r="A1" s="1073" t="s">
        <v>155</v>
      </c>
      <c r="B1" s="1073"/>
      <c r="C1" s="1073"/>
      <c r="D1" s="1073"/>
      <c r="E1" s="1073"/>
    </row>
    <row r="2" spans="1:5" ht="24.75" customHeight="1">
      <c r="A2" s="1074" t="s">
        <v>1011</v>
      </c>
      <c r="B2" s="1075"/>
      <c r="C2" s="1075"/>
      <c r="D2" s="1075"/>
      <c r="E2" s="1075"/>
    </row>
    <row r="3" spans="1:5" ht="23.25" customHeight="1">
      <c r="A3" s="1076" t="s">
        <v>1010</v>
      </c>
      <c r="B3" s="1076"/>
      <c r="C3" s="1076"/>
      <c r="D3" s="1076"/>
      <c r="E3" s="1076"/>
    </row>
    <row r="4" spans="1:5" ht="34.5" customHeight="1">
      <c r="A4" s="1077" t="s">
        <v>156</v>
      </c>
      <c r="B4" s="1077"/>
      <c r="C4" s="1077"/>
      <c r="D4" s="1077"/>
      <c r="E4" s="1077"/>
    </row>
    <row r="5" spans="1:5" ht="24" customHeight="1">
      <c r="A5" s="407" t="s">
        <v>157</v>
      </c>
      <c r="B5" s="407" t="s">
        <v>158</v>
      </c>
      <c r="C5" s="407" t="s">
        <v>159</v>
      </c>
      <c r="D5" s="408" t="s">
        <v>160</v>
      </c>
      <c r="E5" s="408" t="s">
        <v>161</v>
      </c>
    </row>
    <row r="6" spans="1:5" ht="18" customHeight="1">
      <c r="A6" s="461">
        <f>IF(B6="","",MAX($A$5:A5)+1)</f>
        <v>1</v>
      </c>
      <c r="B6" s="409" t="s">
        <v>315</v>
      </c>
      <c r="C6" s="409" t="s">
        <v>324</v>
      </c>
      <c r="D6" s="410" t="s">
        <v>335</v>
      </c>
      <c r="E6" s="461">
        <f>IF(B6="","",MAX($A$5:E5)+1)</f>
        <v>1</v>
      </c>
    </row>
    <row r="7" spans="1:5" ht="18" customHeight="1">
      <c r="A7" s="461">
        <f>IF(B7="","",MAX($A$5:A6)+1)</f>
        <v>2</v>
      </c>
      <c r="B7" s="409" t="s">
        <v>326</v>
      </c>
      <c r="C7" s="409" t="s">
        <v>324</v>
      </c>
      <c r="D7" s="410" t="s">
        <v>327</v>
      </c>
      <c r="E7" s="461">
        <f>IF(B7="","",MAX($A$5)+1)</f>
        <v>1</v>
      </c>
    </row>
    <row r="8" spans="1:5" ht="18" customHeight="1">
      <c r="A8" s="461">
        <f>IF(B8="","",MAX($A$5:A7)+1)</f>
        <v>3</v>
      </c>
      <c r="B8" s="409" t="s">
        <v>328</v>
      </c>
      <c r="C8" s="409" t="s">
        <v>329</v>
      </c>
      <c r="D8" s="411" t="s">
        <v>330</v>
      </c>
      <c r="E8" s="461">
        <f t="shared" ref="E8:E34" si="0">IF(B8="","",MAX($A$5)+1)</f>
        <v>1</v>
      </c>
    </row>
    <row r="9" spans="1:5" ht="18" customHeight="1">
      <c r="A9" s="461">
        <f>IF(B9="","",MAX($A$5:A8)+1)</f>
        <v>4</v>
      </c>
      <c r="B9" s="409" t="s">
        <v>336</v>
      </c>
      <c r="C9" s="409" t="s">
        <v>337</v>
      </c>
      <c r="D9" s="411" t="s">
        <v>339</v>
      </c>
      <c r="E9" s="461">
        <f t="shared" si="0"/>
        <v>1</v>
      </c>
    </row>
    <row r="10" spans="1:5" ht="18" customHeight="1">
      <c r="A10" s="461">
        <f>IF(B10="","",MAX($A$5:A9)+1)</f>
        <v>5</v>
      </c>
      <c r="B10" s="409" t="s">
        <v>341</v>
      </c>
      <c r="C10" s="409" t="s">
        <v>337</v>
      </c>
      <c r="D10" s="411" t="s">
        <v>345</v>
      </c>
      <c r="E10" s="461">
        <f t="shared" si="0"/>
        <v>1</v>
      </c>
    </row>
    <row r="11" spans="1:5" ht="18" customHeight="1">
      <c r="A11" s="461">
        <f>IF(B11="","",MAX($A$5:A10)+1)</f>
        <v>6</v>
      </c>
      <c r="B11" s="409" t="s">
        <v>342</v>
      </c>
      <c r="C11" s="409" t="s">
        <v>343</v>
      </c>
      <c r="D11" s="411" t="s">
        <v>344</v>
      </c>
      <c r="E11" s="461">
        <f t="shared" si="0"/>
        <v>1</v>
      </c>
    </row>
    <row r="12" spans="1:5" ht="18" customHeight="1">
      <c r="A12" s="461">
        <f>IF(B12="","",MAX($A$5:A11)+1)</f>
        <v>7</v>
      </c>
      <c r="B12" s="409" t="s">
        <v>346</v>
      </c>
      <c r="C12" s="409" t="s">
        <v>347</v>
      </c>
      <c r="D12" s="411" t="s">
        <v>348</v>
      </c>
      <c r="E12" s="461">
        <f t="shared" si="0"/>
        <v>1</v>
      </c>
    </row>
    <row r="13" spans="1:5" ht="18" customHeight="1">
      <c r="A13" s="461">
        <f>IF(B13="","",MAX($A$5:A12)+1)</f>
        <v>8</v>
      </c>
      <c r="B13" s="409" t="s">
        <v>379</v>
      </c>
      <c r="C13" s="409" t="s">
        <v>382</v>
      </c>
      <c r="D13" s="411" t="s">
        <v>339</v>
      </c>
      <c r="E13" s="461">
        <f t="shared" si="0"/>
        <v>1</v>
      </c>
    </row>
    <row r="14" spans="1:5" ht="18" customHeight="1">
      <c r="A14" s="461">
        <f>IF(B14="","",MAX($A$5:A13)+1)</f>
        <v>9</v>
      </c>
      <c r="B14" s="409" t="s">
        <v>381</v>
      </c>
      <c r="C14" s="409" t="s">
        <v>383</v>
      </c>
      <c r="D14" s="411" t="s">
        <v>335</v>
      </c>
      <c r="E14" s="461">
        <f t="shared" si="0"/>
        <v>1</v>
      </c>
    </row>
    <row r="15" spans="1:5" ht="18" customHeight="1">
      <c r="A15" s="461">
        <f>IF(B15="","",MAX($A$5:A14)+1)</f>
        <v>10</v>
      </c>
      <c r="B15" s="409" t="s">
        <v>384</v>
      </c>
      <c r="C15" s="409" t="s">
        <v>392</v>
      </c>
      <c r="D15" s="411" t="s">
        <v>396</v>
      </c>
      <c r="E15" s="461">
        <f t="shared" si="0"/>
        <v>1</v>
      </c>
    </row>
    <row r="16" spans="1:5" ht="18" customHeight="1">
      <c r="A16" s="461">
        <f>IF(B16="","",MAX($A$5:A15)+1)</f>
        <v>11</v>
      </c>
      <c r="B16" s="409" t="s">
        <v>385</v>
      </c>
      <c r="C16" s="409" t="s">
        <v>394</v>
      </c>
      <c r="D16" s="411" t="s">
        <v>397</v>
      </c>
      <c r="E16" s="461">
        <f t="shared" si="0"/>
        <v>1</v>
      </c>
    </row>
    <row r="17" spans="1:5" ht="18" customHeight="1">
      <c r="A17" s="461">
        <f>IF(B17="","",MAX($A$5:A16)+1)</f>
        <v>12</v>
      </c>
      <c r="B17" s="409" t="s">
        <v>386</v>
      </c>
      <c r="C17" s="409" t="s">
        <v>395</v>
      </c>
      <c r="D17" s="411" t="s">
        <v>398</v>
      </c>
      <c r="E17" s="461">
        <f t="shared" si="0"/>
        <v>1</v>
      </c>
    </row>
    <row r="18" spans="1:5" ht="18" customHeight="1">
      <c r="A18" s="461">
        <f>IF(B18="","",MAX($A$5:A17)+1)</f>
        <v>13</v>
      </c>
      <c r="B18" s="409" t="s">
        <v>387</v>
      </c>
      <c r="C18" s="409" t="s">
        <v>395</v>
      </c>
      <c r="D18" s="411">
        <v>6</v>
      </c>
      <c r="E18" s="461">
        <f t="shared" si="0"/>
        <v>1</v>
      </c>
    </row>
    <row r="19" spans="1:5" ht="18" customHeight="1">
      <c r="A19" s="461">
        <f>IF(B19="","",MAX($A$5:A18)+1)</f>
        <v>14</v>
      </c>
      <c r="B19" s="409" t="s">
        <v>388</v>
      </c>
      <c r="C19" s="409" t="s">
        <v>395</v>
      </c>
      <c r="D19" s="411" t="s">
        <v>389</v>
      </c>
      <c r="E19" s="461">
        <f t="shared" si="0"/>
        <v>1</v>
      </c>
    </row>
    <row r="20" spans="1:5" ht="18" customHeight="1">
      <c r="A20" s="461">
        <f>IF(B20="","",MAX($A$5:A19)+1)</f>
        <v>15</v>
      </c>
      <c r="B20" s="409" t="s">
        <v>390</v>
      </c>
      <c r="C20" s="409" t="s">
        <v>393</v>
      </c>
      <c r="D20" s="411" t="s">
        <v>397</v>
      </c>
      <c r="E20" s="461">
        <f t="shared" si="0"/>
        <v>1</v>
      </c>
    </row>
    <row r="21" spans="1:5" ht="18" customHeight="1">
      <c r="A21" s="461">
        <f>IF(B21="","",MAX($A$5:A20)+1)</f>
        <v>16</v>
      </c>
      <c r="B21" s="409" t="s">
        <v>391</v>
      </c>
      <c r="C21" s="409" t="s">
        <v>382</v>
      </c>
      <c r="D21" s="411" t="s">
        <v>399</v>
      </c>
      <c r="E21" s="461">
        <f t="shared" si="0"/>
        <v>1</v>
      </c>
    </row>
    <row r="22" spans="1:5" ht="18" customHeight="1">
      <c r="A22" s="461">
        <f>IF(B22="","",MAX($A$5:A21)+1)</f>
        <v>17</v>
      </c>
      <c r="B22" s="409" t="s">
        <v>406</v>
      </c>
      <c r="C22" s="409" t="s">
        <v>392</v>
      </c>
      <c r="D22" s="411" t="s">
        <v>410</v>
      </c>
      <c r="E22" s="461">
        <f t="shared" si="0"/>
        <v>1</v>
      </c>
    </row>
    <row r="23" spans="1:5" ht="18" customHeight="1">
      <c r="A23" s="461">
        <f>IF(B23="","",MAX($A$5:A22)+1)</f>
        <v>18</v>
      </c>
      <c r="B23" s="409" t="s">
        <v>407</v>
      </c>
      <c r="C23" s="409" t="s">
        <v>392</v>
      </c>
      <c r="D23" s="411" t="s">
        <v>411</v>
      </c>
      <c r="E23" s="461">
        <f t="shared" si="0"/>
        <v>1</v>
      </c>
    </row>
    <row r="24" spans="1:5" ht="18" customHeight="1">
      <c r="A24" s="461">
        <f>IF(B24="","",MAX($A$5:A23)+1)</f>
        <v>19</v>
      </c>
      <c r="B24" s="409" t="s">
        <v>409</v>
      </c>
      <c r="C24" s="409" t="s">
        <v>392</v>
      </c>
      <c r="D24" s="411" t="s">
        <v>408</v>
      </c>
      <c r="E24" s="461">
        <f t="shared" si="0"/>
        <v>1</v>
      </c>
    </row>
    <row r="25" spans="1:5" ht="18" customHeight="1">
      <c r="A25" s="461" t="str">
        <f>IF(B25="","",MAX($A$5:A24)+1)</f>
        <v/>
      </c>
      <c r="B25" s="409"/>
      <c r="C25" s="409"/>
      <c r="D25" s="411"/>
      <c r="E25" s="461" t="str">
        <f t="shared" si="0"/>
        <v/>
      </c>
    </row>
    <row r="26" spans="1:5" ht="18" customHeight="1">
      <c r="A26" s="461" t="str">
        <f>IF(B26="","",MAX($A$5:A25)+1)</f>
        <v/>
      </c>
      <c r="B26" s="409"/>
      <c r="C26" s="409"/>
      <c r="D26" s="411"/>
      <c r="E26" s="461" t="str">
        <f t="shared" si="0"/>
        <v/>
      </c>
    </row>
    <row r="27" spans="1:5" ht="18" customHeight="1">
      <c r="A27" s="461" t="str">
        <f>IF(B27="","",MAX($A$5:A26)+1)</f>
        <v/>
      </c>
      <c r="B27" s="409"/>
      <c r="C27" s="409"/>
      <c r="D27" s="411"/>
      <c r="E27" s="461" t="str">
        <f t="shared" si="0"/>
        <v/>
      </c>
    </row>
    <row r="28" spans="1:5" ht="18" customHeight="1">
      <c r="A28" s="461" t="str">
        <f>IF(B28="","",MAX($A$5:A27)+1)</f>
        <v/>
      </c>
      <c r="B28" s="409"/>
      <c r="C28" s="409"/>
      <c r="D28" s="411"/>
      <c r="E28" s="461" t="str">
        <f t="shared" si="0"/>
        <v/>
      </c>
    </row>
    <row r="29" spans="1:5" ht="18" customHeight="1">
      <c r="A29" s="461" t="str">
        <f>IF(B29="","",MAX($A$5:A28)+1)</f>
        <v/>
      </c>
      <c r="B29" s="409"/>
      <c r="C29" s="409"/>
      <c r="D29" s="411"/>
      <c r="E29" s="461" t="str">
        <f t="shared" si="0"/>
        <v/>
      </c>
    </row>
    <row r="30" spans="1:5" ht="18" customHeight="1">
      <c r="A30" s="461" t="str">
        <f>IF(B30="","",MAX($A$5:A29)+1)</f>
        <v/>
      </c>
      <c r="B30" s="409"/>
      <c r="C30" s="409"/>
      <c r="D30" s="411"/>
      <c r="E30" s="461" t="str">
        <f t="shared" si="0"/>
        <v/>
      </c>
    </row>
    <row r="31" spans="1:5" ht="18" customHeight="1">
      <c r="A31" s="461" t="str">
        <f>IF(B31="","",MAX($A$5:A30)+1)</f>
        <v/>
      </c>
      <c r="B31" s="412"/>
      <c r="C31" s="413"/>
      <c r="D31" s="414"/>
      <c r="E31" s="461" t="str">
        <f t="shared" si="0"/>
        <v/>
      </c>
    </row>
    <row r="32" spans="1:5" ht="18" customHeight="1">
      <c r="A32" s="461" t="str">
        <f>IF(B32="","",MAX($A$5:A31)+1)</f>
        <v/>
      </c>
      <c r="B32" s="412"/>
      <c r="C32" s="413"/>
      <c r="D32" s="414"/>
      <c r="E32" s="461" t="str">
        <f t="shared" si="0"/>
        <v/>
      </c>
    </row>
    <row r="33" spans="1:5" ht="18" customHeight="1">
      <c r="A33" s="461" t="str">
        <f>IF(B33="","",MAX($A$5:A32)+1)</f>
        <v/>
      </c>
      <c r="B33" s="412"/>
      <c r="C33" s="413"/>
      <c r="D33" s="414"/>
      <c r="E33" s="461" t="str">
        <f t="shared" si="0"/>
        <v/>
      </c>
    </row>
    <row r="34" spans="1:5" ht="18" customHeight="1">
      <c r="A34" s="461" t="str">
        <f>IF(B34="","",MAX($A$5:A33)+1)</f>
        <v/>
      </c>
      <c r="B34" s="412"/>
      <c r="C34" s="413"/>
      <c r="D34" s="414"/>
      <c r="E34" s="461" t="str">
        <f t="shared" si="0"/>
        <v/>
      </c>
    </row>
    <row r="35" spans="1:5" ht="21" customHeight="1">
      <c r="A35" s="1078" t="s">
        <v>165</v>
      </c>
      <c r="B35" s="1079"/>
      <c r="C35" s="1079"/>
      <c r="D35" s="1078" t="s">
        <v>166</v>
      </c>
      <c r="E35" s="1080"/>
    </row>
    <row r="36" spans="1:5" ht="21" customHeight="1">
      <c r="A36" s="1084" t="s">
        <v>167</v>
      </c>
      <c r="B36" s="1085"/>
      <c r="C36" s="1085" t="s">
        <v>168</v>
      </c>
      <c r="D36" s="459" t="s">
        <v>167</v>
      </c>
      <c r="E36" s="415"/>
    </row>
    <row r="37" spans="1:5" ht="21.4" customHeight="1">
      <c r="A37" s="1086" t="s">
        <v>524</v>
      </c>
      <c r="B37" s="1087"/>
      <c r="C37" s="1087"/>
      <c r="D37" s="1086" t="s">
        <v>169</v>
      </c>
      <c r="E37" s="1088"/>
    </row>
    <row r="38" spans="1:5" ht="21" customHeight="1">
      <c r="A38" s="1089" t="s">
        <v>170</v>
      </c>
      <c r="B38" s="1090"/>
      <c r="C38" s="1090" t="s">
        <v>170</v>
      </c>
      <c r="D38" s="460" t="s">
        <v>170</v>
      </c>
      <c r="E38" s="416"/>
    </row>
    <row r="39" spans="1:5" ht="30" customHeight="1">
      <c r="A39" s="1089"/>
      <c r="B39" s="1090"/>
      <c r="C39" s="1090"/>
      <c r="D39" s="460"/>
      <c r="E39" s="416"/>
    </row>
    <row r="40" spans="1:5" ht="21" customHeight="1">
      <c r="A40" s="1081" t="s">
        <v>413</v>
      </c>
      <c r="B40" s="1082"/>
      <c r="C40" s="1082" t="s">
        <v>171</v>
      </c>
      <c r="D40" s="1081" t="str">
        <f>A40</f>
        <v>Date :      00/04/2025</v>
      </c>
      <c r="E40" s="1083"/>
    </row>
  </sheetData>
  <sheetProtection formatCells="0" formatColumns="0" formatRows="0" insertColumns="0" insertRows="0" insertHyperlinks="0" deleteColumns="0" deleteRows="0" sort="0" autoFilter="0" pivotTables="0"/>
  <mergeCells count="13">
    <mergeCell ref="A40:C40"/>
    <mergeCell ref="D40:E40"/>
    <mergeCell ref="A36:C36"/>
    <mergeCell ref="A37:C37"/>
    <mergeCell ref="D37:E37"/>
    <mergeCell ref="A38:C38"/>
    <mergeCell ref="A39:C39"/>
    <mergeCell ref="A1:E1"/>
    <mergeCell ref="A2:E2"/>
    <mergeCell ref="A3:E3"/>
    <mergeCell ref="A4:E4"/>
    <mergeCell ref="A35:C35"/>
    <mergeCell ref="D35:E35"/>
  </mergeCells>
  <phoneticPr fontId="157" type="noConversion"/>
  <pageMargins left="0.70866141732283472" right="0.23622047244094491" top="0.27559055118110237" bottom="0.31496062992125984" header="0.19685039370078741" footer="0"/>
  <pageSetup paperSize="9" orientation="portrait" r:id="rId1"/>
  <headerFooter>
    <oddFooter>&amp;CPage &amp;P of &amp;N</oddFooter>
  </headerFooter>
  <ignoredErrors>
    <ignoredError sqref="A6:E24 A25:E34" unlockedFormula="1"/>
  </ignoredErrors>
  <drawing r:id="rId2"/>
  <legacyDrawing r:id="rId3"/>
  <oleObjects>
    <mc:AlternateContent xmlns:mc="http://schemas.openxmlformats.org/markup-compatibility/2006">
      <mc:Choice Requires="x14">
        <oleObject progId="PBrush" shapeId="13493249" r:id="rId4">
          <objectPr defaultSize="0" autoPict="0" altText="" r:id="rId5">
            <anchor moveWithCells="1" sizeWithCells="1">
              <from>
                <xdr:col>0</xdr:col>
                <xdr:colOff>41910</xdr:colOff>
                <xdr:row>0</xdr:row>
                <xdr:rowOff>57150</xdr:rowOff>
              </from>
              <to>
                <xdr:col>1</xdr:col>
                <xdr:colOff>697230</xdr:colOff>
                <xdr:row>2</xdr:row>
                <xdr:rowOff>228600</xdr:rowOff>
              </to>
            </anchor>
          </objectPr>
        </oleObject>
      </mc:Choice>
      <mc:Fallback>
        <oleObject progId="PBrush" shapeId="1349324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0">
    <tabColor theme="9" tint="0.39997558519241921"/>
  </sheetPr>
  <dimension ref="A1:S43"/>
  <sheetViews>
    <sheetView showGridLines="0" topLeftCell="A28" zoomScaleNormal="100" workbookViewId="0">
      <selection activeCell="D42" sqref="D42:E42"/>
    </sheetView>
  </sheetViews>
  <sheetFormatPr defaultColWidth="0" defaultRowHeight="12.3" zeroHeight="1"/>
  <cols>
    <col min="1" max="1" width="4.71875" style="4" customWidth="1"/>
    <col min="2" max="2" width="9.38671875" style="4" customWidth="1"/>
    <col min="3" max="3" width="3.109375" style="4" hidden="1" customWidth="1"/>
    <col min="4" max="4" width="7" style="4" customWidth="1"/>
    <col min="5" max="5" width="8.27734375" style="4" customWidth="1"/>
    <col min="6" max="6" width="3.27734375" style="4" customWidth="1"/>
    <col min="7" max="7" width="1.71875" style="4" customWidth="1"/>
    <col min="8" max="8" width="2" style="4" customWidth="1"/>
    <col min="9" max="9" width="2.27734375" style="4" customWidth="1"/>
    <col min="10" max="10" width="10" style="4" customWidth="1"/>
    <col min="11" max="11" width="3.38671875" style="4" customWidth="1"/>
    <col min="12" max="12" width="2.27734375" style="4" customWidth="1"/>
    <col min="13" max="13" width="3.71875" style="4" customWidth="1"/>
    <col min="14" max="14" width="8.88671875" style="4" customWidth="1"/>
    <col min="15" max="15" width="2.38671875" style="4" customWidth="1"/>
    <col min="16" max="16" width="6.38671875" style="4" customWidth="1"/>
    <col min="17" max="17" width="7.71875" style="4" customWidth="1"/>
    <col min="18" max="18" width="10.71875" style="4" customWidth="1"/>
    <col min="19" max="19" width="9.109375" style="4" customWidth="1"/>
    <col min="20" max="16384" width="9.109375" style="4" hidden="1"/>
  </cols>
  <sheetData>
    <row r="1" spans="1:18" ht="12.75" customHeight="1">
      <c r="A1" s="1193"/>
      <c r="B1" s="1194"/>
      <c r="C1" s="1199" t="s">
        <v>207</v>
      </c>
      <c r="D1" s="1200"/>
      <c r="E1" s="1200"/>
      <c r="F1" s="1200"/>
      <c r="G1" s="1200"/>
      <c r="H1" s="1200"/>
      <c r="I1" s="1200"/>
      <c r="J1" s="1200"/>
      <c r="K1" s="1200"/>
      <c r="L1" s="1200"/>
      <c r="M1" s="1200"/>
      <c r="N1" s="1200"/>
      <c r="O1" s="1201"/>
      <c r="P1" s="1205" t="s">
        <v>208</v>
      </c>
      <c r="Q1" s="1206"/>
      <c r="R1" s="1207"/>
    </row>
    <row r="2" spans="1:18" ht="15" customHeight="1">
      <c r="A2" s="1195"/>
      <c r="B2" s="1196"/>
      <c r="C2" s="1202"/>
      <c r="D2" s="1203"/>
      <c r="E2" s="1203"/>
      <c r="F2" s="1203"/>
      <c r="G2" s="1203"/>
      <c r="H2" s="1203"/>
      <c r="I2" s="1203"/>
      <c r="J2" s="1203"/>
      <c r="K2" s="1203"/>
      <c r="L2" s="1203"/>
      <c r="M2" s="1203"/>
      <c r="N2" s="1203"/>
      <c r="O2" s="1204"/>
      <c r="P2" s="1187" t="s">
        <v>448</v>
      </c>
      <c r="Q2" s="1188"/>
      <c r="R2" s="1208"/>
    </row>
    <row r="3" spans="1:18" ht="16.05" customHeight="1">
      <c r="A3" s="1195"/>
      <c r="B3" s="1196"/>
      <c r="C3" s="1209" t="s">
        <v>209</v>
      </c>
      <c r="D3" s="1210"/>
      <c r="E3" s="1210"/>
      <c r="F3" s="1210"/>
      <c r="G3" s="1210"/>
      <c r="H3" s="1210"/>
      <c r="I3" s="1210"/>
      <c r="J3" s="1210"/>
      <c r="K3" s="1210"/>
      <c r="L3" s="1210"/>
      <c r="M3" s="1210"/>
      <c r="N3" s="1210"/>
      <c r="O3" s="1211"/>
      <c r="P3" s="1212" t="s">
        <v>452</v>
      </c>
      <c r="Q3" s="1213"/>
      <c r="R3" s="1214"/>
    </row>
    <row r="4" spans="1:18" ht="17.25" customHeight="1">
      <c r="A4" s="1195"/>
      <c r="B4" s="1196"/>
      <c r="C4" s="1215" t="s">
        <v>210</v>
      </c>
      <c r="D4" s="1216"/>
      <c r="E4" s="1216"/>
      <c r="F4" s="1216"/>
      <c r="G4" s="1216"/>
      <c r="H4" s="1216"/>
      <c r="I4" s="1216"/>
      <c r="J4" s="1216"/>
      <c r="K4" s="1216"/>
      <c r="L4" s="1216"/>
      <c r="M4" s="1216"/>
      <c r="N4" s="1216"/>
      <c r="O4" s="1217"/>
      <c r="P4" s="1187" t="s">
        <v>446</v>
      </c>
      <c r="Q4" s="1218"/>
      <c r="R4" s="1219"/>
    </row>
    <row r="5" spans="1:18" ht="13.5" customHeight="1">
      <c r="A5" s="1195"/>
      <c r="B5" s="1196"/>
      <c r="C5" s="98"/>
      <c r="D5" s="1216" t="s">
        <v>211</v>
      </c>
      <c r="E5" s="1216"/>
      <c r="F5" s="1216"/>
      <c r="G5" s="1216"/>
      <c r="H5" s="1216"/>
      <c r="I5" s="1216"/>
      <c r="J5" s="1216"/>
      <c r="K5" s="1216"/>
      <c r="L5" s="1216"/>
      <c r="M5" s="1216"/>
      <c r="N5" s="1216"/>
      <c r="O5" s="1217"/>
      <c r="P5" s="1187" t="s">
        <v>447</v>
      </c>
      <c r="Q5" s="1188"/>
      <c r="R5" s="1208"/>
    </row>
    <row r="6" spans="1:18" ht="13.8">
      <c r="A6" s="1197"/>
      <c r="B6" s="1198"/>
      <c r="C6" s="1180"/>
      <c r="D6" s="1181"/>
      <c r="E6" s="1181"/>
      <c r="F6" s="1181"/>
      <c r="G6" s="1181"/>
      <c r="H6" s="1181"/>
      <c r="I6" s="1181"/>
      <c r="J6" s="1181"/>
      <c r="K6" s="1181"/>
      <c r="L6" s="1181"/>
      <c r="M6" s="1181"/>
      <c r="N6" s="1181"/>
      <c r="O6" s="1182"/>
      <c r="P6" s="1183" t="s">
        <v>420</v>
      </c>
      <c r="Q6" s="1172"/>
      <c r="R6" s="1173"/>
    </row>
    <row r="7" spans="1:18" ht="14.25" customHeight="1">
      <c r="A7" s="1184" t="s">
        <v>212</v>
      </c>
      <c r="B7" s="1185"/>
      <c r="C7" s="1185"/>
      <c r="D7" s="1185"/>
      <c r="E7" s="1185"/>
      <c r="F7" s="1185"/>
      <c r="G7" s="1185"/>
      <c r="H7" s="1185"/>
      <c r="I7" s="1186"/>
      <c r="J7" s="1187" t="s">
        <v>438</v>
      </c>
      <c r="K7" s="1188"/>
      <c r="L7" s="1188"/>
      <c r="M7" s="1188"/>
      <c r="N7" s="1188"/>
      <c r="O7" s="1188"/>
      <c r="P7" s="1169"/>
      <c r="Q7" s="1169"/>
      <c r="R7" s="1170"/>
    </row>
    <row r="8" spans="1:18">
      <c r="A8" s="1189" t="s">
        <v>334</v>
      </c>
      <c r="B8" s="1190"/>
      <c r="C8" s="1190"/>
      <c r="D8" s="1190"/>
      <c r="E8" s="1190"/>
      <c r="F8" s="1190"/>
      <c r="G8" s="1190"/>
      <c r="H8" s="1190"/>
      <c r="I8" s="1191"/>
      <c r="J8" s="1192" t="s">
        <v>312</v>
      </c>
      <c r="K8" s="1190"/>
      <c r="L8" s="1190"/>
      <c r="M8" s="1190"/>
      <c r="N8" s="1190"/>
      <c r="O8" s="1190"/>
      <c r="P8" s="1190"/>
      <c r="Q8" s="1190"/>
      <c r="R8" s="1191"/>
    </row>
    <row r="9" spans="1:18" ht="15" customHeight="1">
      <c r="A9" s="1165" t="s">
        <v>437</v>
      </c>
      <c r="B9" s="1166"/>
      <c r="C9" s="1166"/>
      <c r="D9" s="1166"/>
      <c r="E9" s="1166"/>
      <c r="F9" s="1166"/>
      <c r="G9" s="1166"/>
      <c r="H9" s="1166"/>
      <c r="I9" s="1167"/>
      <c r="J9" s="1168" t="s">
        <v>439</v>
      </c>
      <c r="K9" s="1169"/>
      <c r="L9" s="1169"/>
      <c r="M9" s="1169"/>
      <c r="N9" s="1169"/>
      <c r="O9" s="1169"/>
      <c r="P9" s="1169"/>
      <c r="Q9" s="1169"/>
      <c r="R9" s="1170"/>
    </row>
    <row r="10" spans="1:18" ht="15" customHeight="1">
      <c r="A10" s="1171" t="s">
        <v>213</v>
      </c>
      <c r="B10" s="1172"/>
      <c r="C10" s="1172"/>
      <c r="D10" s="1172"/>
      <c r="E10" s="1172"/>
      <c r="F10" s="1172"/>
      <c r="G10" s="1172"/>
      <c r="H10" s="1172"/>
      <c r="I10" s="1173"/>
      <c r="J10" s="1174" t="s">
        <v>440</v>
      </c>
      <c r="K10" s="1175"/>
      <c r="L10" s="1175"/>
      <c r="M10" s="1175"/>
      <c r="N10" s="1175"/>
      <c r="O10" s="1175"/>
      <c r="P10" s="1175"/>
      <c r="Q10" s="1175"/>
      <c r="R10" s="1176"/>
    </row>
    <row r="11" spans="1:18" ht="15" customHeight="1">
      <c r="A11" s="1162" t="s">
        <v>431</v>
      </c>
      <c r="B11" s="1163"/>
      <c r="C11" s="1163"/>
      <c r="D11" s="1163"/>
      <c r="E11" s="1164"/>
      <c r="F11" s="1159" t="s">
        <v>430</v>
      </c>
      <c r="G11" s="1160"/>
      <c r="H11" s="1160"/>
      <c r="I11" s="1160"/>
      <c r="J11" s="1160"/>
      <c r="K11" s="1160"/>
      <c r="L11" s="1160"/>
      <c r="M11" s="1161"/>
      <c r="N11" s="1177" t="s">
        <v>429</v>
      </c>
      <c r="O11" s="1178"/>
      <c r="P11" s="1178"/>
      <c r="Q11" s="1178"/>
      <c r="R11" s="1179"/>
    </row>
    <row r="12" spans="1:18" ht="19.5" customHeight="1">
      <c r="A12" s="1154" t="s">
        <v>214</v>
      </c>
      <c r="B12" s="1155"/>
      <c r="C12" s="1155"/>
      <c r="D12" s="1155"/>
      <c r="E12" s="1156"/>
      <c r="F12" s="1131" t="s">
        <v>449</v>
      </c>
      <c r="G12" s="1132"/>
      <c r="H12" s="1132"/>
      <c r="I12" s="1132"/>
      <c r="J12" s="1132"/>
      <c r="K12" s="1132"/>
      <c r="L12" s="1132"/>
      <c r="M12" s="1133"/>
      <c r="N12" s="1131" t="s">
        <v>441</v>
      </c>
      <c r="O12" s="1132"/>
      <c r="P12" s="1132"/>
      <c r="Q12" s="1132"/>
      <c r="R12" s="1133"/>
    </row>
    <row r="13" spans="1:18" ht="14.25" customHeight="1">
      <c r="A13" s="1157" t="s">
        <v>434</v>
      </c>
      <c r="B13" s="1158"/>
      <c r="C13" s="1158"/>
      <c r="D13" s="1158"/>
      <c r="E13" s="1158"/>
      <c r="F13" s="1159" t="s">
        <v>432</v>
      </c>
      <c r="G13" s="1160"/>
      <c r="H13" s="1160"/>
      <c r="I13" s="1160"/>
      <c r="J13" s="1160"/>
      <c r="K13" s="1160"/>
      <c r="L13" s="1160"/>
      <c r="M13" s="1161"/>
      <c r="N13" s="1162" t="s">
        <v>433</v>
      </c>
      <c r="O13" s="1163"/>
      <c r="P13" s="1163"/>
      <c r="Q13" s="1163"/>
      <c r="R13" s="1164"/>
    </row>
    <row r="14" spans="1:18" s="6" customFormat="1" ht="19.5" customHeight="1">
      <c r="A14" s="1144" t="s">
        <v>444</v>
      </c>
      <c r="B14" s="1145"/>
      <c r="C14" s="1145"/>
      <c r="D14" s="1145"/>
      <c r="E14" s="1145"/>
      <c r="F14" s="1131" t="s">
        <v>443</v>
      </c>
      <c r="G14" s="1132"/>
      <c r="H14" s="1132"/>
      <c r="I14" s="1132"/>
      <c r="J14" s="1132"/>
      <c r="K14" s="1132"/>
      <c r="L14" s="1132"/>
      <c r="M14" s="1133"/>
      <c r="N14" s="1134" t="s">
        <v>442</v>
      </c>
      <c r="O14" s="1146"/>
      <c r="P14" s="1146"/>
      <c r="Q14" s="1146"/>
      <c r="R14" s="1147"/>
    </row>
    <row r="15" spans="1:18" ht="14.25" customHeight="1">
      <c r="A15" s="1148" t="s">
        <v>215</v>
      </c>
      <c r="B15" s="1149"/>
      <c r="C15" s="1149"/>
      <c r="D15" s="1149"/>
      <c r="E15" s="1150"/>
      <c r="F15" s="1151" t="s">
        <v>435</v>
      </c>
      <c r="G15" s="1152"/>
      <c r="H15" s="1152"/>
      <c r="I15" s="1152"/>
      <c r="J15" s="1152"/>
      <c r="K15" s="1152"/>
      <c r="L15" s="1152"/>
      <c r="M15" s="1153"/>
      <c r="N15" s="1151" t="s">
        <v>436</v>
      </c>
      <c r="O15" s="1152"/>
      <c r="P15" s="1152"/>
      <c r="Q15" s="1152"/>
      <c r="R15" s="1153"/>
    </row>
    <row r="16" spans="1:18" ht="18" customHeight="1">
      <c r="A16" s="1131" t="s">
        <v>445</v>
      </c>
      <c r="B16" s="1132"/>
      <c r="C16" s="1132"/>
      <c r="D16" s="1132"/>
      <c r="E16" s="1133"/>
      <c r="F16" s="1134" t="s">
        <v>450</v>
      </c>
      <c r="G16" s="1135"/>
      <c r="H16" s="1135"/>
      <c r="I16" s="1135"/>
      <c r="J16" s="1135"/>
      <c r="K16" s="1135"/>
      <c r="L16" s="1135"/>
      <c r="M16" s="1136"/>
      <c r="N16" s="1137" t="s">
        <v>216</v>
      </c>
      <c r="O16" s="1138"/>
      <c r="P16" s="1138"/>
      <c r="Q16" s="1138"/>
      <c r="R16" s="1139"/>
    </row>
    <row r="17" spans="1:18" s="7" customFormat="1" ht="74.400000000000006" customHeight="1">
      <c r="A17" s="441" t="s">
        <v>193</v>
      </c>
      <c r="B17" s="1140" t="s">
        <v>217</v>
      </c>
      <c r="C17" s="1141"/>
      <c r="D17" s="1141"/>
      <c r="E17" s="1142"/>
      <c r="F17" s="1140" t="s">
        <v>218</v>
      </c>
      <c r="G17" s="1141"/>
      <c r="H17" s="1141"/>
      <c r="I17" s="1142"/>
      <c r="J17" s="442" t="s">
        <v>219</v>
      </c>
      <c r="K17" s="1143" t="s">
        <v>220</v>
      </c>
      <c r="L17" s="1141"/>
      <c r="M17" s="1142"/>
      <c r="N17" s="442" t="s">
        <v>221</v>
      </c>
      <c r="O17" s="1140" t="s">
        <v>222</v>
      </c>
      <c r="P17" s="1142"/>
      <c r="Q17" s="443" t="s">
        <v>223</v>
      </c>
      <c r="R17" s="443" t="s">
        <v>224</v>
      </c>
    </row>
    <row r="18" spans="1:18" ht="19.5" customHeight="1">
      <c r="A18" s="449">
        <f>IF(F18="","",MAX($A$17:A17)+1)</f>
        <v>1</v>
      </c>
      <c r="B18" s="1124" t="s">
        <v>427</v>
      </c>
      <c r="C18" s="1125"/>
      <c r="D18" s="1125"/>
      <c r="E18" s="1126"/>
      <c r="F18" s="1112">
        <v>15</v>
      </c>
      <c r="G18" s="1125"/>
      <c r="H18" s="1125"/>
      <c r="I18" s="1126"/>
      <c r="J18" s="438" t="s">
        <v>414</v>
      </c>
      <c r="K18" s="1112" t="s">
        <v>340</v>
      </c>
      <c r="L18" s="1113"/>
      <c r="M18" s="1114"/>
      <c r="N18" s="439" t="s">
        <v>195</v>
      </c>
      <c r="O18" s="1127" t="s">
        <v>195</v>
      </c>
      <c r="P18" s="1128"/>
      <c r="Q18" s="440" t="s">
        <v>195</v>
      </c>
      <c r="R18" s="440" t="s">
        <v>154</v>
      </c>
    </row>
    <row r="19" spans="1:18" ht="20.100000000000001" customHeight="1">
      <c r="A19" s="449" t="str">
        <f>IF(F19="","",MAX($A$17:A18)+1)</f>
        <v/>
      </c>
      <c r="B19" s="1108" t="s">
        <v>451</v>
      </c>
      <c r="C19" s="1109"/>
      <c r="D19" s="1109"/>
      <c r="E19" s="1110"/>
      <c r="F19" s="1111"/>
      <c r="G19" s="1111"/>
      <c r="H19" s="1111"/>
      <c r="I19" s="1111"/>
      <c r="J19" s="94"/>
      <c r="K19" s="1123"/>
      <c r="L19" s="1109"/>
      <c r="M19" s="1110"/>
      <c r="N19" s="5"/>
      <c r="O19" s="1129"/>
      <c r="P19" s="1130"/>
      <c r="Q19" s="5"/>
      <c r="R19" s="5"/>
    </row>
    <row r="20" spans="1:18" ht="20.100000000000001" customHeight="1">
      <c r="A20" s="449">
        <f>IF(F20="","",MAX($A$17:A19)+1)</f>
        <v>2</v>
      </c>
      <c r="B20" s="1108" t="s">
        <v>196</v>
      </c>
      <c r="C20" s="1109"/>
      <c r="D20" s="1109"/>
      <c r="E20" s="1110"/>
      <c r="F20" s="1123">
        <v>16</v>
      </c>
      <c r="G20" s="1109"/>
      <c r="H20" s="1109"/>
      <c r="I20" s="1110"/>
      <c r="J20" s="95" t="s">
        <v>414</v>
      </c>
      <c r="K20" s="1112" t="s">
        <v>340</v>
      </c>
      <c r="L20" s="1113"/>
      <c r="M20" s="1114"/>
      <c r="N20" s="17" t="s">
        <v>195</v>
      </c>
      <c r="O20" s="1115" t="s">
        <v>195</v>
      </c>
      <c r="P20" s="1116"/>
      <c r="Q20" s="96" t="s">
        <v>195</v>
      </c>
      <c r="R20" s="18" t="s">
        <v>154</v>
      </c>
    </row>
    <row r="21" spans="1:18" ht="20.100000000000001" customHeight="1">
      <c r="A21" s="449">
        <f>IF(F21="","",MAX($A$17:A20)+1)</f>
        <v>3</v>
      </c>
      <c r="B21" s="1108" t="s">
        <v>196</v>
      </c>
      <c r="C21" s="1109"/>
      <c r="D21" s="1109"/>
      <c r="E21" s="1110"/>
      <c r="F21" s="1123">
        <v>18</v>
      </c>
      <c r="G21" s="1109"/>
      <c r="H21" s="1109"/>
      <c r="I21" s="1110"/>
      <c r="J21" s="95" t="s">
        <v>414</v>
      </c>
      <c r="K21" s="1112" t="s">
        <v>340</v>
      </c>
      <c r="L21" s="1113"/>
      <c r="M21" s="1114"/>
      <c r="N21" s="17" t="s">
        <v>195</v>
      </c>
      <c r="O21" s="1115" t="s">
        <v>195</v>
      </c>
      <c r="P21" s="1116"/>
      <c r="Q21" s="96" t="s">
        <v>195</v>
      </c>
      <c r="R21" s="18" t="s">
        <v>154</v>
      </c>
    </row>
    <row r="22" spans="1:18" ht="20.100000000000001" customHeight="1">
      <c r="A22" s="449">
        <f>IF(F22="","",MAX($A$17:A21)+1)</f>
        <v>4</v>
      </c>
      <c r="B22" s="1108" t="s">
        <v>196</v>
      </c>
      <c r="C22" s="1109"/>
      <c r="D22" s="1109"/>
      <c r="E22" s="1110"/>
      <c r="F22" s="1123">
        <v>19</v>
      </c>
      <c r="G22" s="1109"/>
      <c r="H22" s="1109"/>
      <c r="I22" s="1110"/>
      <c r="J22" s="95" t="s">
        <v>414</v>
      </c>
      <c r="K22" s="1112" t="s">
        <v>340</v>
      </c>
      <c r="L22" s="1113"/>
      <c r="M22" s="1114"/>
      <c r="N22" s="17" t="s">
        <v>195</v>
      </c>
      <c r="O22" s="1115" t="s">
        <v>195</v>
      </c>
      <c r="P22" s="1116"/>
      <c r="Q22" s="96" t="s">
        <v>195</v>
      </c>
      <c r="R22" s="18" t="s">
        <v>154</v>
      </c>
    </row>
    <row r="23" spans="1:18" ht="20.100000000000001" customHeight="1">
      <c r="A23" s="449">
        <f>IF(F23="","",MAX($A$17:A22)+1)</f>
        <v>5</v>
      </c>
      <c r="B23" s="1108" t="s">
        <v>196</v>
      </c>
      <c r="C23" s="1109"/>
      <c r="D23" s="1109"/>
      <c r="E23" s="1110"/>
      <c r="F23" s="1123">
        <v>21</v>
      </c>
      <c r="G23" s="1109"/>
      <c r="H23" s="1109"/>
      <c r="I23" s="1110"/>
      <c r="J23" s="95" t="s">
        <v>414</v>
      </c>
      <c r="K23" s="1112" t="s">
        <v>340</v>
      </c>
      <c r="L23" s="1113"/>
      <c r="M23" s="1114"/>
      <c r="N23" s="17" t="s">
        <v>195</v>
      </c>
      <c r="O23" s="1115" t="s">
        <v>195</v>
      </c>
      <c r="P23" s="1116"/>
      <c r="Q23" s="96" t="s">
        <v>195</v>
      </c>
      <c r="R23" s="18" t="s">
        <v>154</v>
      </c>
    </row>
    <row r="24" spans="1:18" ht="20.100000000000001" customHeight="1">
      <c r="A24" s="449">
        <f>IF(F24="","",MAX($A$17:A23)+1)</f>
        <v>6</v>
      </c>
      <c r="B24" s="1108" t="s">
        <v>196</v>
      </c>
      <c r="C24" s="1109"/>
      <c r="D24" s="1109"/>
      <c r="E24" s="1110"/>
      <c r="F24" s="1111">
        <v>22</v>
      </c>
      <c r="G24" s="1111"/>
      <c r="H24" s="1111"/>
      <c r="I24" s="1111"/>
      <c r="J24" s="95" t="s">
        <v>414</v>
      </c>
      <c r="K24" s="1112" t="s">
        <v>340</v>
      </c>
      <c r="L24" s="1113"/>
      <c r="M24" s="1114"/>
      <c r="N24" s="17" t="s">
        <v>195</v>
      </c>
      <c r="O24" s="1115" t="s">
        <v>195</v>
      </c>
      <c r="P24" s="1116"/>
      <c r="Q24" s="96" t="s">
        <v>195</v>
      </c>
      <c r="R24" s="18" t="s">
        <v>154</v>
      </c>
    </row>
    <row r="25" spans="1:18" ht="20.100000000000001" customHeight="1">
      <c r="A25" s="449">
        <f>IF(F25="","",MAX($A$17:A24)+1)</f>
        <v>7</v>
      </c>
      <c r="B25" s="1108" t="s">
        <v>196</v>
      </c>
      <c r="C25" s="1109"/>
      <c r="D25" s="1109"/>
      <c r="E25" s="1110"/>
      <c r="F25" s="1123">
        <v>23</v>
      </c>
      <c r="G25" s="1109"/>
      <c r="H25" s="1109"/>
      <c r="I25" s="1110"/>
      <c r="J25" s="95" t="s">
        <v>414</v>
      </c>
      <c r="K25" s="1112" t="s">
        <v>340</v>
      </c>
      <c r="L25" s="1113"/>
      <c r="M25" s="1114"/>
      <c r="N25" s="17" t="s">
        <v>195</v>
      </c>
      <c r="O25" s="1115" t="s">
        <v>195</v>
      </c>
      <c r="P25" s="1116"/>
      <c r="Q25" s="96" t="s">
        <v>195</v>
      </c>
      <c r="R25" s="18" t="s">
        <v>154</v>
      </c>
    </row>
    <row r="26" spans="1:18" ht="20.100000000000001" customHeight="1">
      <c r="A26" s="449" t="str">
        <f>IF(F26="","",MAX($A$17:A25)+1)</f>
        <v/>
      </c>
      <c r="B26" s="1108"/>
      <c r="C26" s="1109"/>
      <c r="D26" s="1109"/>
      <c r="E26" s="1110"/>
      <c r="F26" s="1123"/>
      <c r="G26" s="1109"/>
      <c r="H26" s="1109"/>
      <c r="I26" s="1110"/>
      <c r="J26" s="95"/>
      <c r="K26" s="1112"/>
      <c r="L26" s="1113"/>
      <c r="M26" s="1114"/>
      <c r="N26" s="17"/>
      <c r="O26" s="1115"/>
      <c r="P26" s="1116"/>
      <c r="Q26" s="96"/>
      <c r="R26" s="18"/>
    </row>
    <row r="27" spans="1:18" ht="20.100000000000001" customHeight="1">
      <c r="A27" s="449" t="str">
        <f>IF(F27="","",MAX($A$17:A26)+1)</f>
        <v/>
      </c>
      <c r="B27" s="1108"/>
      <c r="C27" s="1109"/>
      <c r="D27" s="1109"/>
      <c r="E27" s="1110"/>
      <c r="F27" s="1111"/>
      <c r="G27" s="1111"/>
      <c r="H27" s="1111"/>
      <c r="I27" s="1111"/>
      <c r="J27" s="95"/>
      <c r="K27" s="1112"/>
      <c r="L27" s="1113"/>
      <c r="M27" s="1114"/>
      <c r="N27" s="17"/>
      <c r="O27" s="1115"/>
      <c r="P27" s="1116"/>
      <c r="Q27" s="96"/>
      <c r="R27" s="18"/>
    </row>
    <row r="28" spans="1:18" ht="20.100000000000001" customHeight="1">
      <c r="A28" s="449" t="str">
        <f>IF(F28="","",MAX($A$17:A27)+1)</f>
        <v/>
      </c>
      <c r="B28" s="1108"/>
      <c r="C28" s="1109"/>
      <c r="D28" s="1109"/>
      <c r="E28" s="1110"/>
      <c r="F28" s="1123"/>
      <c r="G28" s="1109"/>
      <c r="H28" s="1109"/>
      <c r="I28" s="1110"/>
      <c r="J28" s="95"/>
      <c r="K28" s="1112"/>
      <c r="L28" s="1113"/>
      <c r="M28" s="1114"/>
      <c r="N28" s="17"/>
      <c r="O28" s="1115"/>
      <c r="P28" s="1116"/>
      <c r="Q28" s="96"/>
      <c r="R28" s="18"/>
    </row>
    <row r="29" spans="1:18" ht="20.100000000000001" customHeight="1">
      <c r="A29" s="449" t="str">
        <f>IF(F29="","",MAX($A$17:A28)+1)</f>
        <v/>
      </c>
      <c r="B29" s="1108"/>
      <c r="C29" s="1109"/>
      <c r="D29" s="1109"/>
      <c r="E29" s="1110"/>
      <c r="F29" s="1111"/>
      <c r="G29" s="1111"/>
      <c r="H29" s="1111"/>
      <c r="I29" s="1111"/>
      <c r="J29" s="95"/>
      <c r="K29" s="1112"/>
      <c r="L29" s="1113"/>
      <c r="M29" s="1114"/>
      <c r="N29" s="17"/>
      <c r="O29" s="1115"/>
      <c r="P29" s="1116"/>
      <c r="Q29" s="96"/>
      <c r="R29" s="18"/>
    </row>
    <row r="30" spans="1:18" ht="20.100000000000001" customHeight="1">
      <c r="A30" s="449" t="str">
        <f>IF(F30="","",MAX($A$17:A29)+1)</f>
        <v/>
      </c>
      <c r="B30" s="1108"/>
      <c r="C30" s="1109"/>
      <c r="D30" s="1109"/>
      <c r="E30" s="1110"/>
      <c r="F30" s="1123"/>
      <c r="G30" s="1109"/>
      <c r="H30" s="1109"/>
      <c r="I30" s="1110"/>
      <c r="J30" s="95"/>
      <c r="K30" s="1112"/>
      <c r="L30" s="1113"/>
      <c r="M30" s="1114"/>
      <c r="N30" s="17"/>
      <c r="O30" s="1115"/>
      <c r="P30" s="1116"/>
      <c r="Q30" s="96"/>
      <c r="R30" s="18"/>
    </row>
    <row r="31" spans="1:18" ht="20.100000000000001" customHeight="1">
      <c r="A31" s="449" t="str">
        <f>IF(F31="","",MAX($A$17:A30)+1)</f>
        <v/>
      </c>
      <c r="B31" s="1108"/>
      <c r="C31" s="1109"/>
      <c r="D31" s="1109"/>
      <c r="E31" s="1110"/>
      <c r="F31" s="1123"/>
      <c r="G31" s="1109"/>
      <c r="H31" s="1109"/>
      <c r="I31" s="1110"/>
      <c r="J31" s="95"/>
      <c r="K31" s="1112"/>
      <c r="L31" s="1113"/>
      <c r="M31" s="1114"/>
      <c r="N31" s="17"/>
      <c r="O31" s="1115"/>
      <c r="P31" s="1116"/>
      <c r="Q31" s="96"/>
      <c r="R31" s="18"/>
    </row>
    <row r="32" spans="1:18" ht="20.100000000000001" customHeight="1">
      <c r="A32" s="449" t="str">
        <f>IF(F32="","",MAX($A$17:A31)+1)</f>
        <v/>
      </c>
      <c r="B32" s="1108"/>
      <c r="C32" s="1109"/>
      <c r="D32" s="1109"/>
      <c r="E32" s="1110"/>
      <c r="F32" s="1111"/>
      <c r="G32" s="1111"/>
      <c r="H32" s="1111"/>
      <c r="I32" s="1111"/>
      <c r="J32" s="95"/>
      <c r="K32" s="1112"/>
      <c r="L32" s="1113"/>
      <c r="M32" s="1114"/>
      <c r="N32" s="17"/>
      <c r="O32" s="1115"/>
      <c r="P32" s="1116"/>
      <c r="Q32" s="96"/>
      <c r="R32" s="18"/>
    </row>
    <row r="33" spans="1:19" s="2" customFormat="1" ht="27" customHeight="1">
      <c r="A33" s="1117" t="s">
        <v>225</v>
      </c>
      <c r="B33" s="1118"/>
      <c r="C33" s="1118"/>
      <c r="D33" s="1118"/>
      <c r="E33" s="1118"/>
      <c r="F33" s="1118"/>
      <c r="G33" s="1118"/>
      <c r="H33" s="1118"/>
      <c r="I33" s="1118"/>
      <c r="J33" s="1118"/>
      <c r="K33" s="1118"/>
      <c r="L33" s="1118"/>
      <c r="M33" s="1118"/>
      <c r="N33" s="1118"/>
      <c r="O33" s="1118"/>
      <c r="P33" s="1118"/>
      <c r="Q33" s="1118"/>
      <c r="R33" s="1119"/>
    </row>
    <row r="34" spans="1:19" s="2" customFormat="1" ht="14.25" customHeight="1">
      <c r="A34" s="1120" t="s">
        <v>226</v>
      </c>
      <c r="B34" s="1121"/>
      <c r="C34" s="1121"/>
      <c r="D34" s="1121"/>
      <c r="E34" s="1121"/>
      <c r="F34" s="1121"/>
      <c r="G34" s="1121"/>
      <c r="H34" s="1121"/>
      <c r="I34" s="1121"/>
      <c r="J34" s="1121"/>
      <c r="K34" s="1121"/>
      <c r="L34" s="1121"/>
      <c r="M34" s="1121"/>
      <c r="N34" s="1121"/>
      <c r="O34" s="1121"/>
      <c r="P34" s="1121"/>
      <c r="Q34" s="1121"/>
      <c r="R34" s="1122"/>
      <c r="S34" s="8"/>
    </row>
    <row r="35" spans="1:19" s="2" customFormat="1" ht="14.25" customHeight="1">
      <c r="A35" s="1098" t="s">
        <v>227</v>
      </c>
      <c r="B35" s="1099"/>
      <c r="C35" s="1099"/>
      <c r="D35" s="1099"/>
      <c r="E35" s="1099"/>
      <c r="F35" s="1099" t="s">
        <v>228</v>
      </c>
      <c r="G35" s="1099"/>
      <c r="H35" s="1099"/>
      <c r="I35" s="1099"/>
      <c r="J35" s="1099"/>
      <c r="K35" s="1099"/>
      <c r="L35" s="1099"/>
      <c r="M35" s="1099"/>
      <c r="N35" s="1099" t="s">
        <v>229</v>
      </c>
      <c r="O35" s="1099"/>
      <c r="P35" s="1099"/>
      <c r="Q35" s="1099"/>
      <c r="R35" s="1102"/>
      <c r="S35" s="97"/>
    </row>
    <row r="36" spans="1:19" s="2" customFormat="1" ht="29.1" customHeight="1">
      <c r="A36" s="1100"/>
      <c r="B36" s="1101"/>
      <c r="C36" s="1101"/>
      <c r="D36" s="1101"/>
      <c r="E36" s="1101"/>
      <c r="F36" s="1101"/>
      <c r="G36" s="1101"/>
      <c r="H36" s="1101"/>
      <c r="I36" s="1101"/>
      <c r="J36" s="1101"/>
      <c r="K36" s="1101"/>
      <c r="L36" s="1101"/>
      <c r="M36" s="1101"/>
      <c r="N36" s="1101"/>
      <c r="O36" s="1101"/>
      <c r="P36" s="1101"/>
      <c r="Q36" s="1101"/>
      <c r="R36" s="1103"/>
      <c r="S36" s="97"/>
    </row>
    <row r="37" spans="1:19" ht="14.4" customHeight="1">
      <c r="A37" s="1104" t="s">
        <v>230</v>
      </c>
      <c r="B37" s="1105"/>
      <c r="C37" s="1105"/>
      <c r="D37" s="1105"/>
      <c r="E37" s="1106"/>
      <c r="F37" s="1107" t="s">
        <v>199</v>
      </c>
      <c r="G37" s="1107"/>
      <c r="H37" s="1107"/>
      <c r="I37" s="1107"/>
      <c r="J37" s="1107"/>
      <c r="K37" s="1107"/>
      <c r="L37" s="1107"/>
      <c r="M37" s="1107"/>
      <c r="N37" s="1107" t="s">
        <v>200</v>
      </c>
      <c r="O37" s="1107"/>
      <c r="P37" s="1107"/>
      <c r="Q37" s="1107"/>
      <c r="R37" s="1107"/>
      <c r="S37" s="9"/>
    </row>
    <row r="38" spans="1:19" s="3" customFormat="1" ht="12.6" customHeight="1">
      <c r="A38" s="1092" t="s">
        <v>201</v>
      </c>
      <c r="B38" s="1092"/>
      <c r="C38" s="1092"/>
      <c r="D38" s="1092"/>
      <c r="E38" s="1092"/>
      <c r="F38" s="1092" t="s">
        <v>202</v>
      </c>
      <c r="G38" s="1092"/>
      <c r="H38" s="1092"/>
      <c r="I38" s="1092"/>
      <c r="J38" s="1092"/>
      <c r="K38" s="1092"/>
      <c r="L38" s="1092"/>
      <c r="M38" s="1092"/>
      <c r="N38" s="1092" t="s">
        <v>203</v>
      </c>
      <c r="O38" s="1092"/>
      <c r="P38" s="1092"/>
      <c r="Q38" s="1092"/>
      <c r="R38" s="1092"/>
      <c r="S38" s="99"/>
    </row>
    <row r="39" spans="1:19" s="3" customFormat="1" ht="13.5" customHeight="1">
      <c r="A39" s="1092" t="s">
        <v>428</v>
      </c>
      <c r="B39" s="1092"/>
      <c r="C39" s="1092"/>
      <c r="D39" s="1092"/>
      <c r="E39" s="1092"/>
      <c r="F39" s="1092" t="s">
        <v>204</v>
      </c>
      <c r="G39" s="1092"/>
      <c r="H39" s="1092"/>
      <c r="I39" s="1092"/>
      <c r="J39" s="1092"/>
      <c r="K39" s="1092"/>
      <c r="L39" s="1092"/>
      <c r="M39" s="1092"/>
      <c r="N39" s="1092" t="s">
        <v>204</v>
      </c>
      <c r="O39" s="1092"/>
      <c r="P39" s="1092"/>
      <c r="Q39" s="1092"/>
      <c r="R39" s="1092"/>
      <c r="S39" s="99"/>
    </row>
    <row r="40" spans="1:19" s="3" customFormat="1" ht="11.4">
      <c r="A40" s="1092" t="s">
        <v>205</v>
      </c>
      <c r="B40" s="1092"/>
      <c r="C40" s="1092"/>
      <c r="D40" s="1092"/>
      <c r="E40" s="1092"/>
      <c r="F40" s="1092" t="s">
        <v>205</v>
      </c>
      <c r="G40" s="1092"/>
      <c r="H40" s="1092"/>
      <c r="I40" s="1092"/>
      <c r="J40" s="1092"/>
      <c r="K40" s="1092"/>
      <c r="L40" s="1092"/>
      <c r="M40" s="1092"/>
      <c r="N40" s="1092" t="s">
        <v>205</v>
      </c>
      <c r="O40" s="1092"/>
      <c r="P40" s="1092"/>
      <c r="Q40" s="1092"/>
      <c r="R40" s="1092"/>
      <c r="S40" s="99"/>
    </row>
    <row r="41" spans="1:19" s="3" customFormat="1" ht="17.7" customHeight="1">
      <c r="A41" s="1092"/>
      <c r="B41" s="1092"/>
      <c r="C41" s="1092"/>
      <c r="D41" s="1092"/>
      <c r="E41" s="1092"/>
      <c r="F41" s="1092"/>
      <c r="G41" s="1092"/>
      <c r="H41" s="1092"/>
      <c r="I41" s="1092"/>
      <c r="J41" s="1092"/>
      <c r="K41" s="1092"/>
      <c r="L41" s="1092"/>
      <c r="M41" s="1092"/>
      <c r="N41" s="1093"/>
      <c r="O41" s="1093"/>
      <c r="P41" s="1093"/>
      <c r="Q41" s="1093"/>
      <c r="R41" s="1093"/>
      <c r="S41" s="99"/>
    </row>
    <row r="42" spans="1:19" s="3" customFormat="1" ht="13.5" customHeight="1">
      <c r="A42" s="1094" t="s">
        <v>455</v>
      </c>
      <c r="B42" s="1095"/>
      <c r="C42" s="102"/>
      <c r="D42" s="1096" t="str">
        <f>P6</f>
        <v>04/05/2025</v>
      </c>
      <c r="E42" s="1097"/>
      <c r="F42" s="1091" t="str">
        <f>"Date/Ngày/Дата           " &amp; TEXT(P6,"dd/mm/yyyy")</f>
        <v>Date/Ngày/Дата           04/05/2025</v>
      </c>
      <c r="G42" s="1091"/>
      <c r="H42" s="1091"/>
      <c r="I42" s="1091"/>
      <c r="J42" s="1091"/>
      <c r="K42" s="1091"/>
      <c r="L42" s="1091"/>
      <c r="M42" s="1091"/>
      <c r="N42" s="1091" t="s">
        <v>206</v>
      </c>
      <c r="O42" s="1091"/>
      <c r="P42" s="1091"/>
      <c r="Q42" s="1091"/>
      <c r="R42" s="1091"/>
      <c r="S42" s="99"/>
    </row>
    <row r="43" spans="1:19"/>
  </sheetData>
  <mergeCells count="126">
    <mergeCell ref="C6:O6"/>
    <mergeCell ref="P6:R6"/>
    <mergeCell ref="A7:I7"/>
    <mergeCell ref="J7:R7"/>
    <mergeCell ref="A8:I8"/>
    <mergeCell ref="J8:R8"/>
    <mergeCell ref="A1:B6"/>
    <mergeCell ref="C1:O2"/>
    <mergeCell ref="P1:R1"/>
    <mergeCell ref="P2:R2"/>
    <mergeCell ref="C3:O3"/>
    <mergeCell ref="P3:R3"/>
    <mergeCell ref="C4:O4"/>
    <mergeCell ref="P4:R4"/>
    <mergeCell ref="D5:O5"/>
    <mergeCell ref="P5:R5"/>
    <mergeCell ref="A12:E12"/>
    <mergeCell ref="F12:M12"/>
    <mergeCell ref="N12:R12"/>
    <mergeCell ref="A13:E13"/>
    <mergeCell ref="F13:M13"/>
    <mergeCell ref="N13:R13"/>
    <mergeCell ref="A9:I9"/>
    <mergeCell ref="J9:R9"/>
    <mergeCell ref="A10:I10"/>
    <mergeCell ref="J10:R10"/>
    <mergeCell ref="A11:E11"/>
    <mergeCell ref="F11:M11"/>
    <mergeCell ref="N11:R11"/>
    <mergeCell ref="A16:E16"/>
    <mergeCell ref="F16:M16"/>
    <mergeCell ref="N16:R16"/>
    <mergeCell ref="B17:E17"/>
    <mergeCell ref="F17:I17"/>
    <mergeCell ref="K17:M17"/>
    <mergeCell ref="O17:P17"/>
    <mergeCell ref="A14:E14"/>
    <mergeCell ref="F14:M14"/>
    <mergeCell ref="N14:R14"/>
    <mergeCell ref="A15:E15"/>
    <mergeCell ref="F15:M15"/>
    <mergeCell ref="N15:R15"/>
    <mergeCell ref="B20:E20"/>
    <mergeCell ref="F20:I20"/>
    <mergeCell ref="K20:M20"/>
    <mergeCell ref="O20:P20"/>
    <mergeCell ref="B21:E21"/>
    <mergeCell ref="F21:I21"/>
    <mergeCell ref="K21:M21"/>
    <mergeCell ref="O21:P21"/>
    <mergeCell ref="B18:E18"/>
    <mergeCell ref="F18:I18"/>
    <mergeCell ref="K18:M18"/>
    <mergeCell ref="O18:P18"/>
    <mergeCell ref="B19:E19"/>
    <mergeCell ref="F19:I19"/>
    <mergeCell ref="K19:M19"/>
    <mergeCell ref="O19:P19"/>
    <mergeCell ref="B24:E24"/>
    <mergeCell ref="F24:I24"/>
    <mergeCell ref="K24:M24"/>
    <mergeCell ref="O24:P24"/>
    <mergeCell ref="B25:E25"/>
    <mergeCell ref="F25:I25"/>
    <mergeCell ref="K25:M25"/>
    <mergeCell ref="O25:P25"/>
    <mergeCell ref="B22:E22"/>
    <mergeCell ref="F22:I22"/>
    <mergeCell ref="K22:M22"/>
    <mergeCell ref="O22:P22"/>
    <mergeCell ref="B23:E23"/>
    <mergeCell ref="F23:I23"/>
    <mergeCell ref="K23:M23"/>
    <mergeCell ref="O23:P23"/>
    <mergeCell ref="B28:E28"/>
    <mergeCell ref="F28:I28"/>
    <mergeCell ref="K28:M28"/>
    <mergeCell ref="O28:P28"/>
    <mergeCell ref="B29:E29"/>
    <mergeCell ref="F29:I29"/>
    <mergeCell ref="K29:M29"/>
    <mergeCell ref="O29:P29"/>
    <mergeCell ref="B26:E26"/>
    <mergeCell ref="F26:I26"/>
    <mergeCell ref="K26:M26"/>
    <mergeCell ref="O26:P26"/>
    <mergeCell ref="B27:E27"/>
    <mergeCell ref="F27:I27"/>
    <mergeCell ref="K27:M27"/>
    <mergeCell ref="O27:P27"/>
    <mergeCell ref="B32:E32"/>
    <mergeCell ref="F32:I32"/>
    <mergeCell ref="K32:M32"/>
    <mergeCell ref="O32:P32"/>
    <mergeCell ref="A33:R33"/>
    <mergeCell ref="A34:R34"/>
    <mergeCell ref="B30:E30"/>
    <mergeCell ref="F30:I30"/>
    <mergeCell ref="K30:M30"/>
    <mergeCell ref="O30:P30"/>
    <mergeCell ref="B31:E31"/>
    <mergeCell ref="F31:I31"/>
    <mergeCell ref="K31:M31"/>
    <mergeCell ref="O31:P31"/>
    <mergeCell ref="A38:E38"/>
    <mergeCell ref="F38:M38"/>
    <mergeCell ref="N38:R38"/>
    <mergeCell ref="A39:E39"/>
    <mergeCell ref="F39:M39"/>
    <mergeCell ref="N39:R39"/>
    <mergeCell ref="A35:E36"/>
    <mergeCell ref="F35:M36"/>
    <mergeCell ref="N35:R36"/>
    <mergeCell ref="A37:E37"/>
    <mergeCell ref="F37:M37"/>
    <mergeCell ref="N37:R37"/>
    <mergeCell ref="F42:M42"/>
    <mergeCell ref="N42:R42"/>
    <mergeCell ref="A40:E40"/>
    <mergeCell ref="F40:M40"/>
    <mergeCell ref="N40:R40"/>
    <mergeCell ref="A41:E41"/>
    <mergeCell ref="F41:M41"/>
    <mergeCell ref="N41:R41"/>
    <mergeCell ref="A42:B42"/>
    <mergeCell ref="D42:E42"/>
  </mergeCells>
  <pageMargins left="0.70866141732283472" right="0.19685039370078741" top="0.39370078740157483" bottom="0.19685039370078741" header="0.39370078740157483" footer="0"/>
  <pageSetup paperSize="9" orientation="portrait" r:id="rId1"/>
  <headerFooter alignWithMargins="0">
    <oddFooter>&amp;R&amp;8Take effect from/Áp dụng từ ngày 10.01.2014</oddFooter>
  </headerFooter>
  <drawing r:id="rId2"/>
  <legacyDrawing r:id="rId3"/>
  <oleObjects>
    <mc:AlternateContent xmlns:mc="http://schemas.openxmlformats.org/markup-compatibility/2006">
      <mc:Choice Requires="x14">
        <oleObject progId="PBrush" shapeId="14457860" r:id="rId4">
          <objectPr defaultSize="0" autoPict="0" altText="" r:id="rId5">
            <anchor moveWithCells="1" sizeWithCells="1">
              <from>
                <xdr:col>0</xdr:col>
                <xdr:colOff>11430</xdr:colOff>
                <xdr:row>1</xdr:row>
                <xdr:rowOff>0</xdr:rowOff>
              </from>
              <to>
                <xdr:col>1</xdr:col>
                <xdr:colOff>647700</xdr:colOff>
                <xdr:row>5</xdr:row>
                <xdr:rowOff>57150</xdr:rowOff>
              </to>
            </anchor>
          </objectPr>
        </oleObject>
      </mc:Choice>
      <mc:Fallback>
        <oleObject progId="PBrush" shapeId="14457860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">
    <tabColor theme="9" tint="0.39997558519241921"/>
  </sheetPr>
  <dimension ref="A1:X49"/>
  <sheetViews>
    <sheetView showGridLines="0" topLeftCell="A11" zoomScale="90" zoomScaleNormal="90" workbookViewId="0">
      <selection activeCell="A18" sqref="A18"/>
    </sheetView>
  </sheetViews>
  <sheetFormatPr defaultColWidth="0" defaultRowHeight="12.3" zeroHeight="1"/>
  <cols>
    <col min="1" max="1" width="4.38671875" style="77" customWidth="1"/>
    <col min="2" max="2" width="9.109375" style="77" customWidth="1"/>
    <col min="3" max="3" width="10.71875" style="77" customWidth="1"/>
    <col min="4" max="4" width="9.109375" style="77" hidden="1" customWidth="1"/>
    <col min="5" max="5" width="7.27734375" style="77" customWidth="1"/>
    <col min="6" max="6" width="5.38671875" style="77" customWidth="1"/>
    <col min="7" max="7" width="1.38671875" style="77" customWidth="1"/>
    <col min="8" max="8" width="9.109375" style="77" hidden="1" customWidth="1"/>
    <col min="9" max="9" width="2.77734375" style="77" customWidth="1"/>
    <col min="10" max="10" width="14.109375" style="77" customWidth="1"/>
    <col min="11" max="11" width="3.88671875" style="77" customWidth="1"/>
    <col min="12" max="12" width="1.38671875" style="77" customWidth="1"/>
    <col min="13" max="13" width="1" style="77" customWidth="1"/>
    <col min="14" max="14" width="2.609375" style="77" customWidth="1"/>
    <col min="15" max="15" width="7.71875" style="77" customWidth="1"/>
    <col min="16" max="16" width="4.38671875" style="77" customWidth="1"/>
    <col min="17" max="17" width="3" style="77" customWidth="1"/>
    <col min="18" max="18" width="7.109375" style="77" customWidth="1"/>
    <col min="19" max="19" width="8.33203125" style="77" customWidth="1"/>
    <col min="20" max="20" width="9.109375" style="77" customWidth="1"/>
    <col min="21" max="21" width="15.38671875" style="77" customWidth="1"/>
    <col min="22" max="22" width="26.27734375" style="77" customWidth="1"/>
    <col min="23" max="23" width="46.38671875" style="77" customWidth="1"/>
    <col min="24" max="24" width="9.109375" style="77" customWidth="1"/>
    <col min="25" max="16384" width="9.109375" style="77" hidden="1"/>
  </cols>
  <sheetData>
    <row r="1" spans="1:23" ht="27" customHeight="1">
      <c r="A1" s="1232"/>
      <c r="B1" s="1233"/>
      <c r="C1" s="1236" t="s">
        <v>231</v>
      </c>
      <c r="D1" s="1237"/>
      <c r="E1" s="1237"/>
      <c r="F1" s="1237"/>
      <c r="G1" s="1237"/>
      <c r="H1" s="1237"/>
      <c r="I1" s="1237"/>
      <c r="J1" s="1237"/>
      <c r="K1" s="1237"/>
      <c r="L1" s="1237"/>
      <c r="M1" s="1237"/>
      <c r="N1" s="1237"/>
      <c r="O1" s="1237"/>
      <c r="P1" s="1238"/>
      <c r="Q1" s="1239" t="s">
        <v>232</v>
      </c>
      <c r="R1" s="1240"/>
      <c r="S1" s="1241"/>
      <c r="U1" s="1242" t="s">
        <v>233</v>
      </c>
      <c r="V1" s="1242"/>
      <c r="W1" s="1242"/>
    </row>
    <row r="2" spans="1:23" ht="15.75" customHeight="1">
      <c r="A2" s="1234"/>
      <c r="B2" s="1235"/>
      <c r="C2" s="1243" t="s">
        <v>234</v>
      </c>
      <c r="D2" s="1244"/>
      <c r="E2" s="1244"/>
      <c r="F2" s="1244"/>
      <c r="G2" s="1244"/>
      <c r="H2" s="1244"/>
      <c r="I2" s="1244"/>
      <c r="J2" s="1244"/>
      <c r="K2" s="1244"/>
      <c r="L2" s="1244"/>
      <c r="M2" s="1244"/>
      <c r="N2" s="1244"/>
      <c r="O2" s="1244"/>
      <c r="P2" s="1245"/>
      <c r="Q2" s="1246" t="s">
        <v>426</v>
      </c>
      <c r="R2" s="1247"/>
      <c r="S2" s="1248"/>
      <c r="U2" s="162" t="s">
        <v>235</v>
      </c>
      <c r="V2" s="1225" t="s">
        <v>236</v>
      </c>
      <c r="W2" s="1225"/>
    </row>
    <row r="3" spans="1:23" ht="13.5" customHeight="1">
      <c r="A3" s="1234"/>
      <c r="B3" s="1235"/>
      <c r="C3" s="1249" t="s">
        <v>237</v>
      </c>
      <c r="D3" s="1250"/>
      <c r="E3" s="1250"/>
      <c r="F3" s="1250"/>
      <c r="G3" s="1250"/>
      <c r="H3" s="1250"/>
      <c r="I3" s="1250"/>
      <c r="J3" s="1250"/>
      <c r="K3" s="1250"/>
      <c r="L3" s="1250"/>
      <c r="M3" s="1250"/>
      <c r="N3" s="1250"/>
      <c r="O3" s="1250"/>
      <c r="P3" s="1251"/>
      <c r="Q3" s="1252" t="s">
        <v>238</v>
      </c>
      <c r="R3" s="1253"/>
      <c r="S3" s="1254"/>
      <c r="U3" s="163" t="s">
        <v>239</v>
      </c>
      <c r="V3" s="1225" t="s">
        <v>240</v>
      </c>
      <c r="W3" s="1225"/>
    </row>
    <row r="4" spans="1:23" ht="16.5" customHeight="1">
      <c r="A4" s="1234"/>
      <c r="B4" s="1235"/>
      <c r="C4" s="1220" t="s">
        <v>241</v>
      </c>
      <c r="D4" s="1221"/>
      <c r="E4" s="1221"/>
      <c r="F4" s="1221"/>
      <c r="G4" s="1221"/>
      <c r="H4" s="1221"/>
      <c r="I4" s="1221"/>
      <c r="J4" s="1221"/>
      <c r="K4" s="1221"/>
      <c r="L4" s="1221"/>
      <c r="M4" s="1221"/>
      <c r="N4" s="1221"/>
      <c r="O4" s="1221"/>
      <c r="P4" s="1221"/>
      <c r="Q4" s="1222" t="s">
        <v>242</v>
      </c>
      <c r="R4" s="1223"/>
      <c r="S4" s="1224"/>
      <c r="U4" s="163" t="s">
        <v>243</v>
      </c>
      <c r="V4" s="1225" t="s">
        <v>244</v>
      </c>
      <c r="W4" s="1225"/>
    </row>
    <row r="5" spans="1:23" ht="15" customHeight="1">
      <c r="A5" s="1234"/>
      <c r="B5" s="1235"/>
      <c r="C5" s="1226"/>
      <c r="D5" s="1227"/>
      <c r="E5" s="1227"/>
      <c r="F5" s="1227"/>
      <c r="G5" s="1227"/>
      <c r="H5" s="1227"/>
      <c r="I5" s="1227"/>
      <c r="J5" s="1227"/>
      <c r="K5" s="1227"/>
      <c r="L5" s="1227"/>
      <c r="M5" s="1227"/>
      <c r="N5" s="1227"/>
      <c r="O5" s="1227"/>
      <c r="P5" s="1228"/>
      <c r="Q5" s="1229" t="s">
        <v>420</v>
      </c>
      <c r="R5" s="1230"/>
      <c r="S5" s="1231"/>
      <c r="U5" s="163" t="s">
        <v>245</v>
      </c>
      <c r="V5" s="1225" t="s">
        <v>246</v>
      </c>
      <c r="W5" s="1225"/>
    </row>
    <row r="6" spans="1:23" ht="17.100000000000001" customHeight="1">
      <c r="A6" s="1255" t="s">
        <v>247</v>
      </c>
      <c r="B6" s="1256"/>
      <c r="C6" s="1256"/>
      <c r="D6" s="1256"/>
      <c r="E6" s="1256"/>
      <c r="F6" s="1256"/>
      <c r="G6" s="1256"/>
      <c r="H6" s="1256"/>
      <c r="I6" s="1257"/>
      <c r="J6" s="1255" t="s">
        <v>248</v>
      </c>
      <c r="K6" s="1256"/>
      <c r="L6" s="1256"/>
      <c r="M6" s="1256"/>
      <c r="N6" s="1256"/>
      <c r="O6" s="1256"/>
      <c r="P6" s="1256"/>
      <c r="Q6" s="1256"/>
      <c r="R6" s="1256"/>
      <c r="S6" s="1257"/>
      <c r="U6" s="163" t="s">
        <v>249</v>
      </c>
      <c r="V6" s="1225" t="s">
        <v>250</v>
      </c>
      <c r="W6" s="1225"/>
    </row>
    <row r="7" spans="1:23" ht="17.100000000000001" customHeight="1">
      <c r="A7" s="1258" t="s">
        <v>311</v>
      </c>
      <c r="B7" s="1259"/>
      <c r="C7" s="1259"/>
      <c r="D7" s="1259"/>
      <c r="E7" s="1259"/>
      <c r="F7" s="1259"/>
      <c r="G7" s="1259"/>
      <c r="H7" s="1259"/>
      <c r="I7" s="1260"/>
      <c r="J7" s="1261" t="s">
        <v>312</v>
      </c>
      <c r="K7" s="1262"/>
      <c r="L7" s="1262"/>
      <c r="M7" s="1262"/>
      <c r="N7" s="1262"/>
      <c r="O7" s="1262"/>
      <c r="P7" s="1262"/>
      <c r="Q7" s="1262"/>
      <c r="R7" s="1262"/>
      <c r="S7" s="1263"/>
      <c r="U7" s="1264" t="s">
        <v>251</v>
      </c>
      <c r="V7" s="1265" t="s">
        <v>252</v>
      </c>
      <c r="W7" s="1265"/>
    </row>
    <row r="8" spans="1:23" ht="17.100000000000001" customHeight="1">
      <c r="A8" s="1255" t="s">
        <v>253</v>
      </c>
      <c r="B8" s="1256"/>
      <c r="C8" s="1256"/>
      <c r="D8" s="1256"/>
      <c r="E8" s="1256"/>
      <c r="F8" s="1256"/>
      <c r="G8" s="1256"/>
      <c r="H8" s="1256"/>
      <c r="I8" s="1257"/>
      <c r="J8" s="1266" t="s">
        <v>254</v>
      </c>
      <c r="K8" s="1266"/>
      <c r="L8" s="1266"/>
      <c r="M8" s="1266"/>
      <c r="N8" s="1266"/>
      <c r="O8" s="1266"/>
      <c r="P8" s="1266"/>
      <c r="Q8" s="1266"/>
      <c r="R8" s="1266"/>
      <c r="S8" s="1267"/>
      <c r="U8" s="1264"/>
      <c r="V8" s="1265"/>
      <c r="W8" s="1265"/>
    </row>
    <row r="9" spans="1:23" ht="17.100000000000001" customHeight="1">
      <c r="A9" s="1258" t="s">
        <v>255</v>
      </c>
      <c r="B9" s="1259"/>
      <c r="C9" s="1259"/>
      <c r="D9" s="1259"/>
      <c r="E9" s="1259"/>
      <c r="F9" s="1259"/>
      <c r="G9" s="1259"/>
      <c r="H9" s="1259"/>
      <c r="I9" s="1260"/>
      <c r="J9" s="1259" t="s">
        <v>313</v>
      </c>
      <c r="K9" s="1259"/>
      <c r="L9" s="1259"/>
      <c r="M9" s="1259"/>
      <c r="N9" s="1259"/>
      <c r="O9" s="1259"/>
      <c r="P9" s="1259"/>
      <c r="Q9" s="1259"/>
      <c r="R9" s="1259"/>
      <c r="S9" s="1260"/>
    </row>
    <row r="10" spans="1:23" ht="17.100000000000001" customHeight="1">
      <c r="A10" s="1280" t="s">
        <v>256</v>
      </c>
      <c r="B10" s="1281"/>
      <c r="C10" s="1281"/>
      <c r="D10" s="1281"/>
      <c r="E10" s="1282"/>
      <c r="F10" s="1280" t="s">
        <v>257</v>
      </c>
      <c r="G10" s="1283"/>
      <c r="H10" s="1283"/>
      <c r="I10" s="1283"/>
      <c r="J10" s="1283"/>
      <c r="K10" s="1283"/>
      <c r="L10" s="1283"/>
      <c r="M10" s="1283"/>
      <c r="N10" s="1284"/>
      <c r="O10" s="1255" t="s">
        <v>258</v>
      </c>
      <c r="P10" s="1285"/>
      <c r="Q10" s="1285"/>
      <c r="R10" s="1285"/>
      <c r="S10" s="1286"/>
      <c r="U10" s="77" t="s">
        <v>591</v>
      </c>
      <c r="V10" s="77" t="s">
        <v>313</v>
      </c>
    </row>
    <row r="11" spans="1:23" ht="17.100000000000001" customHeight="1">
      <c r="A11" s="1277" t="s">
        <v>259</v>
      </c>
      <c r="B11" s="1278"/>
      <c r="C11" s="1278"/>
      <c r="D11" s="1278"/>
      <c r="E11" s="1279"/>
      <c r="F11" s="1277" t="s">
        <v>314</v>
      </c>
      <c r="G11" s="1278"/>
      <c r="H11" s="1278"/>
      <c r="I11" s="1278"/>
      <c r="J11" s="1278"/>
      <c r="K11" s="1278"/>
      <c r="L11" s="1278"/>
      <c r="M11" s="1278"/>
      <c r="N11" s="1279"/>
      <c r="O11" s="1258" t="s">
        <v>260</v>
      </c>
      <c r="P11" s="1259"/>
      <c r="Q11" s="1259"/>
      <c r="R11" s="1259"/>
      <c r="S11" s="1260"/>
      <c r="U11" s="77" t="s">
        <v>592</v>
      </c>
      <c r="V11" s="77" t="s">
        <v>593</v>
      </c>
      <c r="W11" s="77" t="s">
        <v>279</v>
      </c>
    </row>
    <row r="12" spans="1:23" ht="17.100000000000001" customHeight="1">
      <c r="A12" s="1268" t="s">
        <v>261</v>
      </c>
      <c r="B12" s="1269"/>
      <c r="C12" s="1269"/>
      <c r="D12" s="1269"/>
      <c r="E12" s="1269"/>
      <c r="F12" s="1270" t="s">
        <v>262</v>
      </c>
      <c r="G12" s="1271"/>
      <c r="H12" s="1271"/>
      <c r="I12" s="1271"/>
      <c r="J12" s="1271"/>
      <c r="K12" s="1271"/>
      <c r="L12" s="1271"/>
      <c r="M12" s="1271"/>
      <c r="N12" s="1271"/>
      <c r="O12" s="1270" t="s">
        <v>263</v>
      </c>
      <c r="P12" s="1271"/>
      <c r="Q12" s="1271"/>
      <c r="R12" s="1271"/>
      <c r="S12" s="1272"/>
      <c r="U12" s="77" t="s">
        <v>676</v>
      </c>
      <c r="V12" s="77" t="s">
        <v>669</v>
      </c>
    </row>
    <row r="13" spans="1:23" ht="26.1" customHeight="1">
      <c r="A13" s="1273" t="s">
        <v>264</v>
      </c>
      <c r="B13" s="1274"/>
      <c r="C13" s="1274"/>
      <c r="D13" s="1274"/>
      <c r="E13" s="1274"/>
      <c r="F13" s="1275" t="s">
        <v>265</v>
      </c>
      <c r="G13" s="1276"/>
      <c r="H13" s="1276"/>
      <c r="I13" s="1276"/>
      <c r="J13" s="1276"/>
      <c r="K13" s="1276"/>
      <c r="L13" s="1276"/>
      <c r="M13" s="1276"/>
      <c r="N13" s="1276"/>
      <c r="O13" s="1277" t="s">
        <v>266</v>
      </c>
      <c r="P13" s="1278"/>
      <c r="Q13" s="1278"/>
      <c r="R13" s="1278"/>
      <c r="S13" s="1279"/>
      <c r="U13" s="77" t="s">
        <v>675</v>
      </c>
      <c r="V13" s="77" t="s">
        <v>594</v>
      </c>
    </row>
    <row r="14" spans="1:23" ht="15" customHeight="1">
      <c r="A14" s="1298" t="s">
        <v>267</v>
      </c>
      <c r="B14" s="1299"/>
      <c r="C14" s="1299"/>
      <c r="D14" s="1299"/>
      <c r="E14" s="1299"/>
      <c r="F14" s="1270" t="s">
        <v>268</v>
      </c>
      <c r="G14" s="1271"/>
      <c r="H14" s="1271"/>
      <c r="I14" s="1271"/>
      <c r="J14" s="1271"/>
      <c r="K14" s="1271"/>
      <c r="L14" s="1271"/>
      <c r="M14" s="1271"/>
      <c r="N14" s="1272"/>
      <c r="O14" s="1270" t="s">
        <v>269</v>
      </c>
      <c r="P14" s="1271"/>
      <c r="Q14" s="1271"/>
      <c r="R14" s="1271"/>
      <c r="S14" s="1272"/>
    </row>
    <row r="15" spans="1:23" ht="15" customHeight="1">
      <c r="A15" s="1261" t="s">
        <v>177</v>
      </c>
      <c r="B15" s="1262"/>
      <c r="C15" s="1262"/>
      <c r="D15" s="1262"/>
      <c r="E15" s="1263"/>
      <c r="F15" s="1275" t="s">
        <v>668</v>
      </c>
      <c r="G15" s="1276"/>
      <c r="H15" s="1276"/>
      <c r="I15" s="1276"/>
      <c r="J15" s="1276"/>
      <c r="K15" s="1276"/>
      <c r="L15" s="1276"/>
      <c r="M15" s="1276"/>
      <c r="N15" s="1300"/>
      <c r="O15" s="1277" t="s">
        <v>270</v>
      </c>
      <c r="P15" s="1278"/>
      <c r="Q15" s="1278"/>
      <c r="R15" s="1278"/>
      <c r="S15" s="1279"/>
    </row>
    <row r="16" spans="1:23" s="78" customFormat="1" ht="75" customHeight="1">
      <c r="A16" s="447" t="s">
        <v>193</v>
      </c>
      <c r="B16" s="1287" t="s">
        <v>217</v>
      </c>
      <c r="C16" s="1288"/>
      <c r="D16" s="1288"/>
      <c r="E16" s="1289"/>
      <c r="F16" s="1287" t="s">
        <v>271</v>
      </c>
      <c r="G16" s="1288"/>
      <c r="H16" s="1288"/>
      <c r="I16" s="1289"/>
      <c r="J16" s="448" t="s">
        <v>272</v>
      </c>
      <c r="K16" s="1290" t="s">
        <v>273</v>
      </c>
      <c r="L16" s="1288"/>
      <c r="M16" s="1288"/>
      <c r="N16" s="1289"/>
      <c r="O16" s="448" t="s">
        <v>221</v>
      </c>
      <c r="P16" s="1287" t="s">
        <v>222</v>
      </c>
      <c r="Q16" s="1289"/>
      <c r="R16" s="448" t="s">
        <v>274</v>
      </c>
      <c r="S16" s="448" t="s">
        <v>275</v>
      </c>
    </row>
    <row r="17" spans="1:23" ht="19" customHeight="1">
      <c r="A17" s="449">
        <f>IF(F17="","",MAX($A$16:A16)+1)</f>
        <v>1</v>
      </c>
      <c r="B17" s="1297" t="s">
        <v>427</v>
      </c>
      <c r="C17" s="1297"/>
      <c r="D17" s="1297"/>
      <c r="E17" s="1297"/>
      <c r="F17" s="1291">
        <v>1</v>
      </c>
      <c r="G17" s="1291"/>
      <c r="H17" s="1291"/>
      <c r="I17" s="1291"/>
      <c r="J17" s="444" t="s">
        <v>414</v>
      </c>
      <c r="K17" s="1292" t="s">
        <v>412</v>
      </c>
      <c r="L17" s="1293"/>
      <c r="M17" s="1293"/>
      <c r="N17" s="1294"/>
      <c r="O17" s="445" t="s">
        <v>195</v>
      </c>
      <c r="P17" s="1295" t="s">
        <v>195</v>
      </c>
      <c r="Q17" s="1296"/>
      <c r="R17" s="446" t="s">
        <v>195</v>
      </c>
      <c r="S17" s="446" t="s">
        <v>154</v>
      </c>
      <c r="U17" s="1301" t="s">
        <v>276</v>
      </c>
      <c r="V17" s="1301"/>
      <c r="W17" s="1301"/>
    </row>
    <row r="18" spans="1:23" ht="19" customHeight="1">
      <c r="A18" s="449" t="str">
        <f>IF(F18="","",MAX($A$16:A17)+1)</f>
        <v/>
      </c>
      <c r="B18" s="1307" t="s">
        <v>425</v>
      </c>
      <c r="C18" s="1307"/>
      <c r="D18" s="1307"/>
      <c r="E18" s="1307"/>
      <c r="F18" s="1302"/>
      <c r="G18" s="1302"/>
      <c r="H18" s="1302"/>
      <c r="I18" s="1302"/>
      <c r="J18" s="90"/>
      <c r="K18" s="1303"/>
      <c r="L18" s="1304"/>
      <c r="M18" s="1304"/>
      <c r="N18" s="1305"/>
      <c r="O18" s="91"/>
      <c r="P18" s="1306"/>
      <c r="Q18" s="1306"/>
      <c r="R18" s="79"/>
      <c r="S18" s="92"/>
      <c r="U18" s="164" t="s">
        <v>21</v>
      </c>
      <c r="V18" s="165" t="s">
        <v>583</v>
      </c>
      <c r="W18" s="166" t="s">
        <v>584</v>
      </c>
    </row>
    <row r="19" spans="1:23" ht="19" customHeight="1">
      <c r="A19" s="449">
        <f>IF(F19="","",MAX($A$16:A18)+1)</f>
        <v>2</v>
      </c>
      <c r="B19" s="1310" t="s">
        <v>196</v>
      </c>
      <c r="C19" s="1311"/>
      <c r="D19" s="1311"/>
      <c r="E19" s="1312"/>
      <c r="F19" s="1302">
        <v>3</v>
      </c>
      <c r="G19" s="1302"/>
      <c r="H19" s="1302"/>
      <c r="I19" s="1302"/>
      <c r="J19" s="90" t="s">
        <v>414</v>
      </c>
      <c r="K19" s="1303" t="s">
        <v>412</v>
      </c>
      <c r="L19" s="1304"/>
      <c r="M19" s="1304"/>
      <c r="N19" s="1305"/>
      <c r="O19" s="91" t="s">
        <v>195</v>
      </c>
      <c r="P19" s="1306" t="s">
        <v>195</v>
      </c>
      <c r="Q19" s="1306"/>
      <c r="R19" s="79" t="s">
        <v>195</v>
      </c>
      <c r="S19" s="92" t="s">
        <v>154</v>
      </c>
      <c r="U19" s="168">
        <v>1</v>
      </c>
      <c r="V19" s="176" t="s">
        <v>277</v>
      </c>
      <c r="W19" s="166" t="s">
        <v>278</v>
      </c>
    </row>
    <row r="20" spans="1:23" ht="19" customHeight="1">
      <c r="A20" s="449">
        <f>IF(F20="","",MAX($A$16:A19)+1)</f>
        <v>3</v>
      </c>
      <c r="B20" s="1310" t="s">
        <v>196</v>
      </c>
      <c r="C20" s="1311"/>
      <c r="D20" s="1311"/>
      <c r="E20" s="1312"/>
      <c r="F20" s="1302">
        <v>4</v>
      </c>
      <c r="G20" s="1302"/>
      <c r="H20" s="1302"/>
      <c r="I20" s="1302"/>
      <c r="J20" s="90" t="s">
        <v>414</v>
      </c>
      <c r="K20" s="1303" t="s">
        <v>412</v>
      </c>
      <c r="L20" s="1304"/>
      <c r="M20" s="1304"/>
      <c r="N20" s="1305"/>
      <c r="O20" s="91" t="s">
        <v>195</v>
      </c>
      <c r="P20" s="1306" t="s">
        <v>195</v>
      </c>
      <c r="Q20" s="1306"/>
      <c r="R20" s="79" t="s">
        <v>195</v>
      </c>
      <c r="S20" s="92" t="s">
        <v>154</v>
      </c>
      <c r="U20" s="1308">
        <v>2</v>
      </c>
      <c r="V20" s="1309" t="s">
        <v>279</v>
      </c>
      <c r="W20" s="1308" t="s">
        <v>280</v>
      </c>
    </row>
    <row r="21" spans="1:23" ht="19" customHeight="1">
      <c r="A21" s="449">
        <f>IF(F21="","",MAX($A$16:A20)+1)</f>
        <v>4</v>
      </c>
      <c r="B21" s="1310" t="s">
        <v>196</v>
      </c>
      <c r="C21" s="1311"/>
      <c r="D21" s="1311"/>
      <c r="E21" s="1312"/>
      <c r="F21" s="1302">
        <v>5</v>
      </c>
      <c r="G21" s="1302"/>
      <c r="H21" s="1302"/>
      <c r="I21" s="1302"/>
      <c r="J21" s="90" t="s">
        <v>414</v>
      </c>
      <c r="K21" s="1303" t="s">
        <v>412</v>
      </c>
      <c r="L21" s="1304"/>
      <c r="M21" s="1304"/>
      <c r="N21" s="1305"/>
      <c r="O21" s="91" t="s">
        <v>195</v>
      </c>
      <c r="P21" s="1306" t="s">
        <v>195</v>
      </c>
      <c r="Q21" s="1306"/>
      <c r="R21" s="79" t="s">
        <v>195</v>
      </c>
      <c r="S21" s="92" t="s">
        <v>154</v>
      </c>
      <c r="U21" s="1308"/>
      <c r="V21" s="1309"/>
      <c r="W21" s="1308"/>
    </row>
    <row r="22" spans="1:23" ht="19" customHeight="1">
      <c r="A22" s="449">
        <f>IF(F22="","",MAX($A$16:A21)+1)</f>
        <v>5</v>
      </c>
      <c r="B22" s="1310" t="s">
        <v>196</v>
      </c>
      <c r="C22" s="1311"/>
      <c r="D22" s="1311"/>
      <c r="E22" s="1312"/>
      <c r="F22" s="1302">
        <v>6</v>
      </c>
      <c r="G22" s="1302"/>
      <c r="H22" s="1302"/>
      <c r="I22" s="1302"/>
      <c r="J22" s="90" t="s">
        <v>414</v>
      </c>
      <c r="K22" s="1303" t="s">
        <v>412</v>
      </c>
      <c r="L22" s="1304"/>
      <c r="M22" s="1304"/>
      <c r="N22" s="1305"/>
      <c r="O22" s="91" t="s">
        <v>195</v>
      </c>
      <c r="P22" s="1306" t="s">
        <v>195</v>
      </c>
      <c r="Q22" s="1306"/>
      <c r="R22" s="79" t="s">
        <v>195</v>
      </c>
      <c r="S22" s="92" t="s">
        <v>154</v>
      </c>
      <c r="U22" s="177">
        <v>3</v>
      </c>
      <c r="V22" s="178" t="s">
        <v>281</v>
      </c>
      <c r="W22" s="179" t="s">
        <v>282</v>
      </c>
    </row>
    <row r="23" spans="1:23" s="80" customFormat="1" ht="19" customHeight="1">
      <c r="A23" s="449">
        <f>IF(F23="","",MAX($A$16:A22)+1)</f>
        <v>6</v>
      </c>
      <c r="B23" s="1310" t="s">
        <v>196</v>
      </c>
      <c r="C23" s="1311"/>
      <c r="D23" s="1311"/>
      <c r="E23" s="1312"/>
      <c r="F23" s="1302">
        <v>7</v>
      </c>
      <c r="G23" s="1302"/>
      <c r="H23" s="1302"/>
      <c r="I23" s="1302"/>
      <c r="J23" s="90" t="s">
        <v>414</v>
      </c>
      <c r="K23" s="1303" t="s">
        <v>412</v>
      </c>
      <c r="L23" s="1304"/>
      <c r="M23" s="1304"/>
      <c r="N23" s="1305"/>
      <c r="O23" s="91" t="s">
        <v>195</v>
      </c>
      <c r="P23" s="1306" t="s">
        <v>195</v>
      </c>
      <c r="Q23" s="1306"/>
      <c r="R23" s="79" t="s">
        <v>195</v>
      </c>
      <c r="S23" s="92" t="s">
        <v>154</v>
      </c>
      <c r="U23" s="177">
        <v>3</v>
      </c>
      <c r="V23" s="178" t="s">
        <v>585</v>
      </c>
      <c r="W23" s="179" t="s">
        <v>146</v>
      </c>
    </row>
    <row r="24" spans="1:23" ht="19" customHeight="1">
      <c r="A24" s="449">
        <f>IF(F24="","",MAX($A$16:A23)+1)</f>
        <v>7</v>
      </c>
      <c r="B24" s="1310" t="s">
        <v>196</v>
      </c>
      <c r="C24" s="1311"/>
      <c r="D24" s="1311"/>
      <c r="E24" s="1312"/>
      <c r="F24" s="1302">
        <v>8</v>
      </c>
      <c r="G24" s="1302"/>
      <c r="H24" s="1302"/>
      <c r="I24" s="1302"/>
      <c r="J24" s="90" t="s">
        <v>414</v>
      </c>
      <c r="K24" s="1303" t="s">
        <v>412</v>
      </c>
      <c r="L24" s="1304"/>
      <c r="M24" s="1304"/>
      <c r="N24" s="1305"/>
      <c r="O24" s="91" t="s">
        <v>195</v>
      </c>
      <c r="P24" s="1306" t="s">
        <v>195</v>
      </c>
      <c r="Q24" s="1306"/>
      <c r="R24" s="79" t="s">
        <v>195</v>
      </c>
      <c r="S24" s="92" t="s">
        <v>154</v>
      </c>
      <c r="U24" s="1314" t="s">
        <v>283</v>
      </c>
      <c r="V24" s="1314"/>
      <c r="W24" s="1314"/>
    </row>
    <row r="25" spans="1:23" ht="19" customHeight="1">
      <c r="A25" s="449">
        <f>IF(F25="","",MAX($A$16:A24)+1)</f>
        <v>8</v>
      </c>
      <c r="B25" s="1310" t="s">
        <v>196</v>
      </c>
      <c r="C25" s="1311"/>
      <c r="D25" s="1311"/>
      <c r="E25" s="1312"/>
      <c r="F25" s="1302">
        <v>9</v>
      </c>
      <c r="G25" s="1302"/>
      <c r="H25" s="1302"/>
      <c r="I25" s="1302"/>
      <c r="J25" s="90" t="s">
        <v>414</v>
      </c>
      <c r="K25" s="1303" t="s">
        <v>412</v>
      </c>
      <c r="L25" s="1304"/>
      <c r="M25" s="1304"/>
      <c r="N25" s="1305"/>
      <c r="O25" s="91" t="s">
        <v>195</v>
      </c>
      <c r="P25" s="1306" t="s">
        <v>195</v>
      </c>
      <c r="Q25" s="1306"/>
      <c r="R25" s="79" t="s">
        <v>195</v>
      </c>
      <c r="S25" s="92" t="s">
        <v>154</v>
      </c>
      <c r="U25" s="1313" t="s">
        <v>284</v>
      </c>
      <c r="V25" s="1313"/>
      <c r="W25" s="1313"/>
    </row>
    <row r="26" spans="1:23" ht="19" customHeight="1">
      <c r="A26" s="449" t="str">
        <f>IF(F26="","",MAX($A$16:A25)+1)</f>
        <v/>
      </c>
      <c r="B26" s="1307"/>
      <c r="C26" s="1307"/>
      <c r="D26" s="1307"/>
      <c r="E26" s="1307"/>
      <c r="F26" s="1302"/>
      <c r="G26" s="1302"/>
      <c r="H26" s="1302"/>
      <c r="I26" s="1302"/>
      <c r="J26" s="90"/>
      <c r="K26" s="1303"/>
      <c r="L26" s="1304"/>
      <c r="M26" s="1304"/>
      <c r="N26" s="1305"/>
      <c r="O26" s="91"/>
      <c r="P26" s="1306"/>
      <c r="Q26" s="1306"/>
      <c r="R26" s="79"/>
      <c r="S26" s="92"/>
      <c r="U26" s="171" t="s">
        <v>285</v>
      </c>
      <c r="V26" s="1315" t="s">
        <v>586</v>
      </c>
      <c r="W26" s="1315"/>
    </row>
    <row r="27" spans="1:23" ht="19" customHeight="1">
      <c r="A27" s="449" t="str">
        <f>IF(F27="","",MAX($A$16:A26)+1)</f>
        <v/>
      </c>
      <c r="B27" s="1307"/>
      <c r="C27" s="1307"/>
      <c r="D27" s="1307"/>
      <c r="E27" s="1307"/>
      <c r="F27" s="1316"/>
      <c r="G27" s="1302"/>
      <c r="H27" s="1302"/>
      <c r="I27" s="1302"/>
      <c r="J27" s="90"/>
      <c r="K27" s="1303"/>
      <c r="L27" s="1304"/>
      <c r="M27" s="1304"/>
      <c r="N27" s="1305"/>
      <c r="O27" s="91"/>
      <c r="P27" s="1306"/>
      <c r="Q27" s="1306"/>
      <c r="R27" s="79"/>
      <c r="S27" s="92"/>
      <c r="U27" s="172"/>
      <c r="V27" s="1315" t="s">
        <v>286</v>
      </c>
      <c r="W27" s="1315"/>
    </row>
    <row r="28" spans="1:23" ht="19" customHeight="1">
      <c r="A28" s="449" t="str">
        <f>IF(F28="","",MAX($A$16:A27)+1)</f>
        <v/>
      </c>
      <c r="B28" s="1307"/>
      <c r="C28" s="1307"/>
      <c r="D28" s="1307"/>
      <c r="E28" s="1307"/>
      <c r="F28" s="1302"/>
      <c r="G28" s="1302"/>
      <c r="H28" s="1302"/>
      <c r="I28" s="1302"/>
      <c r="J28" s="90"/>
      <c r="K28" s="1303"/>
      <c r="L28" s="1304"/>
      <c r="M28" s="1304"/>
      <c r="N28" s="1305"/>
      <c r="O28" s="91"/>
      <c r="P28" s="1306"/>
      <c r="Q28" s="1306"/>
      <c r="R28" s="79"/>
      <c r="S28" s="92"/>
      <c r="U28" s="167"/>
      <c r="V28" s="167"/>
      <c r="W28" s="167"/>
    </row>
    <row r="29" spans="1:23" ht="19" customHeight="1">
      <c r="A29" s="449" t="str">
        <f>IF(F29="","",MAX($A$16:A28)+1)</f>
        <v/>
      </c>
      <c r="B29" s="1307"/>
      <c r="C29" s="1307"/>
      <c r="D29" s="1307"/>
      <c r="E29" s="1307"/>
      <c r="F29" s="1302"/>
      <c r="G29" s="1302"/>
      <c r="H29" s="1302"/>
      <c r="I29" s="1302"/>
      <c r="J29" s="90"/>
      <c r="K29" s="1303"/>
      <c r="L29" s="1304"/>
      <c r="M29" s="1304"/>
      <c r="N29" s="1305"/>
      <c r="O29" s="91"/>
      <c r="P29" s="1306"/>
      <c r="Q29" s="1306"/>
      <c r="R29" s="79"/>
      <c r="S29" s="92"/>
      <c r="U29" s="180" t="s">
        <v>146</v>
      </c>
      <c r="V29" s="1317" t="s">
        <v>587</v>
      </c>
      <c r="W29" s="1317"/>
    </row>
    <row r="30" spans="1:23" ht="19" customHeight="1">
      <c r="A30" s="449" t="str">
        <f>IF(F30="","",MAX($A$16:A29)+1)</f>
        <v/>
      </c>
      <c r="B30" s="1307"/>
      <c r="C30" s="1307"/>
      <c r="D30" s="1307"/>
      <c r="E30" s="1307"/>
      <c r="F30" s="1302"/>
      <c r="G30" s="1302"/>
      <c r="H30" s="1302"/>
      <c r="I30" s="1302"/>
      <c r="J30" s="90"/>
      <c r="K30" s="1303"/>
      <c r="L30" s="1304"/>
      <c r="M30" s="1304"/>
      <c r="N30" s="1305"/>
      <c r="O30" s="91"/>
      <c r="P30" s="1306"/>
      <c r="Q30" s="1306"/>
      <c r="R30" s="79"/>
      <c r="S30" s="92"/>
      <c r="U30" s="172"/>
      <c r="V30" s="1317" t="s">
        <v>588</v>
      </c>
      <c r="W30" s="1317"/>
    </row>
    <row r="31" spans="1:23" s="78" customFormat="1" ht="29.1" customHeight="1">
      <c r="A31" s="1320" t="s">
        <v>287</v>
      </c>
      <c r="B31" s="1321"/>
      <c r="C31" s="1321"/>
      <c r="D31" s="1321"/>
      <c r="E31" s="1321"/>
      <c r="F31" s="1321"/>
      <c r="G31" s="1321"/>
      <c r="H31" s="1321"/>
      <c r="I31" s="1321"/>
      <c r="J31" s="1321"/>
      <c r="K31" s="1321"/>
      <c r="L31" s="1321"/>
      <c r="M31" s="1321"/>
      <c r="N31" s="1321"/>
      <c r="O31" s="1321"/>
      <c r="P31" s="1321"/>
      <c r="Q31" s="1321"/>
      <c r="R31" s="1321"/>
      <c r="S31" s="1322"/>
      <c r="U31" s="181"/>
      <c r="V31" s="181"/>
      <c r="W31" s="181"/>
    </row>
    <row r="32" spans="1:23" s="78" customFormat="1" ht="15" customHeight="1">
      <c r="A32" s="1323" t="s">
        <v>288</v>
      </c>
      <c r="B32" s="1324"/>
      <c r="C32" s="1324"/>
      <c r="D32" s="1324"/>
      <c r="E32" s="1324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2"/>
      <c r="U32" s="182" t="s">
        <v>96</v>
      </c>
      <c r="V32" s="1318" t="s">
        <v>589</v>
      </c>
      <c r="W32" s="1318"/>
    </row>
    <row r="33" spans="1:23" s="78" customFormat="1" ht="23.25" customHeight="1">
      <c r="A33" s="1325" t="s">
        <v>289</v>
      </c>
      <c r="B33" s="1326"/>
      <c r="C33" s="1326"/>
      <c r="D33" s="1326"/>
      <c r="E33" s="1326"/>
      <c r="F33" s="1326" t="s">
        <v>290</v>
      </c>
      <c r="G33" s="1326"/>
      <c r="H33" s="1326"/>
      <c r="I33" s="1326"/>
      <c r="J33" s="1326"/>
      <c r="K33" s="1326"/>
      <c r="L33" s="1326"/>
      <c r="M33" s="1326"/>
      <c r="N33" s="1326"/>
      <c r="O33" s="1326" t="s">
        <v>291</v>
      </c>
      <c r="P33" s="1329"/>
      <c r="Q33" s="1329"/>
      <c r="R33" s="1329"/>
      <c r="S33" s="1330"/>
      <c r="U33" s="181"/>
      <c r="V33" s="1319" t="s">
        <v>590</v>
      </c>
      <c r="W33" s="1319"/>
    </row>
    <row r="34" spans="1:23" s="78" customFormat="1" ht="23.25" customHeight="1">
      <c r="A34" s="1327"/>
      <c r="B34" s="1328"/>
      <c r="C34" s="1328"/>
      <c r="D34" s="1328"/>
      <c r="E34" s="1328"/>
      <c r="F34" s="1328"/>
      <c r="G34" s="1328"/>
      <c r="H34" s="1328"/>
      <c r="I34" s="1328"/>
      <c r="J34" s="1328"/>
      <c r="K34" s="1328"/>
      <c r="L34" s="1328"/>
      <c r="M34" s="1328"/>
      <c r="N34" s="1328"/>
      <c r="O34" s="1331"/>
      <c r="P34" s="1331"/>
      <c r="Q34" s="1331"/>
      <c r="R34" s="1331"/>
      <c r="S34" s="1332"/>
    </row>
    <row r="35" spans="1:23" ht="15.75" customHeight="1">
      <c r="A35" s="1344" t="s">
        <v>292</v>
      </c>
      <c r="B35" s="1345"/>
      <c r="C35" s="1345"/>
      <c r="D35" s="1345"/>
      <c r="E35" s="1346"/>
      <c r="F35" s="1347" t="s">
        <v>199</v>
      </c>
      <c r="G35" s="1347"/>
      <c r="H35" s="1347"/>
      <c r="I35" s="1347"/>
      <c r="J35" s="1347"/>
      <c r="K35" s="1347"/>
      <c r="L35" s="1347"/>
      <c r="M35" s="1347"/>
      <c r="N35" s="1347"/>
      <c r="O35" s="1347" t="s">
        <v>200</v>
      </c>
      <c r="P35" s="1347"/>
      <c r="Q35" s="1347"/>
      <c r="R35" s="1347"/>
      <c r="S35" s="1347"/>
    </row>
    <row r="36" spans="1:23" s="83" customFormat="1" ht="12.9" customHeight="1">
      <c r="A36" s="1350" t="s">
        <v>201</v>
      </c>
      <c r="B36" s="1350"/>
      <c r="C36" s="1350"/>
      <c r="D36" s="1350"/>
      <c r="E36" s="1350"/>
      <c r="F36" s="1350" t="s">
        <v>202</v>
      </c>
      <c r="G36" s="1350"/>
      <c r="H36" s="1350"/>
      <c r="I36" s="1350"/>
      <c r="J36" s="1350"/>
      <c r="K36" s="1350"/>
      <c r="L36" s="1350"/>
      <c r="M36" s="1350"/>
      <c r="N36" s="1350"/>
      <c r="O36" s="1350" t="s">
        <v>203</v>
      </c>
      <c r="P36" s="1350"/>
      <c r="Q36" s="1350"/>
      <c r="R36" s="1350"/>
      <c r="S36" s="1350"/>
    </row>
    <row r="37" spans="1:23" s="83" customFormat="1" ht="15.75" customHeight="1">
      <c r="A37" s="1353" t="s">
        <v>419</v>
      </c>
      <c r="B37" s="1342"/>
      <c r="C37" s="1342"/>
      <c r="D37" s="1342"/>
      <c r="E37" s="1354"/>
      <c r="F37" s="1355" t="s">
        <v>293</v>
      </c>
      <c r="G37" s="1342"/>
      <c r="H37" s="1342"/>
      <c r="I37" s="1342"/>
      <c r="J37" s="1342"/>
      <c r="K37" s="1342"/>
      <c r="L37" s="1342"/>
      <c r="M37" s="1342"/>
      <c r="N37" s="1354"/>
      <c r="O37" s="1350" t="s">
        <v>204</v>
      </c>
      <c r="P37" s="1350"/>
      <c r="Q37" s="1350"/>
      <c r="R37" s="1350"/>
      <c r="S37" s="1350"/>
    </row>
    <row r="38" spans="1:23" s="83" customFormat="1" ht="13.5" customHeight="1">
      <c r="A38" s="1350" t="s">
        <v>205</v>
      </c>
      <c r="B38" s="1350"/>
      <c r="C38" s="1350"/>
      <c r="D38" s="1350"/>
      <c r="E38" s="1350"/>
      <c r="F38" s="1350" t="s">
        <v>205</v>
      </c>
      <c r="G38" s="1351"/>
      <c r="H38" s="1351"/>
      <c r="I38" s="1351"/>
      <c r="J38" s="1351"/>
      <c r="K38" s="1351"/>
      <c r="L38" s="1351"/>
      <c r="M38" s="1351"/>
      <c r="N38" s="1351"/>
      <c r="O38" s="1350" t="s">
        <v>205</v>
      </c>
      <c r="P38" s="1350"/>
      <c r="Q38" s="1350"/>
      <c r="R38" s="1350"/>
      <c r="S38" s="1350"/>
    </row>
    <row r="39" spans="1:23" s="83" customFormat="1" ht="18" customHeight="1">
      <c r="A39" s="1352"/>
      <c r="B39" s="1352"/>
      <c r="C39" s="1352"/>
      <c r="D39" s="1352"/>
      <c r="E39" s="1352"/>
      <c r="F39" s="1350"/>
      <c r="G39" s="1350"/>
      <c r="H39" s="1350"/>
      <c r="I39" s="1350"/>
      <c r="J39" s="1350"/>
      <c r="K39" s="1350"/>
      <c r="L39" s="1350"/>
      <c r="M39" s="1350"/>
      <c r="N39" s="1350"/>
      <c r="O39" s="1350"/>
      <c r="P39" s="1350"/>
      <c r="Q39" s="1350"/>
      <c r="R39" s="1350"/>
      <c r="S39" s="1350"/>
    </row>
    <row r="40" spans="1:23" s="84" customFormat="1" ht="17.25" customHeight="1">
      <c r="A40" s="1336" t="s">
        <v>294</v>
      </c>
      <c r="B40" s="1337"/>
      <c r="C40" s="1338" t="str">
        <f>Q5</f>
        <v>04/05/2025</v>
      </c>
      <c r="D40" s="1339"/>
      <c r="E40" s="1340"/>
      <c r="F40" s="1336" t="str">
        <f>"Date/Ngày/Дата           " &amp; TEXT(C40,"dd/mm/yyyy")</f>
        <v>Date/Ngày/Дата           04/05/2025</v>
      </c>
      <c r="G40" s="1337"/>
      <c r="H40" s="1337"/>
      <c r="I40" s="1337"/>
      <c r="J40" s="1337"/>
      <c r="K40" s="1337"/>
      <c r="L40" s="1337"/>
      <c r="M40" s="1337"/>
      <c r="N40" s="1343"/>
      <c r="O40" s="1341" t="s">
        <v>206</v>
      </c>
      <c r="P40" s="1341"/>
      <c r="Q40" s="1341"/>
      <c r="R40" s="1341"/>
      <c r="S40" s="1341"/>
    </row>
    <row r="41" spans="1:23">
      <c r="A41" s="85"/>
      <c r="B41" s="85"/>
      <c r="C41" s="85"/>
      <c r="D41" s="85"/>
      <c r="E41" s="85"/>
      <c r="G41" s="85"/>
      <c r="H41" s="85"/>
      <c r="I41" s="85"/>
      <c r="J41" s="85"/>
      <c r="K41" s="85"/>
      <c r="L41" s="85"/>
      <c r="M41" s="85"/>
      <c r="N41" s="85"/>
      <c r="O41" s="85"/>
      <c r="S41" s="85"/>
    </row>
    <row r="42" spans="1:23">
      <c r="A42" s="1342"/>
      <c r="B42" s="1342"/>
      <c r="C42" s="1342"/>
      <c r="D42" s="1342"/>
      <c r="E42" s="1342"/>
      <c r="F42" s="83"/>
      <c r="G42" s="93"/>
      <c r="H42" s="93"/>
      <c r="I42" s="86"/>
      <c r="J42" s="86"/>
      <c r="K42" s="86"/>
      <c r="L42" s="86"/>
      <c r="M42" s="86"/>
      <c r="N42" s="86"/>
      <c r="O42" s="87"/>
      <c r="P42" s="83"/>
      <c r="Q42" s="83"/>
      <c r="R42" s="83"/>
      <c r="S42" s="87"/>
    </row>
    <row r="43" spans="1:23">
      <c r="A43" s="1333" t="s">
        <v>295</v>
      </c>
      <c r="B43" s="1334"/>
      <c r="C43" s="1334"/>
      <c r="D43" s="1334"/>
      <c r="E43" s="1334"/>
      <c r="F43" s="1334"/>
      <c r="G43" s="1334"/>
      <c r="H43" s="1334"/>
      <c r="I43" s="1334"/>
      <c r="J43" s="1334"/>
      <c r="K43" s="1334"/>
      <c r="L43" s="1334"/>
      <c r="M43" s="1334"/>
      <c r="N43" s="1334"/>
      <c r="O43" s="1334"/>
      <c r="P43" s="1334"/>
      <c r="Q43" s="1334"/>
      <c r="R43" s="1334"/>
      <c r="S43" s="1334"/>
      <c r="T43" s="1335"/>
    </row>
    <row r="44" spans="1:23" ht="14.1">
      <c r="A44" s="88"/>
      <c r="B44" s="88"/>
      <c r="C44" s="88"/>
      <c r="D44" s="88"/>
      <c r="E44" s="88"/>
      <c r="F44" s="89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</row>
    <row r="45" spans="1:23">
      <c r="A45" s="1348" t="s">
        <v>296</v>
      </c>
      <c r="B45" s="1349"/>
      <c r="C45" s="1349"/>
      <c r="D45" s="1349"/>
      <c r="E45" s="1349"/>
      <c r="F45" s="1349"/>
      <c r="G45" s="1349"/>
      <c r="H45" s="1349"/>
      <c r="I45" s="1349"/>
      <c r="J45" s="1349"/>
      <c r="K45" s="1349"/>
      <c r="L45" s="1349"/>
      <c r="M45" s="1349"/>
      <c r="N45" s="1349"/>
      <c r="O45" s="1349"/>
      <c r="P45" s="1349"/>
      <c r="Q45" s="1349"/>
      <c r="R45" s="1349"/>
      <c r="S45" s="1349"/>
      <c r="T45" s="1348"/>
    </row>
    <row r="46" spans="1:23"/>
    <row r="47" spans="1:23"/>
    <row r="48" spans="1:23">
      <c r="A48" s="1333" t="s">
        <v>297</v>
      </c>
      <c r="B48" s="1334"/>
      <c r="C48" s="1334"/>
      <c r="D48" s="1334"/>
      <c r="E48" s="1334"/>
      <c r="F48" s="1334"/>
      <c r="G48" s="1334"/>
      <c r="H48" s="1334"/>
      <c r="I48" s="1334"/>
      <c r="J48" s="1334"/>
      <c r="K48" s="1334"/>
      <c r="L48" s="1334"/>
      <c r="M48" s="1334"/>
      <c r="N48" s="1334"/>
      <c r="O48" s="1334"/>
      <c r="P48" s="1334"/>
      <c r="Q48" s="1334"/>
      <c r="R48" s="1334"/>
      <c r="S48" s="1334"/>
      <c r="T48" s="1335"/>
    </row>
    <row r="49"/>
  </sheetData>
  <mergeCells count="145">
    <mergeCell ref="A48:T48"/>
    <mergeCell ref="A40:B40"/>
    <mergeCell ref="C40:E40"/>
    <mergeCell ref="O40:S40"/>
    <mergeCell ref="A42:E42"/>
    <mergeCell ref="F40:N40"/>
    <mergeCell ref="A35:E35"/>
    <mergeCell ref="F35:N35"/>
    <mergeCell ref="O35:S35"/>
    <mergeCell ref="A43:T43"/>
    <mergeCell ref="A45:T45"/>
    <mergeCell ref="A38:E38"/>
    <mergeCell ref="F38:N38"/>
    <mergeCell ref="O38:S38"/>
    <mergeCell ref="A39:E39"/>
    <mergeCell ref="F39:N39"/>
    <mergeCell ref="O39:S39"/>
    <mergeCell ref="A36:E36"/>
    <mergeCell ref="F36:N36"/>
    <mergeCell ref="O36:S36"/>
    <mergeCell ref="A37:E37"/>
    <mergeCell ref="F37:N37"/>
    <mergeCell ref="O37:S37"/>
    <mergeCell ref="V29:W29"/>
    <mergeCell ref="V30:W30"/>
    <mergeCell ref="V32:W32"/>
    <mergeCell ref="V33:W33"/>
    <mergeCell ref="B28:E28"/>
    <mergeCell ref="F28:I28"/>
    <mergeCell ref="K28:N28"/>
    <mergeCell ref="P28:Q28"/>
    <mergeCell ref="B29:E29"/>
    <mergeCell ref="F29:I29"/>
    <mergeCell ref="K29:N29"/>
    <mergeCell ref="P29:Q29"/>
    <mergeCell ref="A31:S31"/>
    <mergeCell ref="A32:E32"/>
    <mergeCell ref="A33:E34"/>
    <mergeCell ref="F33:N34"/>
    <mergeCell ref="O33:S34"/>
    <mergeCell ref="B30:E30"/>
    <mergeCell ref="F30:I30"/>
    <mergeCell ref="K30:N30"/>
    <mergeCell ref="P30:Q30"/>
    <mergeCell ref="B26:E26"/>
    <mergeCell ref="F26:I26"/>
    <mergeCell ref="K26:N26"/>
    <mergeCell ref="P26:Q26"/>
    <mergeCell ref="V26:W26"/>
    <mergeCell ref="B27:E27"/>
    <mergeCell ref="F27:I27"/>
    <mergeCell ref="K27:N27"/>
    <mergeCell ref="P27:Q27"/>
    <mergeCell ref="V27:W27"/>
    <mergeCell ref="B24:E24"/>
    <mergeCell ref="F24:I24"/>
    <mergeCell ref="K24:N24"/>
    <mergeCell ref="P24:Q24"/>
    <mergeCell ref="B25:E25"/>
    <mergeCell ref="F25:I25"/>
    <mergeCell ref="K25:N25"/>
    <mergeCell ref="P25:Q25"/>
    <mergeCell ref="U25:W25"/>
    <mergeCell ref="U24:W24"/>
    <mergeCell ref="B22:E22"/>
    <mergeCell ref="F22:I22"/>
    <mergeCell ref="K22:N22"/>
    <mergeCell ref="P22:Q22"/>
    <mergeCell ref="B23:E23"/>
    <mergeCell ref="F23:I23"/>
    <mergeCell ref="K23:N23"/>
    <mergeCell ref="P23:Q23"/>
    <mergeCell ref="B19:E19"/>
    <mergeCell ref="B20:E20"/>
    <mergeCell ref="U17:W17"/>
    <mergeCell ref="F18:I18"/>
    <mergeCell ref="K18:N18"/>
    <mergeCell ref="P18:Q18"/>
    <mergeCell ref="F19:I19"/>
    <mergeCell ref="K19:N19"/>
    <mergeCell ref="P19:Q19"/>
    <mergeCell ref="B18:E18"/>
    <mergeCell ref="W20:W21"/>
    <mergeCell ref="U20:U21"/>
    <mergeCell ref="V20:V21"/>
    <mergeCell ref="F20:I20"/>
    <mergeCell ref="K20:N20"/>
    <mergeCell ref="P20:Q20"/>
    <mergeCell ref="B21:E21"/>
    <mergeCell ref="F21:I21"/>
    <mergeCell ref="K21:N21"/>
    <mergeCell ref="P21:Q21"/>
    <mergeCell ref="B16:E16"/>
    <mergeCell ref="F16:I16"/>
    <mergeCell ref="K16:N16"/>
    <mergeCell ref="P16:Q16"/>
    <mergeCell ref="F17:I17"/>
    <mergeCell ref="K17:N17"/>
    <mergeCell ref="P17:Q17"/>
    <mergeCell ref="B17:E17"/>
    <mergeCell ref="A14:E14"/>
    <mergeCell ref="F14:N14"/>
    <mergeCell ref="O14:S14"/>
    <mergeCell ref="A15:E15"/>
    <mergeCell ref="F15:N15"/>
    <mergeCell ref="O15:S15"/>
    <mergeCell ref="A12:E12"/>
    <mergeCell ref="F12:N12"/>
    <mergeCell ref="O12:S12"/>
    <mergeCell ref="A13:E13"/>
    <mergeCell ref="F13:N13"/>
    <mergeCell ref="O13:S13"/>
    <mergeCell ref="A9:I9"/>
    <mergeCell ref="J9:S9"/>
    <mergeCell ref="A10:E10"/>
    <mergeCell ref="F10:N10"/>
    <mergeCell ref="O10:S10"/>
    <mergeCell ref="A11:E11"/>
    <mergeCell ref="F11:N11"/>
    <mergeCell ref="O11:S11"/>
    <mergeCell ref="A6:I6"/>
    <mergeCell ref="J6:S6"/>
    <mergeCell ref="V6:W6"/>
    <mergeCell ref="A7:I7"/>
    <mergeCell ref="J7:S7"/>
    <mergeCell ref="U7:U8"/>
    <mergeCell ref="V7:W8"/>
    <mergeCell ref="A8:I8"/>
    <mergeCell ref="J8:S8"/>
    <mergeCell ref="C4:P4"/>
    <mergeCell ref="Q4:S4"/>
    <mergeCell ref="V4:W4"/>
    <mergeCell ref="C5:P5"/>
    <mergeCell ref="Q5:S5"/>
    <mergeCell ref="V5:W5"/>
    <mergeCell ref="A1:B5"/>
    <mergeCell ref="C1:P1"/>
    <mergeCell ref="Q1:S1"/>
    <mergeCell ref="U1:W1"/>
    <mergeCell ref="C2:P2"/>
    <mergeCell ref="Q2:S2"/>
    <mergeCell ref="V2:W2"/>
    <mergeCell ref="C3:P3"/>
    <mergeCell ref="Q3:S3"/>
    <mergeCell ref="V3:W3"/>
  </mergeCells>
  <conditionalFormatting sqref="B17:N30">
    <cfRule type="cellIs" dxfId="15" priority="5" stopIfTrue="1" operator="equal">
      <formula>#N/A</formula>
    </cfRule>
  </conditionalFormatting>
  <conditionalFormatting sqref="S17:S30">
    <cfRule type="cellIs" dxfId="14" priority="2" stopIfTrue="1" operator="equal">
      <formula>#N/A</formula>
    </cfRule>
  </conditionalFormatting>
  <conditionalFormatting sqref="U25">
    <cfRule type="cellIs" dxfId="13" priority="1" stopIfTrue="1" operator="equal">
      <formula>#N/A</formula>
    </cfRule>
  </conditionalFormatting>
  <pageMargins left="0.70866141732283472" right="0.19685039370078741" top="0.39370078740157483" bottom="0.19685039370078741" header="0.39370078740157483" footer="3.937007874015748E-2"/>
  <pageSetup paperSize="9" orientation="portrait" r:id="rId1"/>
  <headerFooter alignWithMargins="0">
    <oddFooter>&amp;R&amp;9     &amp;8Take effect from/Áp dụng từ ngày 10.01.14</oddFooter>
  </headerFooter>
  <drawing r:id="rId2"/>
  <legacyDrawing r:id="rId3"/>
  <oleObjects>
    <mc:AlternateContent xmlns:mc="http://schemas.openxmlformats.org/markup-compatibility/2006">
      <mc:Choice Requires="x14">
        <oleObject progId="PBrush" shapeId="14445569" r:id="rId4">
          <objectPr defaultSize="0" autoPict="0" altText="" r:id="rId5">
            <anchor moveWithCells="1" sizeWithCells="1">
              <from>
                <xdr:col>0</xdr:col>
                <xdr:colOff>15240</xdr:colOff>
                <xdr:row>0</xdr:row>
                <xdr:rowOff>194310</xdr:rowOff>
              </from>
              <to>
                <xdr:col>1</xdr:col>
                <xdr:colOff>632460</xdr:colOff>
                <xdr:row>4</xdr:row>
                <xdr:rowOff>57150</xdr:rowOff>
              </to>
            </anchor>
          </objectPr>
        </oleObject>
      </mc:Choice>
      <mc:Fallback>
        <oleObject progId="PBrush" shapeId="14445569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">
    <tabColor rgb="FF00B050"/>
  </sheetPr>
  <dimension ref="A1:Z46"/>
  <sheetViews>
    <sheetView showGridLines="0" zoomScaleNormal="100" workbookViewId="0">
      <selection activeCell="Q1" sqref="Q1:T1"/>
    </sheetView>
  </sheetViews>
  <sheetFormatPr defaultColWidth="0" defaultRowHeight="13.8" zeroHeight="1"/>
  <cols>
    <col min="1" max="1" width="4.33203125" style="103" customWidth="1"/>
    <col min="2" max="2" width="8.77734375" style="103" customWidth="1"/>
    <col min="3" max="3" width="9" style="103" customWidth="1"/>
    <col min="4" max="4" width="2.109375" style="103" customWidth="1"/>
    <col min="5" max="5" width="6.0546875" style="103" customWidth="1"/>
    <col min="6" max="7" width="2.44140625" style="103" customWidth="1"/>
    <col min="8" max="8" width="3.109375" style="103" hidden="1" customWidth="1"/>
    <col min="9" max="9" width="5.109375" style="103" customWidth="1"/>
    <col min="10" max="10" width="1.33203125" style="103" hidden="1" customWidth="1"/>
    <col min="11" max="11" width="6.33203125" style="103" customWidth="1"/>
    <col min="12" max="12" width="6.38671875" style="103" customWidth="1"/>
    <col min="13" max="13" width="2.6640625" style="103" customWidth="1"/>
    <col min="14" max="14" width="8.44140625" style="103" customWidth="1"/>
    <col min="15" max="15" width="2.44140625" style="103" customWidth="1"/>
    <col min="16" max="16" width="4.109375" style="103" customWidth="1"/>
    <col min="17" max="17" width="1.6640625" style="103" customWidth="1"/>
    <col min="18" max="19" width="7.109375" style="103" customWidth="1"/>
    <col min="20" max="20" width="7.609375" style="103" customWidth="1"/>
    <col min="21" max="22" width="9.109375" style="103" customWidth="1"/>
    <col min="23" max="23" width="7.44140625" style="186" customWidth="1"/>
    <col min="24" max="24" width="17.0546875" style="186" customWidth="1"/>
    <col min="25" max="25" width="52.6640625" style="186" customWidth="1"/>
    <col min="26" max="26" width="9.109375" style="103" customWidth="1"/>
    <col min="27" max="16384" width="9.109375" style="103" hidden="1"/>
  </cols>
  <sheetData>
    <row r="1" spans="1:25" ht="25.5" customHeight="1">
      <c r="A1" s="1492"/>
      <c r="B1" s="1493"/>
      <c r="C1" s="1498" t="s">
        <v>456</v>
      </c>
      <c r="D1" s="1499"/>
      <c r="E1" s="1499"/>
      <c r="F1" s="1499"/>
      <c r="G1" s="1499"/>
      <c r="H1" s="1499"/>
      <c r="I1" s="1499"/>
      <c r="J1" s="1499"/>
      <c r="K1" s="1499"/>
      <c r="L1" s="1499"/>
      <c r="M1" s="1499"/>
      <c r="N1" s="1499"/>
      <c r="O1" s="1499"/>
      <c r="P1" s="1500"/>
      <c r="Q1" s="1501" t="s">
        <v>679</v>
      </c>
      <c r="R1" s="1502"/>
      <c r="S1" s="1502"/>
      <c r="T1" s="1503"/>
    </row>
    <row r="2" spans="1:25" ht="14.25" customHeight="1">
      <c r="A2" s="1494"/>
      <c r="B2" s="1495"/>
      <c r="C2" s="1504" t="s">
        <v>457</v>
      </c>
      <c r="D2" s="1505"/>
      <c r="E2" s="1505"/>
      <c r="F2" s="1505"/>
      <c r="G2" s="1505"/>
      <c r="H2" s="1505"/>
      <c r="I2" s="1505"/>
      <c r="J2" s="1505"/>
      <c r="K2" s="1505"/>
      <c r="L2" s="1505"/>
      <c r="M2" s="1505"/>
      <c r="N2" s="1505"/>
      <c r="O2" s="1505"/>
      <c r="P2" s="1506"/>
      <c r="Q2" s="1507" t="s">
        <v>458</v>
      </c>
      <c r="R2" s="1508"/>
      <c r="S2" s="1508"/>
      <c r="T2" s="1509"/>
    </row>
    <row r="3" spans="1:25" ht="14.25" customHeight="1">
      <c r="A3" s="1494"/>
      <c r="B3" s="1495"/>
      <c r="C3" s="1510" t="s">
        <v>459</v>
      </c>
      <c r="D3" s="1511"/>
      <c r="E3" s="1511"/>
      <c r="F3" s="1511"/>
      <c r="G3" s="1511"/>
      <c r="H3" s="1511"/>
      <c r="I3" s="1511"/>
      <c r="J3" s="1511"/>
      <c r="K3" s="1511"/>
      <c r="L3" s="1511"/>
      <c r="M3" s="1511"/>
      <c r="N3" s="1511"/>
      <c r="O3" s="1511"/>
      <c r="P3" s="1512"/>
      <c r="Q3" s="1513" t="s">
        <v>678</v>
      </c>
      <c r="R3" s="1514"/>
      <c r="S3" s="1514"/>
      <c r="T3" s="1515"/>
      <c r="W3" s="1529" t="s">
        <v>672</v>
      </c>
      <c r="X3" s="1529"/>
      <c r="Y3" s="1529"/>
    </row>
    <row r="4" spans="1:25" ht="14.4" customHeight="1">
      <c r="A4" s="1494"/>
      <c r="B4" s="1495"/>
      <c r="C4" s="1516" t="s">
        <v>460</v>
      </c>
      <c r="D4" s="1517"/>
      <c r="E4" s="1517"/>
      <c r="F4" s="1517"/>
      <c r="G4" s="1517"/>
      <c r="H4" s="1517"/>
      <c r="I4" s="1517"/>
      <c r="J4" s="1517"/>
      <c r="K4" s="1517"/>
      <c r="L4" s="1517"/>
      <c r="M4" s="1517"/>
      <c r="N4" s="1517"/>
      <c r="O4" s="1517"/>
      <c r="P4" s="1518"/>
      <c r="Q4" s="1519" t="s">
        <v>677</v>
      </c>
      <c r="R4" s="1520"/>
      <c r="S4" s="1520"/>
      <c r="T4" s="1521"/>
      <c r="W4" s="1529" t="s">
        <v>673</v>
      </c>
      <c r="X4" s="1529"/>
      <c r="Y4" s="1529"/>
    </row>
    <row r="5" spans="1:25" ht="15" customHeight="1">
      <c r="A5" s="1494"/>
      <c r="B5" s="1495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6"/>
      <c r="Q5" s="1522" t="s">
        <v>461</v>
      </c>
      <c r="R5" s="1523"/>
      <c r="S5" s="1523"/>
      <c r="T5" s="1524"/>
      <c r="W5" s="223" t="s">
        <v>674</v>
      </c>
    </row>
    <row r="6" spans="1:25" ht="12.75" customHeight="1">
      <c r="A6" s="1496"/>
      <c r="B6" s="1497"/>
      <c r="C6" s="1483"/>
      <c r="D6" s="1484"/>
      <c r="E6" s="1484"/>
      <c r="F6" s="1484"/>
      <c r="G6" s="1484"/>
      <c r="H6" s="1484"/>
      <c r="I6" s="1484"/>
      <c r="J6" s="1484"/>
      <c r="K6" s="1484"/>
      <c r="L6" s="1484"/>
      <c r="M6" s="1484"/>
      <c r="N6" s="1484"/>
      <c r="O6" s="1484"/>
      <c r="P6" s="1485"/>
      <c r="Q6" s="1486" t="s">
        <v>462</v>
      </c>
      <c r="R6" s="1487"/>
      <c r="S6" s="1487"/>
      <c r="T6" s="1488"/>
      <c r="W6" s="1530" t="s">
        <v>276</v>
      </c>
      <c r="X6" s="1530"/>
      <c r="Y6" s="1530"/>
    </row>
    <row r="7" spans="1:25" ht="15" customHeight="1">
      <c r="A7" s="1465" t="s">
        <v>463</v>
      </c>
      <c r="B7" s="1466"/>
      <c r="C7" s="1466"/>
      <c r="D7" s="1466"/>
      <c r="E7" s="1466"/>
      <c r="F7" s="1466"/>
      <c r="G7" s="1466"/>
      <c r="H7" s="1466"/>
      <c r="I7" s="1467"/>
      <c r="J7" s="1489" t="s">
        <v>464</v>
      </c>
      <c r="K7" s="1490"/>
      <c r="L7" s="1490"/>
      <c r="M7" s="1490"/>
      <c r="N7" s="1490"/>
      <c r="O7" s="1490"/>
      <c r="P7" s="1490"/>
      <c r="Q7" s="1490"/>
      <c r="R7" s="1490"/>
      <c r="S7" s="1490"/>
      <c r="T7" s="1491"/>
      <c r="W7" s="164" t="s">
        <v>21</v>
      </c>
      <c r="X7" s="165" t="s">
        <v>583</v>
      </c>
      <c r="Y7" s="166" t="s">
        <v>584</v>
      </c>
    </row>
    <row r="8" spans="1:25" ht="15" customHeight="1">
      <c r="A8" s="1471" t="s">
        <v>465</v>
      </c>
      <c r="B8" s="1472"/>
      <c r="C8" s="1472"/>
      <c r="D8" s="1472"/>
      <c r="E8" s="1472"/>
      <c r="F8" s="1472"/>
      <c r="G8" s="1472"/>
      <c r="H8" s="1472"/>
      <c r="I8" s="1473"/>
      <c r="J8" s="1471" t="s">
        <v>466</v>
      </c>
      <c r="K8" s="1472"/>
      <c r="L8" s="1472"/>
      <c r="M8" s="1472"/>
      <c r="N8" s="1472"/>
      <c r="O8" s="1472"/>
      <c r="P8" s="1472"/>
      <c r="Q8" s="1472"/>
      <c r="R8" s="1472"/>
      <c r="S8" s="1472"/>
      <c r="T8" s="1473"/>
      <c r="W8" s="168">
        <v>1</v>
      </c>
      <c r="X8" s="169" t="s">
        <v>277</v>
      </c>
      <c r="Y8" s="170" t="s">
        <v>278</v>
      </c>
    </row>
    <row r="9" spans="1:25" ht="15" customHeight="1">
      <c r="A9" s="1465" t="s">
        <v>467</v>
      </c>
      <c r="B9" s="1466"/>
      <c r="C9" s="1466"/>
      <c r="D9" s="1466"/>
      <c r="E9" s="1466"/>
      <c r="F9" s="1466"/>
      <c r="G9" s="1466"/>
      <c r="H9" s="1466"/>
      <c r="I9" s="1467"/>
      <c r="J9" s="1465" t="s">
        <v>468</v>
      </c>
      <c r="K9" s="1466"/>
      <c r="L9" s="1466"/>
      <c r="M9" s="1466"/>
      <c r="N9" s="1466"/>
      <c r="O9" s="1466"/>
      <c r="P9" s="1466"/>
      <c r="Q9" s="1466"/>
      <c r="R9" s="1466"/>
      <c r="S9" s="1466"/>
      <c r="T9" s="1467"/>
      <c r="W9" s="1531">
        <v>2</v>
      </c>
      <c r="X9" s="1532" t="s">
        <v>279</v>
      </c>
      <c r="Y9" s="1533" t="s">
        <v>280</v>
      </c>
    </row>
    <row r="10" spans="1:25" ht="15" customHeight="1">
      <c r="A10" s="1468" t="s">
        <v>469</v>
      </c>
      <c r="B10" s="1469"/>
      <c r="C10" s="1469"/>
      <c r="D10" s="1469"/>
      <c r="E10" s="1469"/>
      <c r="F10" s="1469"/>
      <c r="G10" s="1469"/>
      <c r="H10" s="1469"/>
      <c r="I10" s="1470"/>
      <c r="J10" s="1471" t="s">
        <v>470</v>
      </c>
      <c r="K10" s="1472"/>
      <c r="L10" s="1472"/>
      <c r="M10" s="1472"/>
      <c r="N10" s="1472"/>
      <c r="O10" s="1472"/>
      <c r="P10" s="1472"/>
      <c r="Q10" s="1472"/>
      <c r="R10" s="1472"/>
      <c r="S10" s="1472"/>
      <c r="T10" s="1473"/>
      <c r="W10" s="1531"/>
      <c r="X10" s="1532"/>
      <c r="Y10" s="1534"/>
    </row>
    <row r="11" spans="1:25" ht="15" customHeight="1">
      <c r="A11" s="1474" t="s">
        <v>471</v>
      </c>
      <c r="B11" s="1475"/>
      <c r="C11" s="1475"/>
      <c r="D11" s="1475"/>
      <c r="E11" s="1476"/>
      <c r="F11" s="1477" t="s">
        <v>472</v>
      </c>
      <c r="G11" s="1478"/>
      <c r="H11" s="1478"/>
      <c r="I11" s="1478"/>
      <c r="J11" s="1478"/>
      <c r="K11" s="1478"/>
      <c r="L11" s="1479"/>
      <c r="M11" s="1480" t="s">
        <v>473</v>
      </c>
      <c r="N11" s="1481"/>
      <c r="O11" s="1481"/>
      <c r="P11" s="1481"/>
      <c r="Q11" s="1481"/>
      <c r="R11" s="1481"/>
      <c r="S11" s="1481"/>
      <c r="T11" s="1482"/>
      <c r="W11" s="168">
        <v>3</v>
      </c>
      <c r="X11" s="204" t="s">
        <v>281</v>
      </c>
      <c r="Y11" s="205" t="s">
        <v>282</v>
      </c>
    </row>
    <row r="12" spans="1:25" ht="15" customHeight="1">
      <c r="A12" s="1447" t="s">
        <v>474</v>
      </c>
      <c r="B12" s="1448"/>
      <c r="C12" s="1448"/>
      <c r="D12" s="1448"/>
      <c r="E12" s="1449"/>
      <c r="F12" s="1450" t="s">
        <v>475</v>
      </c>
      <c r="G12" s="1451"/>
      <c r="H12" s="1451"/>
      <c r="I12" s="1451"/>
      <c r="J12" s="1451"/>
      <c r="K12" s="1451"/>
      <c r="L12" s="1452"/>
      <c r="M12" s="1453" t="s">
        <v>476</v>
      </c>
      <c r="N12" s="1454"/>
      <c r="O12" s="1454"/>
      <c r="P12" s="1454"/>
      <c r="Q12" s="1454"/>
      <c r="R12" s="1454"/>
      <c r="S12" s="1454"/>
      <c r="T12" s="1455"/>
      <c r="W12" s="168">
        <v>3</v>
      </c>
      <c r="X12" s="204" t="s">
        <v>585</v>
      </c>
      <c r="Y12" s="205" t="s">
        <v>146</v>
      </c>
    </row>
    <row r="13" spans="1:25" ht="15" customHeight="1">
      <c r="A13" s="1456" t="s">
        <v>580</v>
      </c>
      <c r="B13" s="1457"/>
      <c r="C13" s="1457"/>
      <c r="D13" s="1457"/>
      <c r="E13" s="1458"/>
      <c r="F13" s="1459" t="s">
        <v>477</v>
      </c>
      <c r="G13" s="1460"/>
      <c r="H13" s="1460"/>
      <c r="I13" s="1460"/>
      <c r="J13" s="1460"/>
      <c r="K13" s="1460"/>
      <c r="L13" s="1461"/>
      <c r="M13" s="1462" t="s">
        <v>478</v>
      </c>
      <c r="N13" s="1463"/>
      <c r="O13" s="1463"/>
      <c r="P13" s="1463"/>
      <c r="Q13" s="1463"/>
      <c r="R13" s="1463"/>
      <c r="S13" s="1463"/>
      <c r="T13" s="1464"/>
      <c r="W13" s="1535" t="s">
        <v>283</v>
      </c>
      <c r="X13" s="1536"/>
      <c r="Y13" s="1536"/>
    </row>
    <row r="14" spans="1:25" s="108" customFormat="1" ht="15.3" customHeight="1">
      <c r="A14" s="1417" t="s">
        <v>479</v>
      </c>
      <c r="B14" s="1418"/>
      <c r="C14" s="1418"/>
      <c r="D14" s="1419"/>
      <c r="E14" s="1420">
        <v>0</v>
      </c>
      <c r="F14" s="1414"/>
      <c r="G14" s="1420">
        <v>45</v>
      </c>
      <c r="H14" s="1413"/>
      <c r="I14" s="1414"/>
      <c r="J14" s="1420">
        <v>60</v>
      </c>
      <c r="K14" s="1414"/>
      <c r="L14" s="107">
        <v>70</v>
      </c>
      <c r="M14" s="1441" t="s">
        <v>480</v>
      </c>
      <c r="N14" s="1442"/>
      <c r="O14" s="1442"/>
      <c r="P14" s="1442"/>
      <c r="Q14" s="1442"/>
      <c r="R14" s="1442"/>
      <c r="S14" s="1442"/>
      <c r="T14" s="1443"/>
      <c r="W14" s="1537" t="s">
        <v>284</v>
      </c>
      <c r="X14" s="1538"/>
      <c r="Y14" s="1538"/>
    </row>
    <row r="15" spans="1:25" ht="15.6" customHeight="1">
      <c r="A15" s="1444" t="s">
        <v>481</v>
      </c>
      <c r="B15" s="1445"/>
      <c r="C15" s="1445"/>
      <c r="D15" s="1446"/>
      <c r="E15" s="1412" t="s">
        <v>482</v>
      </c>
      <c r="F15" s="1414"/>
      <c r="G15" s="1420" t="s">
        <v>483</v>
      </c>
      <c r="H15" s="1413"/>
      <c r="I15" s="1414"/>
      <c r="J15" s="1420" t="s">
        <v>483</v>
      </c>
      <c r="K15" s="1414"/>
      <c r="L15" s="107" t="s">
        <v>483</v>
      </c>
      <c r="M15" s="1417" t="s">
        <v>484</v>
      </c>
      <c r="N15" s="1418"/>
      <c r="O15" s="1418"/>
      <c r="P15" s="1418"/>
      <c r="Q15" s="1418"/>
      <c r="R15" s="1418"/>
      <c r="S15" s="1418"/>
      <c r="T15" s="1419"/>
      <c r="W15" s="171" t="s">
        <v>285</v>
      </c>
      <c r="X15" s="1315" t="s">
        <v>586</v>
      </c>
      <c r="Y15" s="1315"/>
    </row>
    <row r="16" spans="1:25" ht="18" customHeight="1">
      <c r="A16" s="1407" t="s">
        <v>485</v>
      </c>
      <c r="B16" s="1408"/>
      <c r="C16" s="1408"/>
      <c r="D16" s="1409"/>
      <c r="E16" s="1412" t="s">
        <v>486</v>
      </c>
      <c r="F16" s="1414"/>
      <c r="G16" s="1412" t="s">
        <v>487</v>
      </c>
      <c r="H16" s="1413"/>
      <c r="I16" s="1414"/>
      <c r="J16" s="1412" t="s">
        <v>488</v>
      </c>
      <c r="K16" s="1414"/>
      <c r="L16" s="109" t="s">
        <v>489</v>
      </c>
      <c r="M16" s="1435" t="s">
        <v>490</v>
      </c>
      <c r="N16" s="1436"/>
      <c r="O16" s="1436"/>
      <c r="P16" s="1436"/>
      <c r="Q16" s="1436"/>
      <c r="R16" s="1436"/>
      <c r="S16" s="1436"/>
      <c r="T16" s="1437"/>
      <c r="W16" s="172"/>
      <c r="X16" s="1315" t="s">
        <v>286</v>
      </c>
      <c r="Y16" s="1315"/>
    </row>
    <row r="17" spans="1:25" ht="18" customHeight="1">
      <c r="A17" s="1425" t="s">
        <v>491</v>
      </c>
      <c r="B17" s="1426"/>
      <c r="C17" s="1426"/>
      <c r="D17" s="1427"/>
      <c r="E17" s="1420" t="s">
        <v>492</v>
      </c>
      <c r="F17" s="1414"/>
      <c r="G17" s="1420" t="s">
        <v>493</v>
      </c>
      <c r="H17" s="1413"/>
      <c r="I17" s="1414"/>
      <c r="J17" s="1428" t="s">
        <v>493</v>
      </c>
      <c r="K17" s="1416"/>
      <c r="L17" s="110" t="s">
        <v>493</v>
      </c>
      <c r="M17" s="1438" t="s">
        <v>494</v>
      </c>
      <c r="N17" s="1439"/>
      <c r="O17" s="1439"/>
      <c r="P17" s="1439"/>
      <c r="Q17" s="1439"/>
      <c r="R17" s="1439"/>
      <c r="S17" s="1439"/>
      <c r="T17" s="1440"/>
      <c r="W17" s="206"/>
      <c r="X17" s="207"/>
      <c r="Y17" s="207"/>
    </row>
    <row r="18" spans="1:25" ht="18" customHeight="1">
      <c r="A18" s="1425" t="s">
        <v>495</v>
      </c>
      <c r="B18" s="1426"/>
      <c r="C18" s="1426"/>
      <c r="D18" s="1427"/>
      <c r="E18" s="1420">
        <v>4</v>
      </c>
      <c r="F18" s="1414"/>
      <c r="G18" s="1420">
        <v>4</v>
      </c>
      <c r="H18" s="1413"/>
      <c r="I18" s="1414"/>
      <c r="J18" s="1428">
        <v>4</v>
      </c>
      <c r="K18" s="1416"/>
      <c r="L18" s="110">
        <v>4</v>
      </c>
      <c r="M18" s="1429" t="s">
        <v>582</v>
      </c>
      <c r="N18" s="1430"/>
      <c r="O18" s="1430"/>
      <c r="P18" s="1430"/>
      <c r="Q18" s="1430"/>
      <c r="R18" s="1430"/>
      <c r="S18" s="1430"/>
      <c r="T18" s="1431"/>
      <c r="W18" s="173" t="s">
        <v>146</v>
      </c>
      <c r="X18" s="1525" t="s">
        <v>587</v>
      </c>
      <c r="Y18" s="1526"/>
    </row>
    <row r="19" spans="1:25" ht="18" customHeight="1">
      <c r="A19" s="1425" t="s">
        <v>496</v>
      </c>
      <c r="B19" s="1426"/>
      <c r="C19" s="1426"/>
      <c r="D19" s="1427"/>
      <c r="E19" s="1420" t="s">
        <v>195</v>
      </c>
      <c r="F19" s="1414"/>
      <c r="G19" s="1412" t="s">
        <v>497</v>
      </c>
      <c r="H19" s="1413"/>
      <c r="I19" s="1414"/>
      <c r="J19" s="1428">
        <v>100</v>
      </c>
      <c r="K19" s="1416"/>
      <c r="L19" s="110">
        <v>100</v>
      </c>
      <c r="M19" s="1432"/>
      <c r="N19" s="1433"/>
      <c r="O19" s="1433"/>
      <c r="P19" s="1433"/>
      <c r="Q19" s="1433"/>
      <c r="R19" s="1433"/>
      <c r="S19" s="1433"/>
      <c r="T19" s="1434"/>
      <c r="W19" s="174"/>
      <c r="X19" s="1525" t="s">
        <v>588</v>
      </c>
      <c r="Y19" s="1526"/>
    </row>
    <row r="20" spans="1:25" ht="27" customHeight="1">
      <c r="A20" s="1407" t="s">
        <v>498</v>
      </c>
      <c r="B20" s="1408"/>
      <c r="C20" s="1408"/>
      <c r="D20" s="1409"/>
      <c r="E20" s="1410" t="s">
        <v>499</v>
      </c>
      <c r="F20" s="1411"/>
      <c r="G20" s="1412" t="s">
        <v>500</v>
      </c>
      <c r="H20" s="1413"/>
      <c r="I20" s="1414"/>
      <c r="J20" s="1415" t="s">
        <v>501</v>
      </c>
      <c r="K20" s="1416"/>
      <c r="L20" s="111" t="s">
        <v>502</v>
      </c>
      <c r="M20" s="1417" t="s">
        <v>581</v>
      </c>
      <c r="N20" s="1418"/>
      <c r="O20" s="1418"/>
      <c r="P20" s="1418"/>
      <c r="Q20" s="1418"/>
      <c r="R20" s="1418"/>
      <c r="S20" s="1418"/>
      <c r="T20" s="1419"/>
      <c r="W20" s="203"/>
      <c r="X20" s="203"/>
      <c r="Y20" s="203"/>
    </row>
    <row r="21" spans="1:25" ht="27" customHeight="1">
      <c r="A21" s="1407" t="s">
        <v>503</v>
      </c>
      <c r="B21" s="1408"/>
      <c r="C21" s="1408"/>
      <c r="D21" s="1409"/>
      <c r="E21" s="1420" t="s">
        <v>195</v>
      </c>
      <c r="F21" s="1414"/>
      <c r="G21" s="1415" t="s">
        <v>504</v>
      </c>
      <c r="H21" s="1421"/>
      <c r="I21" s="1416"/>
      <c r="J21" s="1415" t="s">
        <v>505</v>
      </c>
      <c r="K21" s="1416"/>
      <c r="L21" s="111" t="s">
        <v>506</v>
      </c>
      <c r="M21" s="1422" t="s">
        <v>507</v>
      </c>
      <c r="N21" s="1423"/>
      <c r="O21" s="1423"/>
      <c r="P21" s="1423"/>
      <c r="Q21" s="1423"/>
      <c r="R21" s="1423"/>
      <c r="S21" s="1423"/>
      <c r="T21" s="1424"/>
      <c r="W21" s="175" t="s">
        <v>96</v>
      </c>
      <c r="X21" s="1527" t="s">
        <v>589</v>
      </c>
      <c r="Y21" s="1527"/>
    </row>
    <row r="22" spans="1:25" s="114" customFormat="1" ht="65.400000000000006" customHeight="1">
      <c r="A22" s="112" t="s">
        <v>508</v>
      </c>
      <c r="B22" s="1396" t="s">
        <v>509</v>
      </c>
      <c r="C22" s="1397"/>
      <c r="D22" s="1397"/>
      <c r="E22" s="1397"/>
      <c r="F22" s="1398"/>
      <c r="G22" s="1396" t="s">
        <v>510</v>
      </c>
      <c r="H22" s="1397"/>
      <c r="I22" s="1397"/>
      <c r="J22" s="1398"/>
      <c r="K22" s="1396" t="s">
        <v>511</v>
      </c>
      <c r="L22" s="1398"/>
      <c r="M22" s="1396" t="s">
        <v>512</v>
      </c>
      <c r="N22" s="1398"/>
      <c r="O22" s="1396" t="s">
        <v>513</v>
      </c>
      <c r="P22" s="1397"/>
      <c r="Q22" s="1398"/>
      <c r="R22" s="113" t="s">
        <v>514</v>
      </c>
      <c r="S22" s="113" t="s">
        <v>515</v>
      </c>
      <c r="T22" s="113" t="s">
        <v>516</v>
      </c>
      <c r="W22" s="78"/>
      <c r="X22" s="1528" t="s">
        <v>590</v>
      </c>
      <c r="Y22" s="1528"/>
    </row>
    <row r="23" spans="1:25" ht="19.5" customHeight="1">
      <c r="A23" s="449" t="str">
        <f>IF(G23="","",MAX($A$22:A22)+1)</f>
        <v/>
      </c>
      <c r="B23" s="1399"/>
      <c r="C23" s="1400"/>
      <c r="D23" s="1400"/>
      <c r="E23" s="1400"/>
      <c r="F23" s="1401"/>
      <c r="G23" s="1399"/>
      <c r="H23" s="1400"/>
      <c r="I23" s="1400"/>
      <c r="J23" s="1401"/>
      <c r="K23" s="1388"/>
      <c r="L23" s="1387"/>
      <c r="M23" s="1402" t="s">
        <v>517</v>
      </c>
      <c r="N23" s="1403"/>
      <c r="O23" s="1404" t="s">
        <v>195</v>
      </c>
      <c r="P23" s="1405"/>
      <c r="Q23" s="1406"/>
      <c r="R23" s="115" t="s">
        <v>195</v>
      </c>
      <c r="S23" s="115" t="s">
        <v>195</v>
      </c>
      <c r="T23" s="116" t="s">
        <v>154</v>
      </c>
      <c r="W23" s="208"/>
      <c r="X23" s="209"/>
      <c r="Y23" s="208"/>
    </row>
    <row r="24" spans="1:25" ht="19.5" customHeight="1">
      <c r="A24" s="449" t="str">
        <f>IF(G24="","",MAX($A$22:A23)+1)</f>
        <v/>
      </c>
      <c r="B24" s="1395"/>
      <c r="C24" s="1386"/>
      <c r="D24" s="1386"/>
      <c r="E24" s="1386"/>
      <c r="F24" s="1387"/>
      <c r="G24" s="1388"/>
      <c r="H24" s="1386"/>
      <c r="I24" s="1386"/>
      <c r="J24" s="1387"/>
      <c r="K24" s="1388"/>
      <c r="L24" s="1387"/>
      <c r="M24" s="1389" t="s">
        <v>517</v>
      </c>
      <c r="N24" s="1390"/>
      <c r="O24" s="1391" t="s">
        <v>195</v>
      </c>
      <c r="P24" s="1392"/>
      <c r="Q24" s="1393"/>
      <c r="R24" s="117" t="s">
        <v>195</v>
      </c>
      <c r="S24" s="117" t="s">
        <v>195</v>
      </c>
      <c r="T24" s="118" t="s">
        <v>154</v>
      </c>
      <c r="W24" s="208"/>
      <c r="X24" s="209"/>
      <c r="Y24" s="208"/>
    </row>
    <row r="25" spans="1:25" ht="19.5" customHeight="1">
      <c r="A25" s="449" t="str">
        <f>IF(G25="","",MAX($A$22:A24)+1)</f>
        <v/>
      </c>
      <c r="B25" s="1394"/>
      <c r="C25" s="1386"/>
      <c r="D25" s="1386"/>
      <c r="E25" s="1386"/>
      <c r="F25" s="1387"/>
      <c r="G25" s="1388"/>
      <c r="H25" s="1386"/>
      <c r="I25" s="1386"/>
      <c r="J25" s="1387"/>
      <c r="K25" s="1388"/>
      <c r="L25" s="1387"/>
      <c r="M25" s="1389"/>
      <c r="N25" s="1390"/>
      <c r="O25" s="1391"/>
      <c r="P25" s="1392"/>
      <c r="Q25" s="1393"/>
      <c r="R25" s="117"/>
      <c r="S25" s="117"/>
      <c r="T25" s="118"/>
      <c r="W25" s="103"/>
      <c r="X25" s="103"/>
      <c r="Y25" s="103"/>
    </row>
    <row r="26" spans="1:25" ht="19.5" customHeight="1">
      <c r="A26" s="449" t="str">
        <f>IF(G26="","",MAX($A$22:A25)+1)</f>
        <v/>
      </c>
      <c r="B26" s="1388"/>
      <c r="C26" s="1386"/>
      <c r="D26" s="1386"/>
      <c r="E26" s="1386"/>
      <c r="F26" s="1387"/>
      <c r="G26" s="1388"/>
      <c r="H26" s="1386"/>
      <c r="I26" s="1386"/>
      <c r="J26" s="1387"/>
      <c r="K26" s="1388"/>
      <c r="L26" s="1387"/>
      <c r="M26" s="1389"/>
      <c r="N26" s="1390"/>
      <c r="O26" s="1391"/>
      <c r="P26" s="1392"/>
      <c r="Q26" s="1393"/>
      <c r="R26" s="117"/>
      <c r="S26" s="117"/>
      <c r="T26" s="118"/>
      <c r="W26" s="211"/>
      <c r="X26" s="212"/>
      <c r="Y26" s="213"/>
    </row>
    <row r="27" spans="1:25" ht="19.5" customHeight="1">
      <c r="A27" s="449" t="str">
        <f>IF(G27="","",MAX($A$22:A26)+1)</f>
        <v/>
      </c>
      <c r="B27" s="1394"/>
      <c r="C27" s="1386"/>
      <c r="D27" s="1386"/>
      <c r="E27" s="1386"/>
      <c r="F27" s="1387"/>
      <c r="G27" s="1388"/>
      <c r="H27" s="1386"/>
      <c r="I27" s="1386"/>
      <c r="J27" s="1387"/>
      <c r="K27" s="1388"/>
      <c r="L27" s="1387"/>
      <c r="M27" s="1389"/>
      <c r="N27" s="1390"/>
      <c r="O27" s="1391"/>
      <c r="P27" s="1392"/>
      <c r="Q27" s="1393"/>
      <c r="R27" s="117"/>
      <c r="S27" s="117"/>
      <c r="T27" s="118"/>
      <c r="W27" s="214"/>
      <c r="X27" s="214"/>
      <c r="Y27" s="214"/>
    </row>
    <row r="28" spans="1:25" ht="19.5" customHeight="1">
      <c r="A28" s="449" t="str">
        <f>IF(G28="","",MAX($A$22:A27)+1)</f>
        <v/>
      </c>
      <c r="B28" s="1394"/>
      <c r="C28" s="1386"/>
      <c r="D28" s="1386"/>
      <c r="E28" s="1386"/>
      <c r="F28" s="1387"/>
      <c r="G28" s="1388"/>
      <c r="H28" s="1386"/>
      <c r="I28" s="1386"/>
      <c r="J28" s="1387"/>
      <c r="K28" s="1388"/>
      <c r="L28" s="1387"/>
      <c r="M28" s="1389"/>
      <c r="N28" s="1390"/>
      <c r="O28" s="1391"/>
      <c r="P28" s="1392"/>
      <c r="Q28" s="1393"/>
      <c r="R28" s="117"/>
      <c r="S28" s="117"/>
      <c r="T28" s="118"/>
      <c r="W28" s="215"/>
      <c r="X28" s="215"/>
      <c r="Y28" s="215"/>
    </row>
    <row r="29" spans="1:25" ht="19.5" customHeight="1">
      <c r="A29" s="449" t="str">
        <f>IF(G29="","",MAX($A$22:A28)+1)</f>
        <v/>
      </c>
      <c r="B29" s="1394"/>
      <c r="C29" s="1386"/>
      <c r="D29" s="1386"/>
      <c r="E29" s="1386"/>
      <c r="F29" s="1387"/>
      <c r="G29" s="1388"/>
      <c r="H29" s="1386"/>
      <c r="I29" s="1386"/>
      <c r="J29" s="1387"/>
      <c r="K29" s="1388"/>
      <c r="L29" s="1387"/>
      <c r="M29" s="1389"/>
      <c r="N29" s="1390"/>
      <c r="O29" s="1391"/>
      <c r="P29" s="1392"/>
      <c r="Q29" s="1393"/>
      <c r="R29" s="117"/>
      <c r="S29" s="117"/>
      <c r="T29" s="118"/>
      <c r="W29" s="216"/>
      <c r="X29" s="217"/>
      <c r="Y29" s="217"/>
    </row>
    <row r="30" spans="1:25" ht="19.5" customHeight="1">
      <c r="A30" s="449" t="str">
        <f>IF(G30="","",MAX($A$22:A29)+1)</f>
        <v/>
      </c>
      <c r="B30" s="1385"/>
      <c r="C30" s="1386"/>
      <c r="D30" s="1386"/>
      <c r="E30" s="1386"/>
      <c r="F30" s="1387"/>
      <c r="G30" s="1388"/>
      <c r="H30" s="1386"/>
      <c r="I30" s="1386"/>
      <c r="J30" s="1387"/>
      <c r="K30" s="1388"/>
      <c r="L30" s="1387"/>
      <c r="M30" s="1389"/>
      <c r="N30" s="1390"/>
      <c r="O30" s="1391"/>
      <c r="P30" s="1392"/>
      <c r="Q30" s="1393"/>
      <c r="R30" s="117"/>
      <c r="S30" s="117"/>
      <c r="T30" s="118"/>
      <c r="W30" s="218"/>
      <c r="X30" s="217"/>
      <c r="Y30" s="217"/>
    </row>
    <row r="31" spans="1:25" ht="19.5" customHeight="1">
      <c r="A31" s="449" t="str">
        <f>IF(G31="","",MAX($A$22:A30)+1)</f>
        <v/>
      </c>
      <c r="B31" s="1385"/>
      <c r="C31" s="1386"/>
      <c r="D31" s="1386"/>
      <c r="E31" s="1386"/>
      <c r="F31" s="1387"/>
      <c r="G31" s="1388"/>
      <c r="H31" s="1386"/>
      <c r="I31" s="1386"/>
      <c r="J31" s="1387"/>
      <c r="K31" s="1388"/>
      <c r="L31" s="1387"/>
      <c r="M31" s="1389"/>
      <c r="N31" s="1390"/>
      <c r="O31" s="1391"/>
      <c r="P31" s="1392"/>
      <c r="Q31" s="1393"/>
      <c r="R31" s="117"/>
      <c r="S31" s="117"/>
      <c r="T31" s="118"/>
      <c r="W31" s="210"/>
      <c r="X31" s="210"/>
      <c r="Y31" s="210"/>
    </row>
    <row r="32" spans="1:25" ht="19.5" customHeight="1">
      <c r="A32" s="449" t="str">
        <f>IF(G32="","",MAX($A$22:A31)+1)</f>
        <v/>
      </c>
      <c r="B32" s="1385"/>
      <c r="C32" s="1386"/>
      <c r="D32" s="1386"/>
      <c r="E32" s="1386"/>
      <c r="F32" s="1387"/>
      <c r="G32" s="1388"/>
      <c r="H32" s="1386"/>
      <c r="I32" s="1386"/>
      <c r="J32" s="1387"/>
      <c r="K32" s="1388"/>
      <c r="L32" s="1387"/>
      <c r="M32" s="1389"/>
      <c r="N32" s="1390"/>
      <c r="O32" s="1391"/>
      <c r="P32" s="1392"/>
      <c r="Q32" s="1393"/>
      <c r="R32" s="117"/>
      <c r="S32" s="117"/>
      <c r="T32" s="118"/>
      <c r="W32" s="219"/>
      <c r="X32" s="220"/>
      <c r="Y32" s="220"/>
    </row>
    <row r="33" spans="1:25" ht="19.5" customHeight="1">
      <c r="A33" s="449" t="str">
        <f>IF(G33="","",MAX($A$22:A32)+1)</f>
        <v/>
      </c>
      <c r="B33" s="1385"/>
      <c r="C33" s="1386"/>
      <c r="D33" s="1386"/>
      <c r="E33" s="1386"/>
      <c r="F33" s="1387"/>
      <c r="G33" s="1388"/>
      <c r="H33" s="1386"/>
      <c r="I33" s="1386"/>
      <c r="J33" s="1387"/>
      <c r="K33" s="1388"/>
      <c r="L33" s="1387"/>
      <c r="M33" s="1389"/>
      <c r="N33" s="1390"/>
      <c r="O33" s="1391"/>
      <c r="P33" s="1392"/>
      <c r="Q33" s="1393"/>
      <c r="R33" s="117"/>
      <c r="S33" s="117"/>
      <c r="T33" s="118"/>
      <c r="W33" s="218"/>
      <c r="X33" s="220"/>
      <c r="Y33" s="220"/>
    </row>
    <row r="34" spans="1:25" s="119" customFormat="1" ht="22.5" customHeight="1">
      <c r="A34" s="1373" t="s">
        <v>518</v>
      </c>
      <c r="B34" s="1374"/>
      <c r="C34" s="1374"/>
      <c r="D34" s="1374"/>
      <c r="E34" s="1374"/>
      <c r="F34" s="1374"/>
      <c r="G34" s="1374"/>
      <c r="H34" s="1374"/>
      <c r="I34" s="1374"/>
      <c r="J34" s="1374"/>
      <c r="K34" s="1374"/>
      <c r="L34" s="1374"/>
      <c r="M34" s="1374"/>
      <c r="N34" s="1374"/>
      <c r="O34" s="1374"/>
      <c r="P34" s="1374"/>
      <c r="Q34" s="1374"/>
      <c r="R34" s="1374"/>
      <c r="S34" s="1374"/>
      <c r="T34" s="1375"/>
      <c r="W34" s="78"/>
      <c r="X34" s="78"/>
      <c r="Y34" s="78"/>
    </row>
    <row r="35" spans="1:25" s="119" customFormat="1" ht="24.75" customHeight="1">
      <c r="A35" s="1376" t="s">
        <v>519</v>
      </c>
      <c r="B35" s="1377"/>
      <c r="C35" s="1377"/>
      <c r="D35" s="1377"/>
      <c r="E35" s="1377"/>
      <c r="F35" s="1377"/>
      <c r="G35" s="1377"/>
      <c r="H35" s="1377"/>
      <c r="I35" s="1377"/>
      <c r="J35" s="1377"/>
      <c r="K35" s="1377"/>
      <c r="L35" s="1377"/>
      <c r="M35" s="1377"/>
      <c r="N35" s="1377"/>
      <c r="O35" s="1377"/>
      <c r="P35" s="1377"/>
      <c r="Q35" s="1377"/>
      <c r="R35" s="1377"/>
      <c r="S35" s="1377"/>
      <c r="T35" s="1378"/>
      <c r="W35" s="175"/>
      <c r="X35" s="221"/>
      <c r="Y35" s="221"/>
    </row>
    <row r="36" spans="1:25" ht="14.25" customHeight="1">
      <c r="A36" s="120" t="s">
        <v>520</v>
      </c>
      <c r="B36" s="121"/>
      <c r="C36" s="121"/>
      <c r="D36" s="121"/>
      <c r="E36" s="121"/>
      <c r="F36" s="120" t="s">
        <v>199</v>
      </c>
      <c r="G36" s="121"/>
      <c r="H36" s="121"/>
      <c r="I36" s="121"/>
      <c r="J36" s="121"/>
      <c r="K36" s="121"/>
      <c r="L36" s="121"/>
      <c r="M36" s="121"/>
      <c r="N36" s="122"/>
      <c r="O36" s="1379" t="s">
        <v>200</v>
      </c>
      <c r="P36" s="1380"/>
      <c r="Q36" s="1380"/>
      <c r="R36" s="1380"/>
      <c r="S36" s="1380"/>
      <c r="T36" s="1381"/>
      <c r="U36" s="123"/>
      <c r="W36" s="78"/>
      <c r="X36" s="222"/>
      <c r="Y36" s="222"/>
    </row>
    <row r="37" spans="1:25" s="125" customFormat="1" ht="11.1" customHeight="1">
      <c r="A37" s="1382" t="s">
        <v>201</v>
      </c>
      <c r="B37" s="1383"/>
      <c r="C37" s="1383"/>
      <c r="D37" s="1383"/>
      <c r="E37" s="1384"/>
      <c r="F37" s="1382" t="s">
        <v>521</v>
      </c>
      <c r="G37" s="1383"/>
      <c r="H37" s="1383"/>
      <c r="I37" s="1383"/>
      <c r="J37" s="1383"/>
      <c r="K37" s="1383"/>
      <c r="L37" s="1383"/>
      <c r="M37" s="1383"/>
      <c r="N37" s="1384"/>
      <c r="O37" s="1382" t="s">
        <v>522</v>
      </c>
      <c r="P37" s="1383"/>
      <c r="Q37" s="1383"/>
      <c r="R37" s="1383"/>
      <c r="S37" s="1383"/>
      <c r="T37" s="1384"/>
      <c r="U37" s="124"/>
      <c r="W37" s="186"/>
      <c r="X37" s="186"/>
      <c r="Y37" s="186"/>
    </row>
    <row r="38" spans="1:25" s="125" customFormat="1" ht="11.1" customHeight="1">
      <c r="A38" s="1356" t="s">
        <v>523</v>
      </c>
      <c r="B38" s="1357"/>
      <c r="C38" s="1357"/>
      <c r="D38" s="1357"/>
      <c r="E38" s="1358"/>
      <c r="F38" s="1356" t="s">
        <v>204</v>
      </c>
      <c r="G38" s="1357"/>
      <c r="H38" s="1357"/>
      <c r="I38" s="1357"/>
      <c r="J38" s="1357"/>
      <c r="K38" s="1357"/>
      <c r="L38" s="1357"/>
      <c r="M38" s="1357"/>
      <c r="N38" s="1358"/>
      <c r="O38" s="1356" t="s">
        <v>204</v>
      </c>
      <c r="P38" s="1357"/>
      <c r="Q38" s="1357"/>
      <c r="R38" s="1357"/>
      <c r="S38" s="1357"/>
      <c r="T38" s="1358"/>
      <c r="U38" s="124"/>
      <c r="W38" s="186"/>
      <c r="X38" s="186"/>
      <c r="Y38" s="186"/>
    </row>
    <row r="39" spans="1:25" s="125" customFormat="1" ht="15" customHeight="1">
      <c r="A39" s="1370" t="s">
        <v>524</v>
      </c>
      <c r="B39" s="1371"/>
      <c r="C39" s="1371"/>
      <c r="D39" s="1371"/>
      <c r="E39" s="1372"/>
      <c r="F39" s="1359"/>
      <c r="G39" s="1360"/>
      <c r="H39" s="1360"/>
      <c r="I39" s="1360"/>
      <c r="J39" s="1360"/>
      <c r="K39" s="1360"/>
      <c r="L39" s="1360"/>
      <c r="M39" s="1360"/>
      <c r="N39" s="1361"/>
      <c r="O39" s="1359"/>
      <c r="P39" s="1360"/>
      <c r="Q39" s="1360"/>
      <c r="R39" s="1360"/>
      <c r="S39" s="1360"/>
      <c r="T39" s="1361"/>
      <c r="U39" s="124"/>
      <c r="W39" s="186"/>
      <c r="X39" s="186"/>
      <c r="Y39" s="186"/>
    </row>
    <row r="40" spans="1:25" s="125" customFormat="1">
      <c r="A40" s="1356" t="s">
        <v>205</v>
      </c>
      <c r="B40" s="1357"/>
      <c r="C40" s="1357"/>
      <c r="D40" s="1357"/>
      <c r="E40" s="1358"/>
      <c r="F40" s="126" t="s">
        <v>205</v>
      </c>
      <c r="G40" s="127"/>
      <c r="H40" s="127"/>
      <c r="I40" s="127"/>
      <c r="J40" s="127"/>
      <c r="K40" s="127"/>
      <c r="L40" s="127"/>
      <c r="M40" s="127"/>
      <c r="N40" s="128"/>
      <c r="O40" s="1356" t="s">
        <v>205</v>
      </c>
      <c r="P40" s="1357"/>
      <c r="Q40" s="1357"/>
      <c r="R40" s="1357"/>
      <c r="S40" s="1357"/>
      <c r="T40" s="1358"/>
      <c r="U40" s="124"/>
      <c r="W40" s="186"/>
      <c r="X40" s="186"/>
      <c r="Y40" s="186"/>
    </row>
    <row r="41" spans="1:25" s="125" customFormat="1" ht="7.8" customHeight="1">
      <c r="A41" s="126"/>
      <c r="B41" s="127"/>
      <c r="C41" s="127"/>
      <c r="D41" s="127"/>
      <c r="E41" s="128"/>
      <c r="F41" s="126"/>
      <c r="G41" s="127"/>
      <c r="H41" s="127"/>
      <c r="I41" s="127"/>
      <c r="J41" s="127"/>
      <c r="K41" s="127"/>
      <c r="L41" s="127"/>
      <c r="M41" s="127"/>
      <c r="N41" s="128"/>
      <c r="O41" s="126"/>
      <c r="P41" s="127"/>
      <c r="Q41" s="127"/>
      <c r="R41" s="127"/>
      <c r="S41" s="127"/>
      <c r="T41" s="128"/>
      <c r="U41" s="124"/>
      <c r="W41" s="186"/>
      <c r="X41" s="186"/>
      <c r="Y41" s="186"/>
    </row>
    <row r="42" spans="1:25" s="125" customFormat="1" ht="6.6" customHeight="1">
      <c r="A42" s="126"/>
      <c r="B42" s="127"/>
      <c r="C42" s="127"/>
      <c r="D42" s="127"/>
      <c r="E42" s="128"/>
      <c r="F42" s="126"/>
      <c r="G42" s="127"/>
      <c r="H42" s="127"/>
      <c r="I42" s="127"/>
      <c r="J42" s="127"/>
      <c r="K42" s="127"/>
      <c r="L42" s="127"/>
      <c r="M42" s="127"/>
      <c r="N42" s="128"/>
      <c r="O42" s="126"/>
      <c r="P42" s="127"/>
      <c r="Q42" s="127"/>
      <c r="R42" s="127"/>
      <c r="S42" s="127"/>
      <c r="T42" s="128"/>
      <c r="U42" s="124"/>
      <c r="W42" s="186"/>
      <c r="X42" s="186"/>
      <c r="Y42" s="186"/>
    </row>
    <row r="43" spans="1:25" s="125" customFormat="1" ht="8.6999999999999993" customHeight="1">
      <c r="A43" s="1356"/>
      <c r="B43" s="1357"/>
      <c r="C43" s="1357"/>
      <c r="D43" s="1357"/>
      <c r="E43" s="1358"/>
      <c r="F43" s="1359"/>
      <c r="G43" s="1360"/>
      <c r="H43" s="1360"/>
      <c r="I43" s="1360"/>
      <c r="J43" s="1360"/>
      <c r="K43" s="1360"/>
      <c r="L43" s="1360"/>
      <c r="M43" s="1360"/>
      <c r="N43" s="1361"/>
      <c r="O43" s="1356"/>
      <c r="P43" s="1357"/>
      <c r="Q43" s="1357"/>
      <c r="R43" s="1357"/>
      <c r="S43" s="1357"/>
      <c r="T43" s="1358"/>
      <c r="U43" s="124"/>
      <c r="W43" s="186"/>
      <c r="X43" s="186"/>
      <c r="Y43" s="186"/>
    </row>
    <row r="44" spans="1:25" s="125" customFormat="1" ht="14.25" customHeight="1">
      <c r="A44" s="1362" t="s">
        <v>455</v>
      </c>
      <c r="B44" s="1363"/>
      <c r="C44" s="1364" t="str">
        <f>Q6</f>
        <v>30/05/2025</v>
      </c>
      <c r="D44" s="1365"/>
      <c r="E44" s="1366"/>
      <c r="F44" s="129" t="s">
        <v>206</v>
      </c>
      <c r="G44" s="130"/>
      <c r="H44" s="130"/>
      <c r="I44" s="130"/>
      <c r="J44" s="131"/>
      <c r="K44" s="131"/>
      <c r="L44" s="1367" t="str">
        <f>Q6</f>
        <v>30/05/2025</v>
      </c>
      <c r="M44" s="1367"/>
      <c r="N44" s="1368"/>
      <c r="O44" s="1362" t="s">
        <v>206</v>
      </c>
      <c r="P44" s="1363"/>
      <c r="Q44" s="1363"/>
      <c r="R44" s="1363"/>
      <c r="S44" s="1363"/>
      <c r="T44" s="1369"/>
      <c r="U44" s="132"/>
      <c r="W44" s="186"/>
      <c r="X44" s="186"/>
      <c r="Y44" s="186"/>
    </row>
    <row r="45" spans="1:2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</row>
    <row r="46" spans="1:25">
      <c r="A46" s="134"/>
    </row>
  </sheetData>
  <mergeCells count="164">
    <mergeCell ref="X16:Y16"/>
    <mergeCell ref="X18:Y18"/>
    <mergeCell ref="X19:Y19"/>
    <mergeCell ref="X21:Y21"/>
    <mergeCell ref="X22:Y22"/>
    <mergeCell ref="W3:Y3"/>
    <mergeCell ref="W4:Y4"/>
    <mergeCell ref="W6:Y6"/>
    <mergeCell ref="W9:W10"/>
    <mergeCell ref="X9:X10"/>
    <mergeCell ref="Y9:Y10"/>
    <mergeCell ref="W13:Y13"/>
    <mergeCell ref="W14:Y14"/>
    <mergeCell ref="X15:Y15"/>
    <mergeCell ref="C6:P6"/>
    <mergeCell ref="Q6:T6"/>
    <mergeCell ref="A7:I7"/>
    <mergeCell ref="J7:T7"/>
    <mergeCell ref="A8:I8"/>
    <mergeCell ref="J8:T8"/>
    <mergeCell ref="A1:B6"/>
    <mergeCell ref="C1:P1"/>
    <mergeCell ref="Q1:T1"/>
    <mergeCell ref="C2:P2"/>
    <mergeCell ref="Q2:T2"/>
    <mergeCell ref="C3:P3"/>
    <mergeCell ref="Q3:T3"/>
    <mergeCell ref="C4:P4"/>
    <mergeCell ref="Q4:T4"/>
    <mergeCell ref="Q5:T5"/>
    <mergeCell ref="A12:E12"/>
    <mergeCell ref="F12:L12"/>
    <mergeCell ref="M12:T12"/>
    <mergeCell ref="A13:E13"/>
    <mergeCell ref="F13:L13"/>
    <mergeCell ref="M13:T13"/>
    <mergeCell ref="A9:I9"/>
    <mergeCell ref="J9:T9"/>
    <mergeCell ref="A10:I10"/>
    <mergeCell ref="J10:T10"/>
    <mergeCell ref="A11:E11"/>
    <mergeCell ref="F11:L11"/>
    <mergeCell ref="M11:T11"/>
    <mergeCell ref="A14:D14"/>
    <mergeCell ref="E14:F14"/>
    <mergeCell ref="G14:I14"/>
    <mergeCell ref="J14:K14"/>
    <mergeCell ref="M14:T14"/>
    <mergeCell ref="A15:D15"/>
    <mergeCell ref="E15:F15"/>
    <mergeCell ref="G15:I15"/>
    <mergeCell ref="J15:K15"/>
    <mergeCell ref="M15:T15"/>
    <mergeCell ref="A16:D16"/>
    <mergeCell ref="E16:F16"/>
    <mergeCell ref="G16:I16"/>
    <mergeCell ref="J16:K16"/>
    <mergeCell ref="M16:T16"/>
    <mergeCell ref="A17:D17"/>
    <mergeCell ref="E17:F17"/>
    <mergeCell ref="G17:I17"/>
    <mergeCell ref="J17:K17"/>
    <mergeCell ref="M17:T17"/>
    <mergeCell ref="A18:D18"/>
    <mergeCell ref="E18:F18"/>
    <mergeCell ref="G18:I18"/>
    <mergeCell ref="J18:K18"/>
    <mergeCell ref="M18:T19"/>
    <mergeCell ref="A19:D19"/>
    <mergeCell ref="E19:F19"/>
    <mergeCell ref="G19:I19"/>
    <mergeCell ref="J19:K19"/>
    <mergeCell ref="A20:D20"/>
    <mergeCell ref="E20:F20"/>
    <mergeCell ref="G20:I20"/>
    <mergeCell ref="J20:K20"/>
    <mergeCell ref="M20:T20"/>
    <mergeCell ref="A21:D21"/>
    <mergeCell ref="E21:F21"/>
    <mergeCell ref="G21:I21"/>
    <mergeCell ref="J21:K21"/>
    <mergeCell ref="M21:T21"/>
    <mergeCell ref="B22:F22"/>
    <mergeCell ref="G22:J22"/>
    <mergeCell ref="K22:L22"/>
    <mergeCell ref="M22:N22"/>
    <mergeCell ref="O22:Q22"/>
    <mergeCell ref="B23:F23"/>
    <mergeCell ref="G23:J23"/>
    <mergeCell ref="K23:L23"/>
    <mergeCell ref="M23:N23"/>
    <mergeCell ref="O23:Q23"/>
    <mergeCell ref="B24:F24"/>
    <mergeCell ref="G24:J24"/>
    <mergeCell ref="K24:L24"/>
    <mergeCell ref="M24:N24"/>
    <mergeCell ref="O24:Q24"/>
    <mergeCell ref="B25:F25"/>
    <mergeCell ref="G25:J25"/>
    <mergeCell ref="K25:L25"/>
    <mergeCell ref="M25:N25"/>
    <mergeCell ref="O25:Q25"/>
    <mergeCell ref="B26:F26"/>
    <mergeCell ref="G26:J26"/>
    <mergeCell ref="K26:L26"/>
    <mergeCell ref="M26:N26"/>
    <mergeCell ref="O26:Q26"/>
    <mergeCell ref="B27:F27"/>
    <mergeCell ref="G27:J27"/>
    <mergeCell ref="K27:L27"/>
    <mergeCell ref="M27:N27"/>
    <mergeCell ref="O27:Q27"/>
    <mergeCell ref="B28:F28"/>
    <mergeCell ref="G28:J28"/>
    <mergeCell ref="K28:L28"/>
    <mergeCell ref="M28:N28"/>
    <mergeCell ref="O28:Q28"/>
    <mergeCell ref="B29:F29"/>
    <mergeCell ref="G29:J29"/>
    <mergeCell ref="K29:L29"/>
    <mergeCell ref="M29:N29"/>
    <mergeCell ref="O29:Q29"/>
    <mergeCell ref="B30:F30"/>
    <mergeCell ref="G30:J30"/>
    <mergeCell ref="K30:L30"/>
    <mergeCell ref="M30:N30"/>
    <mergeCell ref="O30:Q30"/>
    <mergeCell ref="B31:F31"/>
    <mergeCell ref="G31:J31"/>
    <mergeCell ref="K31:L31"/>
    <mergeCell ref="M31:N31"/>
    <mergeCell ref="O31:Q31"/>
    <mergeCell ref="B32:F32"/>
    <mergeCell ref="G32:J32"/>
    <mergeCell ref="K32:L32"/>
    <mergeCell ref="M32:N32"/>
    <mergeCell ref="O32:Q32"/>
    <mergeCell ref="B33:F33"/>
    <mergeCell ref="G33:J33"/>
    <mergeCell ref="K33:L33"/>
    <mergeCell ref="M33:N33"/>
    <mergeCell ref="O33:Q33"/>
    <mergeCell ref="A38:E38"/>
    <mergeCell ref="F38:N38"/>
    <mergeCell ref="O38:T38"/>
    <mergeCell ref="A39:E39"/>
    <mergeCell ref="F39:N39"/>
    <mergeCell ref="O39:T39"/>
    <mergeCell ref="A34:T34"/>
    <mergeCell ref="A35:T35"/>
    <mergeCell ref="O36:T36"/>
    <mergeCell ref="A37:E37"/>
    <mergeCell ref="F37:N37"/>
    <mergeCell ref="O37:T37"/>
    <mergeCell ref="A40:E40"/>
    <mergeCell ref="O40:T40"/>
    <mergeCell ref="A43:E43"/>
    <mergeCell ref="F43:N43"/>
    <mergeCell ref="O43:T43"/>
    <mergeCell ref="A44:B44"/>
    <mergeCell ref="C44:E44"/>
    <mergeCell ref="L44:N44"/>
    <mergeCell ref="O44:R44"/>
    <mergeCell ref="S44:T44"/>
  </mergeCells>
  <conditionalFormatting sqref="M23:M33">
    <cfRule type="cellIs" dxfId="12" priority="3" stopIfTrue="1" operator="equal">
      <formula>#N/A</formula>
    </cfRule>
  </conditionalFormatting>
  <conditionalFormatting sqref="T23:T33">
    <cfRule type="cellIs" dxfId="11" priority="4" stopIfTrue="1" operator="equal">
      <formula>#N/A</formula>
    </cfRule>
  </conditionalFormatting>
  <conditionalFormatting sqref="W14">
    <cfRule type="cellIs" dxfId="10" priority="1" stopIfTrue="1" operator="equal">
      <formula>#N/A</formula>
    </cfRule>
  </conditionalFormatting>
  <conditionalFormatting sqref="W28">
    <cfRule type="cellIs" dxfId="9" priority="2" stopIfTrue="1" operator="equal">
      <formula>#N/A</formula>
    </cfRule>
  </conditionalFormatting>
  <pageMargins left="0.70866141732283472" right="0.19685039370078741" top="0.39370078740157483" bottom="0.19685039370078741" header="0.15748031496062992" footer="0"/>
  <pageSetup paperSize="9" orientation="portrait" r:id="rId1"/>
  <headerFooter alignWithMargins="0">
    <oddFooter>&amp;R&amp;9     &amp;"Arial,Regular"&amp;10Take effect from/Áp dụng từ ngày 10.01.2014</oddFooter>
  </headerFooter>
  <drawing r:id="rId2"/>
  <legacyDrawing r:id="rId3"/>
  <oleObjects>
    <mc:AlternateContent xmlns:mc="http://schemas.openxmlformats.org/markup-compatibility/2006">
      <mc:Choice Requires="x14">
        <oleObject progId="PBrush" shapeId="14461953" r:id="rId4">
          <objectPr defaultSize="0" autoPict="0" altText="" r:id="rId5">
            <anchor moveWithCells="1" sizeWithCells="1">
              <from>
                <xdr:col>0</xdr:col>
                <xdr:colOff>22860</xdr:colOff>
                <xdr:row>0</xdr:row>
                <xdr:rowOff>205740</xdr:rowOff>
              </from>
              <to>
                <xdr:col>1</xdr:col>
                <xdr:colOff>613410</xdr:colOff>
                <xdr:row>4</xdr:row>
                <xdr:rowOff>87630</xdr:rowOff>
              </to>
            </anchor>
          </objectPr>
        </oleObject>
      </mc:Choice>
      <mc:Fallback>
        <oleObject progId="PBrush" shapeId="14461953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61954" r:id="rId6" name="Check Box 2">
              <controlPr defaultSize="0" autoPict="0">
                <anchor moveWithCells="1">
                  <from>
                    <xdr:col>13</xdr:col>
                    <xdr:colOff>26670</xdr:colOff>
                    <xdr:row>10</xdr:row>
                    <xdr:rowOff>148590</xdr:rowOff>
                  </from>
                  <to>
                    <xdr:col>14</xdr:col>
                    <xdr:colOff>45720</xdr:colOff>
                    <xdr:row>12</xdr:row>
                    <xdr:rowOff>26670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1955" r:id="rId7" name="Check Box 3">
              <controlPr defaultSize="0" autoPict="0">
                <anchor moveWithCells="1">
                  <from>
                    <xdr:col>15</xdr:col>
                    <xdr:colOff>133350</xdr:colOff>
                    <xdr:row>10</xdr:row>
                    <xdr:rowOff>148590</xdr:rowOff>
                  </from>
                  <to>
                    <xdr:col>17</xdr:col>
                    <xdr:colOff>449580</xdr:colOff>
                    <xdr:row>12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1956" r:id="rId8" name="Check Box 4">
              <controlPr defaultSize="0" autoPict="0">
                <anchor moveWithCells="1">
                  <from>
                    <xdr:col>18</xdr:col>
                    <xdr:colOff>163830</xdr:colOff>
                    <xdr:row>10</xdr:row>
                    <xdr:rowOff>148590</xdr:rowOff>
                  </from>
                  <to>
                    <xdr:col>19</xdr:col>
                    <xdr:colOff>224790</xdr:colOff>
                    <xdr:row>12</xdr:row>
                    <xdr:rowOff>26670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1957" r:id="rId9" name="Check Box 5">
              <controlPr defaultSize="0" autoPict="0">
                <anchor moveWithCells="1">
                  <from>
                    <xdr:col>12</xdr:col>
                    <xdr:colOff>156210</xdr:colOff>
                    <xdr:row>20</xdr:row>
                    <xdr:rowOff>125730</xdr:rowOff>
                  </from>
                  <to>
                    <xdr:col>17</xdr:col>
                    <xdr:colOff>102870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1958" r:id="rId10" name="Check Box 6">
              <controlPr defaultSize="0" autoPict="0">
                <anchor moveWithCells="1">
                  <from>
                    <xdr:col>17</xdr:col>
                    <xdr:colOff>163830</xdr:colOff>
                    <xdr:row>20</xdr:row>
                    <xdr:rowOff>106680</xdr:rowOff>
                  </from>
                  <to>
                    <xdr:col>19</xdr:col>
                    <xdr:colOff>377190</xdr:colOff>
                    <xdr:row>21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tabColor theme="5" tint="0.59999389629810485"/>
  </sheetPr>
  <dimension ref="A1:AG39"/>
  <sheetViews>
    <sheetView showGridLines="0" zoomScale="85" zoomScaleNormal="85" workbookViewId="0">
      <selection activeCell="A20" sqref="A20:XFD30"/>
    </sheetView>
  </sheetViews>
  <sheetFormatPr defaultColWidth="0" defaultRowHeight="13.8" zeroHeight="1"/>
  <cols>
    <col min="1" max="1" width="4" style="186" customWidth="1"/>
    <col min="2" max="2" width="8" style="186" customWidth="1"/>
    <col min="3" max="3" width="0.38671875" style="186" customWidth="1"/>
    <col min="4" max="4" width="11.88671875" style="186" customWidth="1"/>
    <col min="5" max="5" width="6.109375" style="186" customWidth="1"/>
    <col min="6" max="6" width="7.27734375" style="186" customWidth="1"/>
    <col min="7" max="7" width="8.609375" style="186" customWidth="1"/>
    <col min="8" max="8" width="4.109375" style="186" customWidth="1"/>
    <col min="9" max="9" width="5" style="186" customWidth="1"/>
    <col min="10" max="10" width="5.71875" style="186" customWidth="1"/>
    <col min="11" max="13" width="5.27734375" style="186" customWidth="1"/>
    <col min="14" max="14" width="5.38671875" style="186" customWidth="1"/>
    <col min="15" max="15" width="5" style="186" customWidth="1"/>
    <col min="16" max="16" width="7.27734375" style="186" customWidth="1"/>
    <col min="17" max="18" width="9.109375" style="186" customWidth="1"/>
    <col min="19" max="19" width="7.44140625" style="186" customWidth="1"/>
    <col min="20" max="20" width="17.0546875" style="186" customWidth="1"/>
    <col min="21" max="21" width="52.6640625" style="186" customWidth="1"/>
    <col min="22" max="23" width="9.109375" style="186" customWidth="1"/>
    <col min="24" max="33" width="0" style="186" hidden="1" customWidth="1"/>
    <col min="34" max="16384" width="9.109375" style="186" hidden="1"/>
  </cols>
  <sheetData>
    <row r="1" spans="1:21" ht="38.25" customHeight="1">
      <c r="A1" s="183"/>
      <c r="B1" s="184"/>
      <c r="C1" s="184"/>
      <c r="D1" s="185"/>
      <c r="E1" s="1539" t="s">
        <v>595</v>
      </c>
      <c r="F1" s="1540"/>
      <c r="G1" s="1540"/>
      <c r="H1" s="1540"/>
      <c r="I1" s="1540"/>
      <c r="J1" s="1540"/>
      <c r="K1" s="1540"/>
      <c r="L1" s="1540"/>
      <c r="M1" s="1541"/>
      <c r="N1" s="1542" t="s">
        <v>596</v>
      </c>
      <c r="O1" s="1542"/>
      <c r="P1" s="1543"/>
    </row>
    <row r="2" spans="1:21" ht="27" customHeight="1">
      <c r="A2" s="1544"/>
      <c r="B2" s="1545"/>
      <c r="C2" s="1545"/>
      <c r="D2" s="1546"/>
      <c r="E2" s="1547" t="s">
        <v>597</v>
      </c>
      <c r="F2" s="1548"/>
      <c r="G2" s="1548"/>
      <c r="H2" s="1548"/>
      <c r="I2" s="1548"/>
      <c r="J2" s="1548"/>
      <c r="K2" s="1548"/>
      <c r="L2" s="1548"/>
      <c r="M2" s="1549"/>
      <c r="N2" s="1550" t="s">
        <v>1037</v>
      </c>
      <c r="O2" s="1550"/>
      <c r="P2" s="1551"/>
    </row>
    <row r="3" spans="1:21" ht="15" customHeight="1">
      <c r="A3" s="187"/>
      <c r="B3" s="188"/>
      <c r="C3" s="188"/>
      <c r="D3" s="189"/>
      <c r="E3" s="1552" t="s">
        <v>459</v>
      </c>
      <c r="F3" s="1553"/>
      <c r="G3" s="1553"/>
      <c r="H3" s="1553"/>
      <c r="I3" s="1553"/>
      <c r="J3" s="1553"/>
      <c r="K3" s="1553"/>
      <c r="L3" s="1553"/>
      <c r="M3" s="1554"/>
      <c r="N3" s="1555" t="s">
        <v>598</v>
      </c>
      <c r="O3" s="1550"/>
      <c r="P3" s="1551"/>
      <c r="S3" s="1625" t="s">
        <v>670</v>
      </c>
      <c r="T3" s="1625"/>
      <c r="U3" s="1625"/>
    </row>
    <row r="4" spans="1:21" ht="16.5" customHeight="1">
      <c r="A4" s="1567"/>
      <c r="B4" s="1568"/>
      <c r="C4" s="1568"/>
      <c r="D4" s="1569"/>
      <c r="E4" s="1570" t="s">
        <v>599</v>
      </c>
      <c r="F4" s="1571"/>
      <c r="G4" s="1571"/>
      <c r="H4" s="1571"/>
      <c r="I4" s="1571"/>
      <c r="J4" s="1571"/>
      <c r="K4" s="1571"/>
      <c r="L4" s="1571"/>
      <c r="M4" s="1572"/>
      <c r="N4" s="1573" t="s">
        <v>600</v>
      </c>
      <c r="O4" s="1574"/>
      <c r="P4" s="1575"/>
      <c r="S4" s="1625" t="s">
        <v>671</v>
      </c>
      <c r="T4" s="1625"/>
      <c r="U4" s="1625"/>
    </row>
    <row r="5" spans="1:21" ht="14.25" customHeight="1">
      <c r="A5" s="1576" t="s">
        <v>601</v>
      </c>
      <c r="B5" s="1577"/>
      <c r="C5" s="1577"/>
      <c r="D5" s="1577"/>
      <c r="E5" s="1577"/>
      <c r="F5" s="1578"/>
      <c r="G5" s="1579" t="s">
        <v>602</v>
      </c>
      <c r="H5" s="1580"/>
      <c r="I5" s="1580"/>
      <c r="J5" s="1580"/>
      <c r="K5" s="1580"/>
      <c r="L5" s="1580"/>
      <c r="M5" s="1580"/>
      <c r="N5" s="1580"/>
      <c r="O5" s="1580"/>
      <c r="P5" s="1581"/>
    </row>
    <row r="6" spans="1:21" ht="16.5" customHeight="1">
      <c r="A6" s="1582" t="s">
        <v>603</v>
      </c>
      <c r="B6" s="1583"/>
      <c r="C6" s="1583"/>
      <c r="D6" s="1583"/>
      <c r="E6" s="1583"/>
      <c r="F6" s="1584"/>
      <c r="G6" s="1585" t="s">
        <v>604</v>
      </c>
      <c r="H6" s="1586"/>
      <c r="I6" s="1586"/>
      <c r="J6" s="1586"/>
      <c r="K6" s="1586"/>
      <c r="L6" s="1586"/>
      <c r="M6" s="1586"/>
      <c r="N6" s="1586"/>
      <c r="O6" s="1586"/>
      <c r="P6" s="1587"/>
      <c r="S6" s="1530" t="s">
        <v>276</v>
      </c>
      <c r="T6" s="1530"/>
      <c r="U6" s="1530"/>
    </row>
    <row r="7" spans="1:21" ht="16.5" customHeight="1">
      <c r="A7" s="1556" t="s">
        <v>605</v>
      </c>
      <c r="B7" s="1557"/>
      <c r="C7" s="1557"/>
      <c r="D7" s="1557"/>
      <c r="E7" s="1557"/>
      <c r="F7" s="1558"/>
      <c r="G7" s="1556" t="s">
        <v>606</v>
      </c>
      <c r="H7" s="1557"/>
      <c r="I7" s="1557"/>
      <c r="J7" s="1557"/>
      <c r="K7" s="1557"/>
      <c r="L7" s="1557"/>
      <c r="M7" s="1557"/>
      <c r="N7" s="1557"/>
      <c r="O7" s="1557"/>
      <c r="P7" s="1558"/>
      <c r="S7" s="164" t="s">
        <v>21</v>
      </c>
      <c r="T7" s="165" t="s">
        <v>583</v>
      </c>
      <c r="U7" s="166" t="s">
        <v>584</v>
      </c>
    </row>
    <row r="8" spans="1:21" ht="18.75" customHeight="1">
      <c r="A8" s="1559" t="s">
        <v>607</v>
      </c>
      <c r="B8" s="1560"/>
      <c r="C8" s="1560"/>
      <c r="D8" s="1560"/>
      <c r="E8" s="190" t="s">
        <v>608</v>
      </c>
      <c r="F8" s="191">
        <v>5</v>
      </c>
      <c r="G8" s="1561" t="s">
        <v>609</v>
      </c>
      <c r="H8" s="1562"/>
      <c r="I8" s="1562"/>
      <c r="J8" s="1562"/>
      <c r="K8" s="1562"/>
      <c r="L8" s="1562"/>
      <c r="M8" s="1562"/>
      <c r="N8" s="1562"/>
      <c r="O8" s="1562"/>
      <c r="P8" s="1563"/>
      <c r="S8" s="168">
        <v>1</v>
      </c>
      <c r="T8" s="169" t="s">
        <v>277</v>
      </c>
      <c r="U8" s="170" t="s">
        <v>278</v>
      </c>
    </row>
    <row r="9" spans="1:21" ht="27" customHeight="1">
      <c r="A9" s="1556" t="s">
        <v>610</v>
      </c>
      <c r="B9" s="1557"/>
      <c r="C9" s="1557"/>
      <c r="D9" s="1557"/>
      <c r="E9" s="1564" t="s">
        <v>611</v>
      </c>
      <c r="F9" s="1565"/>
      <c r="G9" s="1566" t="s">
        <v>612</v>
      </c>
      <c r="H9" s="1566"/>
      <c r="I9" s="1566"/>
      <c r="J9" s="1566"/>
      <c r="K9" s="1557" t="s">
        <v>613</v>
      </c>
      <c r="L9" s="1557"/>
      <c r="M9" s="1557"/>
      <c r="N9" s="1557"/>
      <c r="O9" s="1557"/>
      <c r="P9" s="1558"/>
      <c r="S9" s="1531">
        <v>2</v>
      </c>
      <c r="T9" s="1532" t="s">
        <v>279</v>
      </c>
      <c r="U9" s="1533" t="s">
        <v>280</v>
      </c>
    </row>
    <row r="10" spans="1:21" ht="14.25" customHeight="1">
      <c r="A10" s="1602" t="s">
        <v>614</v>
      </c>
      <c r="B10" s="1603"/>
      <c r="C10" s="1603"/>
      <c r="D10" s="1603"/>
      <c r="E10" s="1560" t="s">
        <v>615</v>
      </c>
      <c r="F10" s="1604"/>
      <c r="G10" s="1559" t="s">
        <v>477</v>
      </c>
      <c r="H10" s="1560"/>
      <c r="I10" s="1560"/>
      <c r="J10" s="1604"/>
      <c r="K10" s="1605" t="s">
        <v>843</v>
      </c>
      <c r="L10" s="1606"/>
      <c r="M10" s="1606"/>
      <c r="N10" s="1606"/>
      <c r="O10" s="1606"/>
      <c r="P10" s="1607"/>
      <c r="S10" s="1531"/>
      <c r="T10" s="1532"/>
      <c r="U10" s="1534"/>
    </row>
    <row r="11" spans="1:21" ht="17.25" customHeight="1">
      <c r="A11" s="1588" t="s">
        <v>617</v>
      </c>
      <c r="B11" s="1589"/>
      <c r="C11" s="1589"/>
      <c r="D11" s="1589"/>
      <c r="E11" s="1590"/>
      <c r="F11" s="192">
        <v>0</v>
      </c>
      <c r="G11" s="192">
        <v>45</v>
      </c>
      <c r="H11" s="1591">
        <v>60</v>
      </c>
      <c r="I11" s="1592"/>
      <c r="J11" s="193">
        <v>70</v>
      </c>
      <c r="K11" s="1608" t="s">
        <v>618</v>
      </c>
      <c r="L11" s="1609"/>
      <c r="M11" s="1609"/>
      <c r="N11" s="1609"/>
      <c r="O11" s="1609"/>
      <c r="P11" s="1610"/>
      <c r="S11" s="168">
        <v>3</v>
      </c>
      <c r="T11" s="204" t="s">
        <v>281</v>
      </c>
      <c r="U11" s="205" t="s">
        <v>282</v>
      </c>
    </row>
    <row r="12" spans="1:21" ht="18" customHeight="1">
      <c r="A12" s="1588" t="s">
        <v>619</v>
      </c>
      <c r="B12" s="1589"/>
      <c r="C12" s="1589"/>
      <c r="D12" s="1589"/>
      <c r="E12" s="1590"/>
      <c r="F12" s="192" t="s">
        <v>482</v>
      </c>
      <c r="G12" s="192" t="s">
        <v>483</v>
      </c>
      <c r="H12" s="1591" t="s">
        <v>483</v>
      </c>
      <c r="I12" s="1592"/>
      <c r="J12" s="193" t="s">
        <v>483</v>
      </c>
      <c r="K12" s="1593" t="s">
        <v>585</v>
      </c>
      <c r="L12" s="1594"/>
      <c r="M12" s="1594"/>
      <c r="N12" s="1594"/>
      <c r="O12" s="1594"/>
      <c r="P12" s="1595"/>
      <c r="S12" s="168">
        <v>3</v>
      </c>
      <c r="T12" s="204" t="s">
        <v>585</v>
      </c>
      <c r="U12" s="205" t="s">
        <v>146</v>
      </c>
    </row>
    <row r="13" spans="1:21" ht="26.25" customHeight="1">
      <c r="A13" s="1596" t="s">
        <v>620</v>
      </c>
      <c r="B13" s="1597"/>
      <c r="C13" s="1597"/>
      <c r="D13" s="1597"/>
      <c r="E13" s="1598"/>
      <c r="F13" s="192" t="s">
        <v>621</v>
      </c>
      <c r="G13" s="192" t="s">
        <v>493</v>
      </c>
      <c r="H13" s="1591" t="s">
        <v>493</v>
      </c>
      <c r="I13" s="1592"/>
      <c r="J13" s="193" t="s">
        <v>493</v>
      </c>
      <c r="K13" s="1599" t="s">
        <v>622</v>
      </c>
      <c r="L13" s="1600"/>
      <c r="M13" s="1600"/>
      <c r="N13" s="1600"/>
      <c r="O13" s="1600"/>
      <c r="P13" s="1601"/>
      <c r="S13" s="1535" t="s">
        <v>283</v>
      </c>
      <c r="T13" s="1536"/>
      <c r="U13" s="1536"/>
    </row>
    <row r="14" spans="1:21" ht="25.5" customHeight="1">
      <c r="A14" s="1596" t="s">
        <v>623</v>
      </c>
      <c r="B14" s="1597"/>
      <c r="C14" s="1597"/>
      <c r="D14" s="1597"/>
      <c r="E14" s="1598"/>
      <c r="F14" s="194">
        <v>4</v>
      </c>
      <c r="G14" s="194">
        <v>4</v>
      </c>
      <c r="H14" s="1612">
        <v>4</v>
      </c>
      <c r="I14" s="1613"/>
      <c r="J14" s="195">
        <v>4</v>
      </c>
      <c r="K14" s="1599" t="s">
        <v>624</v>
      </c>
      <c r="L14" s="1600"/>
      <c r="M14" s="1600"/>
      <c r="N14" s="1600"/>
      <c r="O14" s="1600"/>
      <c r="P14" s="1601"/>
      <c r="S14" s="1537" t="s">
        <v>284</v>
      </c>
      <c r="T14" s="1538"/>
      <c r="U14" s="1538"/>
    </row>
    <row r="15" spans="1:21" ht="29.25" customHeight="1">
      <c r="A15" s="1596" t="s">
        <v>625</v>
      </c>
      <c r="B15" s="1597"/>
      <c r="C15" s="1597"/>
      <c r="D15" s="1597"/>
      <c r="E15" s="1598"/>
      <c r="F15" s="192">
        <v>53656</v>
      </c>
      <c r="G15" s="196">
        <v>74020</v>
      </c>
      <c r="H15" s="1591">
        <v>76786</v>
      </c>
      <c r="I15" s="1592"/>
      <c r="J15" s="193">
        <v>54205</v>
      </c>
      <c r="K15" s="1599" t="s">
        <v>626</v>
      </c>
      <c r="L15" s="1600"/>
      <c r="M15" s="1600"/>
      <c r="N15" s="1600"/>
      <c r="O15" s="1600"/>
      <c r="P15" s="1601"/>
      <c r="S15" s="171" t="s">
        <v>285</v>
      </c>
      <c r="T15" s="1315" t="s">
        <v>586</v>
      </c>
      <c r="U15" s="1315"/>
    </row>
    <row r="16" spans="1:21" ht="27.75" customHeight="1">
      <c r="A16" s="1588" t="s">
        <v>627</v>
      </c>
      <c r="B16" s="1589"/>
      <c r="C16" s="1589"/>
      <c r="D16" s="1589"/>
      <c r="E16" s="1590"/>
      <c r="F16" s="197">
        <v>50</v>
      </c>
      <c r="G16" s="197">
        <v>100</v>
      </c>
      <c r="H16" s="1662">
        <v>100</v>
      </c>
      <c r="I16" s="1663"/>
      <c r="J16" s="198">
        <v>100</v>
      </c>
      <c r="K16" s="1599" t="s">
        <v>628</v>
      </c>
      <c r="L16" s="1600"/>
      <c r="M16" s="1600"/>
      <c r="N16" s="1600"/>
      <c r="O16" s="1600"/>
      <c r="P16" s="1601"/>
      <c r="S16" s="172"/>
      <c r="T16" s="1315" t="s">
        <v>286</v>
      </c>
      <c r="U16" s="1315"/>
    </row>
    <row r="17" spans="1:23" ht="18.75" customHeight="1">
      <c r="A17" s="1664" t="s">
        <v>629</v>
      </c>
      <c r="B17" s="1651"/>
      <c r="C17" s="1651"/>
      <c r="D17" s="1651"/>
      <c r="E17" s="1651"/>
      <c r="F17" s="1651"/>
      <c r="G17" s="1651"/>
      <c r="H17" s="1651"/>
      <c r="I17" s="1665" t="s">
        <v>480</v>
      </c>
      <c r="J17" s="1665"/>
      <c r="K17" s="1665"/>
      <c r="L17" s="1665"/>
      <c r="M17" s="1665"/>
      <c r="N17" s="1665"/>
      <c r="O17" s="1665"/>
      <c r="P17" s="1666"/>
      <c r="S17" s="206"/>
      <c r="T17" s="207"/>
      <c r="U17" s="207"/>
    </row>
    <row r="18" spans="1:23" ht="58.5" customHeight="1">
      <c r="A18" s="1659" t="s">
        <v>630</v>
      </c>
      <c r="B18" s="1667" t="s">
        <v>631</v>
      </c>
      <c r="C18" s="1668"/>
      <c r="D18" s="1669"/>
      <c r="E18" s="1611" t="s">
        <v>632</v>
      </c>
      <c r="F18" s="1611" t="s">
        <v>633</v>
      </c>
      <c r="G18" s="1611" t="s">
        <v>634</v>
      </c>
      <c r="H18" s="1657" t="s">
        <v>635</v>
      </c>
      <c r="I18" s="1657" t="s">
        <v>636</v>
      </c>
      <c r="J18" s="199" t="s">
        <v>637</v>
      </c>
      <c r="K18" s="199" t="s">
        <v>638</v>
      </c>
      <c r="L18" s="199" t="s">
        <v>639</v>
      </c>
      <c r="M18" s="199" t="s">
        <v>640</v>
      </c>
      <c r="N18" s="1659" t="s">
        <v>641</v>
      </c>
      <c r="O18" s="1611" t="s">
        <v>642</v>
      </c>
      <c r="P18" s="1611" t="s">
        <v>643</v>
      </c>
      <c r="S18" s="173" t="s">
        <v>146</v>
      </c>
      <c r="T18" s="1525" t="s">
        <v>587</v>
      </c>
      <c r="U18" s="1526"/>
    </row>
    <row r="19" spans="1:23" ht="15" customHeight="1">
      <c r="A19" s="1660"/>
      <c r="B19" s="1670"/>
      <c r="C19" s="1671"/>
      <c r="D19" s="1672"/>
      <c r="E19" s="1611"/>
      <c r="F19" s="1611"/>
      <c r="G19" s="1611"/>
      <c r="H19" s="1658"/>
      <c r="I19" s="1658"/>
      <c r="J19" s="200" t="s">
        <v>644</v>
      </c>
      <c r="K19" s="200" t="s">
        <v>645</v>
      </c>
      <c r="L19" s="200" t="s">
        <v>646</v>
      </c>
      <c r="M19" s="200" t="s">
        <v>647</v>
      </c>
      <c r="N19" s="1660"/>
      <c r="O19" s="1611"/>
      <c r="P19" s="1611"/>
      <c r="S19" s="174"/>
      <c r="T19" s="1525" t="s">
        <v>588</v>
      </c>
      <c r="U19" s="1526"/>
    </row>
    <row r="20" spans="1:23" s="203" customFormat="1" ht="19" customHeight="1">
      <c r="A20" s="449">
        <f>IF(E20="","",MAX($A$19:A19)+1)</f>
        <v>1</v>
      </c>
      <c r="B20" s="1661" t="s">
        <v>648</v>
      </c>
      <c r="C20" s="1620"/>
      <c r="D20" s="1621"/>
      <c r="E20" s="201">
        <v>25</v>
      </c>
      <c r="F20" s="202" t="s">
        <v>649</v>
      </c>
      <c r="G20" s="201" t="s">
        <v>650</v>
      </c>
      <c r="H20" s="201" t="s">
        <v>195</v>
      </c>
      <c r="I20" s="201" t="s">
        <v>195</v>
      </c>
      <c r="J20" s="201" t="s">
        <v>195</v>
      </c>
      <c r="K20" s="201" t="s">
        <v>195</v>
      </c>
      <c r="L20" s="201" t="s">
        <v>195</v>
      </c>
      <c r="M20" s="201" t="s">
        <v>195</v>
      </c>
      <c r="N20" s="201" t="s">
        <v>195</v>
      </c>
      <c r="O20" s="201" t="s">
        <v>195</v>
      </c>
      <c r="P20" s="201" t="s">
        <v>651</v>
      </c>
    </row>
    <row r="21" spans="1:23" s="203" customFormat="1" ht="19" customHeight="1">
      <c r="A21" s="449" t="str">
        <f>IF(E21="","",MAX($A$19:A20)+1)</f>
        <v/>
      </c>
      <c r="B21" s="1619" t="s">
        <v>652</v>
      </c>
      <c r="C21" s="1620"/>
      <c r="D21" s="1621"/>
      <c r="E21" s="201"/>
      <c r="F21" s="202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S21" s="175" t="s">
        <v>96</v>
      </c>
      <c r="T21" s="1527" t="s">
        <v>589</v>
      </c>
      <c r="U21" s="1527"/>
    </row>
    <row r="22" spans="1:23" s="203" customFormat="1" ht="19" customHeight="1">
      <c r="A22" s="449" t="str">
        <f>IF(E22="","",MAX($A$19:A21)+1)</f>
        <v/>
      </c>
      <c r="B22" s="1619" t="s">
        <v>196</v>
      </c>
      <c r="C22" s="1620"/>
      <c r="D22" s="1621"/>
      <c r="E22" s="201"/>
      <c r="F22" s="202" t="s">
        <v>649</v>
      </c>
      <c r="G22" s="201" t="s">
        <v>650</v>
      </c>
      <c r="H22" s="201" t="s">
        <v>195</v>
      </c>
      <c r="I22" s="201" t="s">
        <v>195</v>
      </c>
      <c r="J22" s="201" t="s">
        <v>195</v>
      </c>
      <c r="K22" s="201" t="s">
        <v>195</v>
      </c>
      <c r="L22" s="201" t="s">
        <v>195</v>
      </c>
      <c r="M22" s="201" t="s">
        <v>195</v>
      </c>
      <c r="N22" s="201" t="s">
        <v>195</v>
      </c>
      <c r="O22" s="201" t="s">
        <v>195</v>
      </c>
      <c r="P22" s="201" t="s">
        <v>651</v>
      </c>
      <c r="S22" s="78"/>
      <c r="T22" s="1528" t="s">
        <v>590</v>
      </c>
      <c r="U22" s="1528"/>
    </row>
    <row r="23" spans="1:23" s="203" customFormat="1" ht="19" customHeight="1">
      <c r="A23" s="449">
        <f>IF(E23="","",MAX($A$19:A22)+1)</f>
        <v>2</v>
      </c>
      <c r="B23" s="1619" t="s">
        <v>196</v>
      </c>
      <c r="C23" s="1620"/>
      <c r="D23" s="1621"/>
      <c r="E23" s="201">
        <v>28</v>
      </c>
      <c r="F23" s="202" t="s">
        <v>649</v>
      </c>
      <c r="G23" s="201" t="s">
        <v>650</v>
      </c>
      <c r="H23" s="201" t="s">
        <v>195</v>
      </c>
      <c r="I23" s="201" t="s">
        <v>195</v>
      </c>
      <c r="J23" s="201" t="s">
        <v>195</v>
      </c>
      <c r="K23" s="201" t="s">
        <v>195</v>
      </c>
      <c r="L23" s="201" t="s">
        <v>195</v>
      </c>
      <c r="M23" s="201" t="s">
        <v>195</v>
      </c>
      <c r="N23" s="201" t="s">
        <v>195</v>
      </c>
      <c r="O23" s="201" t="s">
        <v>195</v>
      </c>
      <c r="P23" s="201" t="s">
        <v>651</v>
      </c>
      <c r="S23" s="208"/>
      <c r="T23" s="209"/>
      <c r="U23" s="208"/>
    </row>
    <row r="24" spans="1:23" s="203" customFormat="1" ht="19" customHeight="1">
      <c r="A24" s="449">
        <f>IF(E24="","",MAX($A$19:A23)+1)</f>
        <v>3</v>
      </c>
      <c r="B24" s="1619" t="s">
        <v>196</v>
      </c>
      <c r="C24" s="1620"/>
      <c r="D24" s="1621"/>
      <c r="E24" s="201">
        <v>30</v>
      </c>
      <c r="F24" s="202" t="s">
        <v>649</v>
      </c>
      <c r="G24" s="201" t="s">
        <v>650</v>
      </c>
      <c r="H24" s="201" t="s">
        <v>195</v>
      </c>
      <c r="I24" s="201" t="s">
        <v>195</v>
      </c>
      <c r="J24" s="201" t="s">
        <v>195</v>
      </c>
      <c r="K24" s="201" t="s">
        <v>195</v>
      </c>
      <c r="L24" s="201" t="s">
        <v>195</v>
      </c>
      <c r="M24" s="201" t="s">
        <v>195</v>
      </c>
      <c r="N24" s="201" t="s">
        <v>195</v>
      </c>
      <c r="O24" s="201" t="s">
        <v>195</v>
      </c>
      <c r="P24" s="201" t="s">
        <v>651</v>
      </c>
      <c r="S24" s="208"/>
      <c r="T24" s="209"/>
      <c r="U24" s="208"/>
    </row>
    <row r="25" spans="1:23" s="203" customFormat="1" ht="19" customHeight="1">
      <c r="A25" s="449">
        <f>IF(E25="","",MAX($A$19:A24)+1)</f>
        <v>4</v>
      </c>
      <c r="B25" s="1619" t="s">
        <v>196</v>
      </c>
      <c r="C25" s="1620"/>
      <c r="D25" s="1621"/>
      <c r="E25" s="201">
        <v>32</v>
      </c>
      <c r="F25" s="202" t="s">
        <v>649</v>
      </c>
      <c r="G25" s="201" t="s">
        <v>650</v>
      </c>
      <c r="H25" s="201" t="s">
        <v>195</v>
      </c>
      <c r="I25" s="201" t="s">
        <v>195</v>
      </c>
      <c r="J25" s="201" t="s">
        <v>195</v>
      </c>
      <c r="K25" s="201" t="s">
        <v>195</v>
      </c>
      <c r="L25" s="201" t="s">
        <v>195</v>
      </c>
      <c r="M25" s="201" t="s">
        <v>195</v>
      </c>
      <c r="N25" s="201" t="s">
        <v>195</v>
      </c>
      <c r="O25" s="201" t="s">
        <v>195</v>
      </c>
      <c r="P25" s="201" t="s">
        <v>651</v>
      </c>
      <c r="S25" s="1653" t="s">
        <v>653</v>
      </c>
      <c r="T25" s="1654"/>
      <c r="U25" s="1654"/>
      <c r="V25" s="1654"/>
      <c r="W25" s="1654"/>
    </row>
    <row r="26" spans="1:23" s="203" customFormat="1" ht="19" customHeight="1">
      <c r="A26" s="449">
        <f>IF(E26="","",MAX($A$19:A25)+1)</f>
        <v>5</v>
      </c>
      <c r="B26" s="1619" t="s">
        <v>196</v>
      </c>
      <c r="C26" s="1620"/>
      <c r="D26" s="1621"/>
      <c r="E26" s="201">
        <v>33</v>
      </c>
      <c r="F26" s="202" t="s">
        <v>649</v>
      </c>
      <c r="G26" s="201" t="s">
        <v>650</v>
      </c>
      <c r="H26" s="201" t="s">
        <v>195</v>
      </c>
      <c r="I26" s="201" t="s">
        <v>195</v>
      </c>
      <c r="J26" s="201" t="s">
        <v>195</v>
      </c>
      <c r="K26" s="201" t="s">
        <v>195</v>
      </c>
      <c r="L26" s="201" t="s">
        <v>195</v>
      </c>
      <c r="M26" s="201" t="s">
        <v>195</v>
      </c>
      <c r="N26" s="201" t="s">
        <v>195</v>
      </c>
      <c r="O26" s="201" t="s">
        <v>195</v>
      </c>
      <c r="P26" s="201" t="s">
        <v>651</v>
      </c>
      <c r="S26" s="211"/>
      <c r="T26" s="212"/>
      <c r="U26" s="213"/>
    </row>
    <row r="27" spans="1:23" s="203" customFormat="1" ht="19" customHeight="1">
      <c r="A27" s="449" t="str">
        <f>IF(E27="","",MAX($A$19:A26)+1)</f>
        <v/>
      </c>
      <c r="B27" s="1622"/>
      <c r="C27" s="1623"/>
      <c r="D27" s="1624"/>
      <c r="E27" s="201"/>
      <c r="F27" s="202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S27" s="214"/>
      <c r="T27" s="214"/>
      <c r="U27" s="214"/>
    </row>
    <row r="28" spans="1:23" s="203" customFormat="1" ht="19" customHeight="1">
      <c r="A28" s="449" t="str">
        <f>IF(E28="","",MAX($A$19:A27)+1)</f>
        <v/>
      </c>
      <c r="B28" s="1619"/>
      <c r="C28" s="1655"/>
      <c r="D28" s="1656"/>
      <c r="E28" s="201"/>
      <c r="F28" s="202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S28" s="214"/>
      <c r="T28" s="214"/>
      <c r="U28" s="214"/>
    </row>
    <row r="29" spans="1:23" s="203" customFormat="1" ht="19" customHeight="1">
      <c r="A29" s="449" t="str">
        <f>IF(E29="","",MAX($A$19:A28)+1)</f>
        <v/>
      </c>
      <c r="B29" s="1622"/>
      <c r="C29" s="1623"/>
      <c r="D29" s="1624"/>
      <c r="E29" s="201"/>
      <c r="F29" s="202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S29" s="215"/>
      <c r="T29" s="215"/>
      <c r="U29" s="215"/>
    </row>
    <row r="30" spans="1:23" s="203" customFormat="1" ht="19" customHeight="1">
      <c r="A30" s="1647" t="s">
        <v>653</v>
      </c>
      <c r="B30" s="1648"/>
      <c r="C30" s="1648"/>
      <c r="D30" s="1648"/>
      <c r="E30" s="1648"/>
      <c r="F30" s="1648"/>
      <c r="G30" s="1648"/>
      <c r="H30" s="1648"/>
      <c r="I30" s="1648"/>
      <c r="J30" s="1648"/>
      <c r="K30" s="1648"/>
      <c r="L30" s="1648"/>
      <c r="M30" s="1648"/>
      <c r="N30" s="1648"/>
      <c r="O30" s="1648"/>
      <c r="P30" s="1649"/>
      <c r="S30" s="216"/>
      <c r="T30" s="217"/>
      <c r="U30" s="217"/>
    </row>
    <row r="31" spans="1:23" ht="29.25" customHeight="1">
      <c r="A31" s="1650" t="s">
        <v>654</v>
      </c>
      <c r="B31" s="1651"/>
      <c r="C31" s="1651"/>
      <c r="D31" s="1651"/>
      <c r="E31" s="1651"/>
      <c r="F31" s="1651"/>
      <c r="G31" s="1651"/>
      <c r="H31" s="1651"/>
      <c r="I31" s="1651"/>
      <c r="J31" s="1651"/>
      <c r="K31" s="1651"/>
      <c r="L31" s="1651"/>
      <c r="M31" s="1651"/>
      <c r="N31" s="1651"/>
      <c r="O31" s="1651"/>
      <c r="P31" s="1652"/>
      <c r="S31" s="218"/>
      <c r="T31" s="217"/>
      <c r="U31" s="217"/>
    </row>
    <row r="32" spans="1:23" ht="16.899999999999999" customHeight="1">
      <c r="A32" s="1614" t="s">
        <v>520</v>
      </c>
      <c r="B32" s="1615"/>
      <c r="C32" s="1615"/>
      <c r="D32" s="1615"/>
      <c r="E32" s="1615"/>
      <c r="F32" s="1616" t="s">
        <v>655</v>
      </c>
      <c r="G32" s="1617"/>
      <c r="H32" s="1617"/>
      <c r="I32" s="1617"/>
      <c r="J32" s="1617"/>
      <c r="K32" s="1614" t="s">
        <v>656</v>
      </c>
      <c r="L32" s="1615"/>
      <c r="M32" s="1615"/>
      <c r="N32" s="1615"/>
      <c r="O32" s="1615"/>
      <c r="P32" s="1618"/>
      <c r="S32" s="210"/>
      <c r="T32" s="210"/>
      <c r="U32" s="210"/>
    </row>
    <row r="33" spans="1:21" ht="15" customHeight="1">
      <c r="A33" s="1643" t="s">
        <v>657</v>
      </c>
      <c r="B33" s="1644"/>
      <c r="C33" s="1644"/>
      <c r="D33" s="1644"/>
      <c r="E33" s="1644"/>
      <c r="F33" s="1645" t="s">
        <v>658</v>
      </c>
      <c r="G33" s="1646"/>
      <c r="H33" s="1646"/>
      <c r="I33" s="1646"/>
      <c r="J33" s="1646"/>
      <c r="K33" s="1641" t="s">
        <v>659</v>
      </c>
      <c r="L33" s="1625"/>
      <c r="M33" s="1625"/>
      <c r="N33" s="1625"/>
      <c r="O33" s="1625"/>
      <c r="P33" s="1642"/>
      <c r="S33" s="219"/>
      <c r="T33" s="220"/>
      <c r="U33" s="220"/>
    </row>
    <row r="34" spans="1:21" ht="15" customHeight="1">
      <c r="A34" s="1641" t="s">
        <v>660</v>
      </c>
      <c r="B34" s="1625"/>
      <c r="C34" s="1625"/>
      <c r="D34" s="1625"/>
      <c r="E34" s="1625"/>
      <c r="F34" s="1641" t="s">
        <v>661</v>
      </c>
      <c r="G34" s="1625"/>
      <c r="H34" s="1625"/>
      <c r="I34" s="1625"/>
      <c r="J34" s="1625"/>
      <c r="K34" s="1641" t="s">
        <v>662</v>
      </c>
      <c r="L34" s="1625"/>
      <c r="M34" s="1625"/>
      <c r="N34" s="1625"/>
      <c r="O34" s="1625"/>
      <c r="P34" s="1642"/>
      <c r="S34" s="218"/>
      <c r="T34" s="220"/>
      <c r="U34" s="220"/>
    </row>
    <row r="35" spans="1:21" ht="14.7" customHeight="1">
      <c r="A35" s="1633" t="s">
        <v>663</v>
      </c>
      <c r="B35" s="1634"/>
      <c r="C35" s="1634"/>
      <c r="D35" s="1634"/>
      <c r="E35" s="1635"/>
      <c r="F35" s="1636"/>
      <c r="G35" s="1637"/>
      <c r="H35" s="1637"/>
      <c r="I35" s="1637"/>
      <c r="J35" s="1637"/>
      <c r="K35" s="1636"/>
      <c r="L35" s="1637"/>
      <c r="M35" s="1637"/>
      <c r="N35" s="1637"/>
      <c r="O35" s="1637"/>
      <c r="P35" s="1638"/>
      <c r="S35" s="78"/>
      <c r="T35" s="78"/>
      <c r="U35" s="78"/>
    </row>
    <row r="36" spans="1:21" ht="14.4" customHeight="1">
      <c r="A36" s="1639" t="s">
        <v>664</v>
      </c>
      <c r="B36" s="1640"/>
      <c r="C36" s="1640"/>
      <c r="D36" s="1640"/>
      <c r="E36" s="1640"/>
      <c r="F36" s="1641" t="s">
        <v>665</v>
      </c>
      <c r="G36" s="1625"/>
      <c r="H36" s="1625"/>
      <c r="I36" s="1625"/>
      <c r="J36" s="1625"/>
      <c r="K36" s="1641" t="s">
        <v>664</v>
      </c>
      <c r="L36" s="1625"/>
      <c r="M36" s="1625"/>
      <c r="N36" s="1625"/>
      <c r="O36" s="1625"/>
      <c r="P36" s="1642"/>
      <c r="S36" s="175"/>
      <c r="T36" s="221"/>
      <c r="U36" s="221"/>
    </row>
    <row r="37" spans="1:21" ht="32.25" customHeight="1">
      <c r="A37" s="418" t="s">
        <v>666</v>
      </c>
      <c r="B37" s="419"/>
      <c r="C37" s="1626" t="str">
        <f>N4</f>
        <v xml:space="preserve">          18/09/2024</v>
      </c>
      <c r="D37" s="1626"/>
      <c r="E37" s="1627"/>
      <c r="F37" s="1628" t="s">
        <v>680</v>
      </c>
      <c r="G37" s="1629"/>
      <c r="H37" s="1629"/>
      <c r="I37" s="1629"/>
      <c r="J37" s="1629"/>
      <c r="K37" s="1628" t="s">
        <v>667</v>
      </c>
      <c r="L37" s="1629"/>
      <c r="M37" s="1629"/>
      <c r="N37" s="1629"/>
      <c r="O37" s="1629"/>
      <c r="P37" s="1630"/>
      <c r="S37" s="78"/>
      <c r="T37" s="222"/>
      <c r="U37" s="222"/>
    </row>
    <row r="38" spans="1:21">
      <c r="A38" s="1631"/>
      <c r="B38" s="1631"/>
      <c r="C38" s="1631"/>
      <c r="D38" s="1631"/>
      <c r="E38" s="1631"/>
      <c r="F38" s="1631"/>
      <c r="G38" s="1631"/>
      <c r="H38" s="1632"/>
      <c r="I38" s="1632"/>
      <c r="J38" s="1632"/>
      <c r="K38" s="1632"/>
      <c r="L38" s="1632"/>
      <c r="M38" s="1632"/>
      <c r="N38" s="1632"/>
      <c r="O38" s="1632"/>
      <c r="P38" s="1632"/>
    </row>
    <row r="39" spans="1:21"/>
  </sheetData>
  <mergeCells count="103">
    <mergeCell ref="S25:W25"/>
    <mergeCell ref="S6:U6"/>
    <mergeCell ref="B28:D28"/>
    <mergeCell ref="S13:U13"/>
    <mergeCell ref="S14:U14"/>
    <mergeCell ref="T15:U15"/>
    <mergeCell ref="T16:U16"/>
    <mergeCell ref="T18:U18"/>
    <mergeCell ref="T19:U19"/>
    <mergeCell ref="T21:U21"/>
    <mergeCell ref="T22:U22"/>
    <mergeCell ref="H18:H19"/>
    <mergeCell ref="I18:I19"/>
    <mergeCell ref="N18:N19"/>
    <mergeCell ref="O18:O19"/>
    <mergeCell ref="P18:P19"/>
    <mergeCell ref="B20:D20"/>
    <mergeCell ref="A16:E16"/>
    <mergeCell ref="H16:I16"/>
    <mergeCell ref="K16:P16"/>
    <mergeCell ref="A17:H17"/>
    <mergeCell ref="I17:P17"/>
    <mergeCell ref="A18:A19"/>
    <mergeCell ref="B18:D19"/>
    <mergeCell ref="S3:U3"/>
    <mergeCell ref="S4:U4"/>
    <mergeCell ref="S9:S10"/>
    <mergeCell ref="T9:T10"/>
    <mergeCell ref="U9:U10"/>
    <mergeCell ref="C37:E37"/>
    <mergeCell ref="F37:J37"/>
    <mergeCell ref="K37:P37"/>
    <mergeCell ref="A38:G38"/>
    <mergeCell ref="H38:P38"/>
    <mergeCell ref="A35:E35"/>
    <mergeCell ref="F35:J35"/>
    <mergeCell ref="K35:P35"/>
    <mergeCell ref="A36:E36"/>
    <mergeCell ref="F36:J36"/>
    <mergeCell ref="K36:P36"/>
    <mergeCell ref="A33:E33"/>
    <mergeCell ref="F33:J33"/>
    <mergeCell ref="K33:P33"/>
    <mergeCell ref="A34:E34"/>
    <mergeCell ref="F34:J34"/>
    <mergeCell ref="K34:P34"/>
    <mergeCell ref="A30:P30"/>
    <mergeCell ref="A31:P31"/>
    <mergeCell ref="A32:E32"/>
    <mergeCell ref="F32:J32"/>
    <mergeCell ref="K32:P32"/>
    <mergeCell ref="B25:D25"/>
    <mergeCell ref="B26:D26"/>
    <mergeCell ref="B27:D27"/>
    <mergeCell ref="B29:D29"/>
    <mergeCell ref="B21:D21"/>
    <mergeCell ref="B22:D22"/>
    <mergeCell ref="B23:D23"/>
    <mergeCell ref="B24:D24"/>
    <mergeCell ref="E18:E19"/>
    <mergeCell ref="F18:F19"/>
    <mergeCell ref="G18:G19"/>
    <mergeCell ref="A14:E14"/>
    <mergeCell ref="H14:I14"/>
    <mergeCell ref="K14:P14"/>
    <mergeCell ref="A15:E15"/>
    <mergeCell ref="H15:I15"/>
    <mergeCell ref="K15:P15"/>
    <mergeCell ref="A12:E12"/>
    <mergeCell ref="H12:I12"/>
    <mergeCell ref="K12:P12"/>
    <mergeCell ref="A13:E13"/>
    <mergeCell ref="H13:I13"/>
    <mergeCell ref="K13:P13"/>
    <mergeCell ref="A10:D10"/>
    <mergeCell ref="E10:F10"/>
    <mergeCell ref="G10:J10"/>
    <mergeCell ref="K10:P10"/>
    <mergeCell ref="A11:E11"/>
    <mergeCell ref="H11:I11"/>
    <mergeCell ref="K11:P11"/>
    <mergeCell ref="A8:D8"/>
    <mergeCell ref="G8:P8"/>
    <mergeCell ref="A9:D9"/>
    <mergeCell ref="E9:F9"/>
    <mergeCell ref="G9:J9"/>
    <mergeCell ref="K9:P9"/>
    <mergeCell ref="A4:D4"/>
    <mergeCell ref="E4:M4"/>
    <mergeCell ref="N4:P4"/>
    <mergeCell ref="A5:F5"/>
    <mergeCell ref="G5:P5"/>
    <mergeCell ref="A6:F6"/>
    <mergeCell ref="G6:P6"/>
    <mergeCell ref="E1:M1"/>
    <mergeCell ref="N1:P1"/>
    <mergeCell ref="A2:D2"/>
    <mergeCell ref="E2:M2"/>
    <mergeCell ref="N2:P2"/>
    <mergeCell ref="E3:M3"/>
    <mergeCell ref="N3:P3"/>
    <mergeCell ref="A7:F7"/>
    <mergeCell ref="G7:P7"/>
  </mergeCells>
  <conditionalFormatting sqref="S14">
    <cfRule type="cellIs" dxfId="8" priority="1" stopIfTrue="1" operator="equal">
      <formula>#N/A</formula>
    </cfRule>
  </conditionalFormatting>
  <conditionalFormatting sqref="S29">
    <cfRule type="cellIs" dxfId="7" priority="2" stopIfTrue="1" operator="equal">
      <formula>#N/A</formula>
    </cfRule>
  </conditionalFormatting>
  <pageMargins left="0.70866141732283472" right="0.27" top="0.39370078740157483" bottom="0.19685039370078741" header="0.15748031496062992" footer="0"/>
  <pageSetup paperSize="9" orientation="portrait" r:id="rId1"/>
  <headerFooter>
    <oddFooter xml:space="preserve">&amp;RTake effect from/Áp dụng từ ngày 08.02.2014  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4">
    <tabColor theme="6" tint="-0.249977111117893"/>
  </sheetPr>
  <dimension ref="A1:W42"/>
  <sheetViews>
    <sheetView showGridLines="0" topLeftCell="A7" zoomScaleNormal="100" workbookViewId="0">
      <selection activeCell="A12" sqref="A12:XFD12"/>
    </sheetView>
  </sheetViews>
  <sheetFormatPr defaultColWidth="9.109375" defaultRowHeight="12.3"/>
  <cols>
    <col min="1" max="1" width="4.27734375" style="55" customWidth="1"/>
    <col min="2" max="2" width="8.88671875" style="55" customWidth="1"/>
    <col min="3" max="3" width="2.88671875" style="55" customWidth="1"/>
    <col min="4" max="4" width="7.83203125" style="55" customWidth="1"/>
    <col min="5" max="5" width="9.609375" style="55" customWidth="1"/>
    <col min="6" max="6" width="1.71875" style="55" hidden="1" customWidth="1"/>
    <col min="7" max="7" width="2.38671875" style="55" customWidth="1"/>
    <col min="8" max="8" width="3.109375" style="55" hidden="1" customWidth="1"/>
    <col min="9" max="9" width="4.27734375" style="55" customWidth="1"/>
    <col min="10" max="10" width="2.609375" style="55" customWidth="1"/>
    <col min="11" max="11" width="4.88671875" style="55" customWidth="1"/>
    <col min="12" max="12" width="3.609375" style="55" customWidth="1"/>
    <col min="13" max="13" width="6.609375" style="55" customWidth="1"/>
    <col min="14" max="14" width="5.27734375" style="55" customWidth="1"/>
    <col min="15" max="15" width="2.609375" style="55" customWidth="1"/>
    <col min="16" max="16" width="4" style="55" customWidth="1"/>
    <col min="17" max="17" width="1.609375" style="55" customWidth="1"/>
    <col min="18" max="18" width="7.609375" style="55" customWidth="1"/>
    <col min="19" max="19" width="7.109375" style="55" customWidth="1"/>
    <col min="20" max="20" width="8.109375" style="55" customWidth="1"/>
    <col min="21" max="16384" width="9.109375" style="55"/>
  </cols>
  <sheetData>
    <row r="1" spans="1:20" ht="30.75" customHeight="1">
      <c r="A1" s="1792"/>
      <c r="B1" s="1793"/>
      <c r="C1" s="1796" t="s">
        <v>456</v>
      </c>
      <c r="D1" s="1797"/>
      <c r="E1" s="1797"/>
      <c r="F1" s="1797"/>
      <c r="G1" s="1797"/>
      <c r="H1" s="1797"/>
      <c r="I1" s="1797"/>
      <c r="J1" s="1797"/>
      <c r="K1" s="1797"/>
      <c r="L1" s="1797"/>
      <c r="M1" s="1797"/>
      <c r="N1" s="1797"/>
      <c r="O1" s="1797"/>
      <c r="P1" s="1798"/>
      <c r="Q1" s="1799" t="s">
        <v>777</v>
      </c>
      <c r="R1" s="1800"/>
      <c r="S1" s="1800"/>
      <c r="T1" s="1801"/>
    </row>
    <row r="2" spans="1:20" ht="14.25" customHeight="1">
      <c r="A2" s="1794"/>
      <c r="B2" s="1795"/>
      <c r="C2" s="1802" t="s">
        <v>457</v>
      </c>
      <c r="D2" s="1803"/>
      <c r="E2" s="1803"/>
      <c r="F2" s="1803"/>
      <c r="G2" s="1803"/>
      <c r="H2" s="1803"/>
      <c r="I2" s="1803"/>
      <c r="J2" s="1803"/>
      <c r="K2" s="1803"/>
      <c r="L2" s="1803"/>
      <c r="M2" s="1803"/>
      <c r="N2" s="1803"/>
      <c r="O2" s="1803"/>
      <c r="P2" s="1804"/>
      <c r="Q2" s="1805" t="s">
        <v>778</v>
      </c>
      <c r="R2" s="1806"/>
      <c r="S2" s="1806"/>
      <c r="T2" s="1807"/>
    </row>
    <row r="3" spans="1:20" ht="15" customHeight="1">
      <c r="A3" s="1794"/>
      <c r="B3" s="1795"/>
      <c r="C3" s="1808" t="s">
        <v>459</v>
      </c>
      <c r="D3" s="1809"/>
      <c r="E3" s="1809"/>
      <c r="F3" s="1809"/>
      <c r="G3" s="1809"/>
      <c r="H3" s="1809"/>
      <c r="I3" s="1809"/>
      <c r="J3" s="1809"/>
      <c r="K3" s="1809"/>
      <c r="L3" s="1809"/>
      <c r="M3" s="1809"/>
      <c r="N3" s="1809"/>
      <c r="O3" s="1809"/>
      <c r="P3" s="1810"/>
      <c r="Q3" s="1811" t="s">
        <v>779</v>
      </c>
      <c r="R3" s="1812"/>
      <c r="S3" s="1812"/>
      <c r="T3" s="1813"/>
    </row>
    <row r="4" spans="1:20" ht="15" customHeight="1">
      <c r="A4" s="1794"/>
      <c r="B4" s="1795"/>
      <c r="C4" s="1808" t="s">
        <v>780</v>
      </c>
      <c r="D4" s="1809"/>
      <c r="E4" s="1809"/>
      <c r="F4" s="1809"/>
      <c r="G4" s="1809"/>
      <c r="H4" s="1809"/>
      <c r="I4" s="1809"/>
      <c r="J4" s="1809"/>
      <c r="K4" s="1809"/>
      <c r="L4" s="1809"/>
      <c r="M4" s="1809"/>
      <c r="N4" s="1809"/>
      <c r="O4" s="1809"/>
      <c r="P4" s="1810"/>
      <c r="Q4" s="1814" t="s">
        <v>242</v>
      </c>
      <c r="R4" s="1812"/>
      <c r="S4" s="1812"/>
      <c r="T4" s="1813"/>
    </row>
    <row r="5" spans="1:20" ht="15" customHeight="1">
      <c r="A5" s="1794"/>
      <c r="B5" s="1795"/>
      <c r="C5" s="1808"/>
      <c r="D5" s="1809"/>
      <c r="E5" s="1809"/>
      <c r="F5" s="1809"/>
      <c r="G5" s="1809"/>
      <c r="H5" s="1809"/>
      <c r="I5" s="1809"/>
      <c r="J5" s="1809"/>
      <c r="K5" s="1809"/>
      <c r="L5" s="1809"/>
      <c r="M5" s="1809"/>
      <c r="N5" s="1809"/>
      <c r="O5" s="1809"/>
      <c r="P5" s="1810"/>
      <c r="Q5" s="1786" t="s">
        <v>781</v>
      </c>
      <c r="R5" s="1787"/>
      <c r="S5" s="1787"/>
      <c r="T5" s="1788"/>
    </row>
    <row r="6" spans="1:20" ht="15" customHeight="1">
      <c r="A6" s="1774" t="s">
        <v>782</v>
      </c>
      <c r="B6" s="1775"/>
      <c r="C6" s="1775"/>
      <c r="D6" s="1775"/>
      <c r="E6" s="1775"/>
      <c r="F6" s="1775"/>
      <c r="G6" s="1775"/>
      <c r="H6" s="1775"/>
      <c r="I6" s="1775"/>
      <c r="J6" s="1776"/>
      <c r="K6" s="1789" t="s">
        <v>783</v>
      </c>
      <c r="L6" s="1790"/>
      <c r="M6" s="1790"/>
      <c r="N6" s="1790"/>
      <c r="O6" s="1790"/>
      <c r="P6" s="1790"/>
      <c r="Q6" s="1790"/>
      <c r="R6" s="1790"/>
      <c r="S6" s="1790"/>
      <c r="T6" s="1791"/>
    </row>
    <row r="7" spans="1:20" ht="12.75" customHeight="1">
      <c r="A7" s="1768" t="s">
        <v>784</v>
      </c>
      <c r="B7" s="1769"/>
      <c r="C7" s="1769"/>
      <c r="D7" s="1769"/>
      <c r="E7" s="1769"/>
      <c r="F7" s="1769"/>
      <c r="G7" s="1769"/>
      <c r="H7" s="1769"/>
      <c r="I7" s="1769"/>
      <c r="J7" s="1770"/>
      <c r="K7" s="1768" t="s">
        <v>785</v>
      </c>
      <c r="L7" s="1769"/>
      <c r="M7" s="1769"/>
      <c r="N7" s="1769"/>
      <c r="O7" s="1769"/>
      <c r="P7" s="1769"/>
      <c r="Q7" s="1769"/>
      <c r="R7" s="1769"/>
      <c r="S7" s="1769"/>
      <c r="T7" s="1770"/>
    </row>
    <row r="8" spans="1:20" ht="15" customHeight="1">
      <c r="A8" s="1774" t="s">
        <v>786</v>
      </c>
      <c r="B8" s="1775"/>
      <c r="C8" s="1775"/>
      <c r="D8" s="1775"/>
      <c r="E8" s="1775"/>
      <c r="F8" s="1775"/>
      <c r="G8" s="1775"/>
      <c r="H8" s="1775"/>
      <c r="I8" s="1775"/>
      <c r="J8" s="1776"/>
      <c r="K8" s="1774" t="s">
        <v>787</v>
      </c>
      <c r="L8" s="1775"/>
      <c r="M8" s="1775"/>
      <c r="N8" s="1775"/>
      <c r="O8" s="1775"/>
      <c r="P8" s="1775"/>
      <c r="Q8" s="1775"/>
      <c r="R8" s="1775"/>
      <c r="S8" s="1775"/>
      <c r="T8" s="1776"/>
    </row>
    <row r="9" spans="1:20" ht="15" customHeight="1">
      <c r="A9" s="1768" t="s">
        <v>788</v>
      </c>
      <c r="B9" s="1769"/>
      <c r="C9" s="1769"/>
      <c r="D9" s="1769"/>
      <c r="E9" s="1769"/>
      <c r="F9" s="1769"/>
      <c r="G9" s="1769"/>
      <c r="H9" s="1769"/>
      <c r="I9" s="1769"/>
      <c r="J9" s="1770"/>
      <c r="K9" s="1771" t="s">
        <v>789</v>
      </c>
      <c r="L9" s="1772"/>
      <c r="M9" s="1772"/>
      <c r="N9" s="1772"/>
      <c r="O9" s="1772"/>
      <c r="P9" s="1772"/>
      <c r="Q9" s="1772"/>
      <c r="R9" s="1772"/>
      <c r="S9" s="1772"/>
      <c r="T9" s="1773"/>
    </row>
    <row r="10" spans="1:20" ht="15" customHeight="1">
      <c r="A10" s="1774" t="s">
        <v>790</v>
      </c>
      <c r="B10" s="1775"/>
      <c r="C10" s="1775"/>
      <c r="D10" s="1775"/>
      <c r="E10" s="1775"/>
      <c r="F10" s="1775"/>
      <c r="G10" s="1775"/>
      <c r="H10" s="1775"/>
      <c r="I10" s="1776"/>
      <c r="J10" s="290" t="s">
        <v>791</v>
      </c>
      <c r="K10" s="291"/>
      <c r="L10" s="291"/>
      <c r="M10" s="291"/>
      <c r="N10" s="1777" t="s">
        <v>792</v>
      </c>
      <c r="O10" s="1778"/>
      <c r="P10" s="1778"/>
      <c r="Q10" s="1778"/>
      <c r="R10" s="1778"/>
      <c r="S10" s="1778"/>
      <c r="T10" s="1779"/>
    </row>
    <row r="11" spans="1:20" ht="12.75" customHeight="1">
      <c r="A11" s="1780" t="s">
        <v>793</v>
      </c>
      <c r="B11" s="1781"/>
      <c r="C11" s="1781"/>
      <c r="D11" s="1781"/>
      <c r="E11" s="1781"/>
      <c r="F11" s="1781"/>
      <c r="G11" s="1781"/>
      <c r="H11" s="1781"/>
      <c r="I11" s="1782"/>
      <c r="J11" s="292" t="s">
        <v>475</v>
      </c>
      <c r="K11" s="291"/>
      <c r="L11" s="291"/>
      <c r="M11" s="291"/>
      <c r="N11" s="1783" t="s">
        <v>794</v>
      </c>
      <c r="O11" s="1784"/>
      <c r="P11" s="1784"/>
      <c r="Q11" s="1784"/>
      <c r="R11" s="1784"/>
      <c r="S11" s="1784"/>
      <c r="T11" s="1785"/>
    </row>
    <row r="12" spans="1:20" ht="16.5" customHeight="1">
      <c r="A12" s="1750" t="s">
        <v>795</v>
      </c>
      <c r="B12" s="1751"/>
      <c r="C12" s="1751"/>
      <c r="D12" s="1751"/>
      <c r="E12" s="1751"/>
      <c r="F12" s="1751"/>
      <c r="G12" s="1751"/>
      <c r="H12" s="1751"/>
      <c r="I12" s="1752"/>
      <c r="J12" s="1753" t="s">
        <v>616</v>
      </c>
      <c r="K12" s="1754"/>
      <c r="L12" s="1754"/>
      <c r="M12" s="1755"/>
      <c r="N12" s="1756" t="s">
        <v>796</v>
      </c>
      <c r="O12" s="1757"/>
      <c r="P12" s="1757"/>
      <c r="Q12" s="1757"/>
      <c r="R12" s="1757"/>
      <c r="S12" s="1757"/>
      <c r="T12" s="1758"/>
    </row>
    <row r="13" spans="1:20" ht="15.3" customHeight="1">
      <c r="A13" s="1715" t="s">
        <v>797</v>
      </c>
      <c r="B13" s="1716"/>
      <c r="C13" s="1716"/>
      <c r="D13" s="1717"/>
      <c r="E13" s="293" t="s">
        <v>798</v>
      </c>
      <c r="F13" s="1759" t="s">
        <v>799</v>
      </c>
      <c r="G13" s="1760"/>
      <c r="H13" s="1760"/>
      <c r="I13" s="1761"/>
      <c r="J13" s="1762" t="s">
        <v>800</v>
      </c>
      <c r="K13" s="1763"/>
      <c r="L13" s="1762" t="s">
        <v>801</v>
      </c>
      <c r="M13" s="1764"/>
      <c r="N13" s="1765" t="s">
        <v>802</v>
      </c>
      <c r="O13" s="1766"/>
      <c r="P13" s="1766"/>
      <c r="Q13" s="1766"/>
      <c r="R13" s="1766"/>
      <c r="S13" s="1766"/>
      <c r="T13" s="1767"/>
    </row>
    <row r="14" spans="1:20" ht="15.3" customHeight="1">
      <c r="A14" s="1715" t="s">
        <v>803</v>
      </c>
      <c r="B14" s="1716"/>
      <c r="C14" s="1716"/>
      <c r="D14" s="1717"/>
      <c r="E14" s="293" t="s">
        <v>483</v>
      </c>
      <c r="F14" s="294"/>
      <c r="G14" s="1737" t="s">
        <v>483</v>
      </c>
      <c r="H14" s="1737"/>
      <c r="I14" s="1738"/>
      <c r="J14" s="1739" t="s">
        <v>483</v>
      </c>
      <c r="K14" s="1738"/>
      <c r="L14" s="1739" t="s">
        <v>483</v>
      </c>
      <c r="M14" s="1738"/>
      <c r="N14" s="1740" t="s">
        <v>804</v>
      </c>
      <c r="O14" s="1741"/>
      <c r="P14" s="1741"/>
      <c r="Q14" s="1741"/>
      <c r="R14" s="1741"/>
      <c r="S14" s="1741"/>
      <c r="T14" s="1742"/>
    </row>
    <row r="15" spans="1:20" ht="17.25" customHeight="1">
      <c r="A15" s="1715" t="s">
        <v>805</v>
      </c>
      <c r="B15" s="1716"/>
      <c r="C15" s="1716"/>
      <c r="D15" s="1717"/>
      <c r="E15" s="295">
        <v>54247</v>
      </c>
      <c r="F15" s="1743" t="s">
        <v>806</v>
      </c>
      <c r="G15" s="1744"/>
      <c r="H15" s="1744"/>
      <c r="I15" s="1745"/>
      <c r="J15" s="1746" t="s">
        <v>807</v>
      </c>
      <c r="K15" s="1745"/>
      <c r="L15" s="1746" t="s">
        <v>808</v>
      </c>
      <c r="M15" s="1745"/>
      <c r="N15" s="1747" t="s">
        <v>809</v>
      </c>
      <c r="O15" s="1748"/>
      <c r="P15" s="1748"/>
      <c r="Q15" s="1748"/>
      <c r="R15" s="1748"/>
      <c r="S15" s="1748"/>
      <c r="T15" s="1749"/>
    </row>
    <row r="16" spans="1:20" ht="17.25" customHeight="1">
      <c r="A16" s="1715" t="s">
        <v>810</v>
      </c>
      <c r="B16" s="1716"/>
      <c r="C16" s="1716"/>
      <c r="D16" s="1717"/>
      <c r="E16" s="296" t="s">
        <v>811</v>
      </c>
      <c r="F16" s="297"/>
      <c r="G16" s="1725" t="s">
        <v>493</v>
      </c>
      <c r="H16" s="1725"/>
      <c r="I16" s="1726"/>
      <c r="J16" s="1727" t="s">
        <v>493</v>
      </c>
      <c r="K16" s="1726"/>
      <c r="L16" s="1727" t="s">
        <v>493</v>
      </c>
      <c r="M16" s="1726"/>
      <c r="N16" s="1728" t="s">
        <v>812</v>
      </c>
      <c r="O16" s="1729"/>
      <c r="P16" s="1729"/>
      <c r="Q16" s="1729"/>
      <c r="R16" s="1729"/>
      <c r="S16" s="1729"/>
      <c r="T16" s="1730"/>
    </row>
    <row r="17" spans="1:23" ht="18.75" customHeight="1">
      <c r="A17" s="1715" t="s">
        <v>813</v>
      </c>
      <c r="B17" s="1716"/>
      <c r="C17" s="1716"/>
      <c r="D17" s="1717"/>
      <c r="E17" s="298">
        <v>4</v>
      </c>
      <c r="F17" s="297"/>
      <c r="G17" s="1725">
        <v>4</v>
      </c>
      <c r="H17" s="1725"/>
      <c r="I17" s="1726"/>
      <c r="J17" s="1727">
        <v>4</v>
      </c>
      <c r="K17" s="1726"/>
      <c r="L17" s="1727">
        <v>4</v>
      </c>
      <c r="M17" s="1726"/>
      <c r="N17" s="1731" t="s">
        <v>814</v>
      </c>
      <c r="O17" s="1732"/>
      <c r="P17" s="1732"/>
      <c r="Q17" s="1732"/>
      <c r="R17" s="1732"/>
      <c r="S17" s="1732"/>
      <c r="T17" s="1733"/>
    </row>
    <row r="18" spans="1:23" ht="18.75" customHeight="1">
      <c r="A18" s="1715" t="s">
        <v>815</v>
      </c>
      <c r="B18" s="1716"/>
      <c r="C18" s="1716"/>
      <c r="D18" s="1717"/>
      <c r="E18" s="298">
        <v>50</v>
      </c>
      <c r="F18" s="297"/>
      <c r="G18" s="1725">
        <v>100</v>
      </c>
      <c r="H18" s="1725"/>
      <c r="I18" s="1726"/>
      <c r="J18" s="1727">
        <v>100</v>
      </c>
      <c r="K18" s="1726"/>
      <c r="L18" s="1727">
        <v>100</v>
      </c>
      <c r="M18" s="1726"/>
      <c r="N18" s="1734"/>
      <c r="O18" s="1735"/>
      <c r="P18" s="1735"/>
      <c r="Q18" s="1735"/>
      <c r="R18" s="1735"/>
      <c r="S18" s="1735"/>
      <c r="T18" s="1736"/>
    </row>
    <row r="19" spans="1:23" ht="26.55" customHeight="1">
      <c r="A19" s="1715" t="s">
        <v>816</v>
      </c>
      <c r="B19" s="1716"/>
      <c r="C19" s="1716"/>
      <c r="D19" s="1717"/>
      <c r="E19" s="299" t="s">
        <v>817</v>
      </c>
      <c r="F19" s="300"/>
      <c r="G19" s="1725">
        <v>45</v>
      </c>
      <c r="H19" s="1725"/>
      <c r="I19" s="1726"/>
      <c r="J19" s="1727">
        <v>48</v>
      </c>
      <c r="K19" s="1726"/>
      <c r="L19" s="1727">
        <v>53</v>
      </c>
      <c r="M19" s="1726"/>
      <c r="N19" s="1712" t="s">
        <v>818</v>
      </c>
      <c r="O19" s="1713"/>
      <c r="P19" s="1713"/>
      <c r="Q19" s="1713"/>
      <c r="R19" s="1713"/>
      <c r="S19" s="1713"/>
      <c r="T19" s="1714"/>
    </row>
    <row r="20" spans="1:23" ht="29.25" customHeight="1">
      <c r="A20" s="1715" t="s">
        <v>819</v>
      </c>
      <c r="B20" s="1716"/>
      <c r="C20" s="1716"/>
      <c r="D20" s="1717"/>
      <c r="E20" s="301" t="s">
        <v>195</v>
      </c>
      <c r="F20" s="301"/>
      <c r="G20" s="1718" t="s">
        <v>820</v>
      </c>
      <c r="H20" s="1718"/>
      <c r="I20" s="1718"/>
      <c r="J20" s="1718" t="s">
        <v>820</v>
      </c>
      <c r="K20" s="1718"/>
      <c r="L20" s="1719" t="s">
        <v>820</v>
      </c>
      <c r="M20" s="1720"/>
      <c r="N20" s="1715" t="s">
        <v>821</v>
      </c>
      <c r="O20" s="1721"/>
      <c r="P20" s="1721"/>
      <c r="Q20" s="1721"/>
      <c r="R20" s="1721"/>
      <c r="S20" s="1721"/>
      <c r="T20" s="1722"/>
    </row>
    <row r="21" spans="1:23" s="304" customFormat="1" ht="70.5" customHeight="1">
      <c r="A21" s="302" t="s">
        <v>508</v>
      </c>
      <c r="B21" s="1723" t="s">
        <v>355</v>
      </c>
      <c r="C21" s="1724"/>
      <c r="D21" s="1724"/>
      <c r="E21" s="1724"/>
      <c r="F21" s="1724"/>
      <c r="G21" s="1723" t="s">
        <v>356</v>
      </c>
      <c r="H21" s="1724"/>
      <c r="I21" s="1724"/>
      <c r="J21" s="1724"/>
      <c r="K21" s="1723" t="s">
        <v>357</v>
      </c>
      <c r="L21" s="1724"/>
      <c r="M21" s="1723" t="s">
        <v>822</v>
      </c>
      <c r="N21" s="1724"/>
      <c r="O21" s="1723" t="s">
        <v>823</v>
      </c>
      <c r="P21" s="1724"/>
      <c r="Q21" s="1724"/>
      <c r="R21" s="303" t="s">
        <v>824</v>
      </c>
      <c r="S21" s="303" t="s">
        <v>361</v>
      </c>
      <c r="T21" s="303" t="s">
        <v>362</v>
      </c>
    </row>
    <row r="22" spans="1:23" ht="20.05" customHeight="1">
      <c r="A22" s="305">
        <f>IF(B22="","",MAX($A$21:A21)+1)</f>
        <v>1</v>
      </c>
      <c r="B22" s="1709" t="s">
        <v>825</v>
      </c>
      <c r="C22" s="1710"/>
      <c r="D22" s="1710"/>
      <c r="E22" s="1710"/>
      <c r="F22" s="1711"/>
      <c r="G22" s="1705">
        <v>1</v>
      </c>
      <c r="H22" s="1705"/>
      <c r="I22" s="1705"/>
      <c r="J22" s="1705"/>
      <c r="K22" s="1705">
        <v>517</v>
      </c>
      <c r="L22" s="1705"/>
      <c r="M22" s="1705" t="s">
        <v>826</v>
      </c>
      <c r="N22" s="1705"/>
      <c r="O22" s="1708" t="s">
        <v>195</v>
      </c>
      <c r="P22" s="1708"/>
      <c r="Q22" s="1708"/>
      <c r="R22" s="306" t="s">
        <v>195</v>
      </c>
      <c r="S22" s="306" t="s">
        <v>195</v>
      </c>
      <c r="T22" s="307" t="s">
        <v>651</v>
      </c>
    </row>
    <row r="23" spans="1:23" s="308" customFormat="1" ht="20.05" customHeight="1">
      <c r="A23" s="305">
        <v>2</v>
      </c>
      <c r="B23" s="1702" t="s">
        <v>196</v>
      </c>
      <c r="C23" s="1703"/>
      <c r="D23" s="1703"/>
      <c r="E23" s="1703"/>
      <c r="F23" s="1704"/>
      <c r="G23" s="1705" t="s">
        <v>827</v>
      </c>
      <c r="H23" s="1705"/>
      <c r="I23" s="1705"/>
      <c r="J23" s="1705"/>
      <c r="K23" s="1705">
        <v>517</v>
      </c>
      <c r="L23" s="1705"/>
      <c r="M23" s="1705" t="s">
        <v>828</v>
      </c>
      <c r="N23" s="1705"/>
      <c r="O23" s="1708" t="s">
        <v>195</v>
      </c>
      <c r="P23" s="1708"/>
      <c r="Q23" s="1708"/>
      <c r="R23" s="306" t="s">
        <v>195</v>
      </c>
      <c r="S23" s="306" t="s">
        <v>195</v>
      </c>
      <c r="T23" s="307" t="s">
        <v>651</v>
      </c>
      <c r="U23" s="55"/>
      <c r="V23" s="55"/>
      <c r="W23" s="55"/>
    </row>
    <row r="24" spans="1:23" s="308" customFormat="1" ht="20.05" customHeight="1">
      <c r="A24" s="305">
        <v>3</v>
      </c>
      <c r="B24" s="1702" t="s">
        <v>196</v>
      </c>
      <c r="C24" s="1703"/>
      <c r="D24" s="1703"/>
      <c r="E24" s="1703"/>
      <c r="F24" s="1704"/>
      <c r="G24" s="1705">
        <v>2</v>
      </c>
      <c r="H24" s="1705"/>
      <c r="I24" s="1705"/>
      <c r="J24" s="1705"/>
      <c r="K24" s="1705">
        <v>517</v>
      </c>
      <c r="L24" s="1705"/>
      <c r="M24" s="1705" t="s">
        <v>829</v>
      </c>
      <c r="N24" s="1705"/>
      <c r="O24" s="1708" t="s">
        <v>195</v>
      </c>
      <c r="P24" s="1708"/>
      <c r="Q24" s="1708"/>
      <c r="R24" s="306" t="s">
        <v>195</v>
      </c>
      <c r="S24" s="306" t="s">
        <v>195</v>
      </c>
      <c r="T24" s="307" t="s">
        <v>651</v>
      </c>
      <c r="U24" s="55"/>
      <c r="V24" s="55"/>
      <c r="W24" s="55"/>
    </row>
    <row r="25" spans="1:23" s="308" customFormat="1" ht="20.05" customHeight="1">
      <c r="A25" s="305">
        <v>4</v>
      </c>
      <c r="B25" s="1702" t="s">
        <v>196</v>
      </c>
      <c r="C25" s="1703"/>
      <c r="D25" s="1703"/>
      <c r="E25" s="1703"/>
      <c r="F25" s="1704"/>
      <c r="G25" s="1705" t="s">
        <v>830</v>
      </c>
      <c r="H25" s="1705"/>
      <c r="I25" s="1705"/>
      <c r="J25" s="1705"/>
      <c r="K25" s="1705">
        <v>517</v>
      </c>
      <c r="L25" s="1705"/>
      <c r="M25" s="1705" t="s">
        <v>831</v>
      </c>
      <c r="N25" s="1705"/>
      <c r="O25" s="1708" t="s">
        <v>195</v>
      </c>
      <c r="P25" s="1708"/>
      <c r="Q25" s="1708"/>
      <c r="R25" s="306" t="s">
        <v>195</v>
      </c>
      <c r="S25" s="306" t="s">
        <v>195</v>
      </c>
      <c r="T25" s="307" t="s">
        <v>651</v>
      </c>
      <c r="U25" s="55"/>
      <c r="V25" s="55"/>
      <c r="W25" s="55"/>
    </row>
    <row r="26" spans="1:23" s="308" customFormat="1" ht="20.05" customHeight="1">
      <c r="A26" s="305">
        <v>5</v>
      </c>
      <c r="B26" s="1702" t="s">
        <v>196</v>
      </c>
      <c r="C26" s="1703"/>
      <c r="D26" s="1703"/>
      <c r="E26" s="1703"/>
      <c r="F26" s="1704"/>
      <c r="G26" s="1705">
        <v>3</v>
      </c>
      <c r="H26" s="1705"/>
      <c r="I26" s="1705"/>
      <c r="J26" s="1705"/>
      <c r="K26" s="1705">
        <v>517</v>
      </c>
      <c r="L26" s="1705"/>
      <c r="M26" s="1705" t="s">
        <v>832</v>
      </c>
      <c r="N26" s="1705"/>
      <c r="O26" s="1708" t="s">
        <v>195</v>
      </c>
      <c r="P26" s="1708"/>
      <c r="Q26" s="1708"/>
      <c r="R26" s="306" t="s">
        <v>195</v>
      </c>
      <c r="S26" s="306" t="s">
        <v>195</v>
      </c>
      <c r="T26" s="307" t="s">
        <v>651</v>
      </c>
      <c r="U26" s="55"/>
      <c r="V26" s="55"/>
      <c r="W26" s="55"/>
    </row>
    <row r="27" spans="1:23" s="308" customFormat="1" ht="20.05" customHeight="1">
      <c r="A27" s="305">
        <v>6</v>
      </c>
      <c r="B27" s="1702" t="s">
        <v>196</v>
      </c>
      <c r="C27" s="1703"/>
      <c r="D27" s="1703"/>
      <c r="E27" s="1703"/>
      <c r="F27" s="1704"/>
      <c r="G27" s="1705" t="s">
        <v>833</v>
      </c>
      <c r="H27" s="1705"/>
      <c r="I27" s="1705"/>
      <c r="J27" s="1705"/>
      <c r="K27" s="1706">
        <v>598</v>
      </c>
      <c r="L27" s="1707"/>
      <c r="M27" s="1705" t="s">
        <v>834</v>
      </c>
      <c r="N27" s="1705"/>
      <c r="O27" s="1708" t="s">
        <v>195</v>
      </c>
      <c r="P27" s="1708"/>
      <c r="Q27" s="1708"/>
      <c r="R27" s="306" t="s">
        <v>195</v>
      </c>
      <c r="S27" s="306" t="s">
        <v>195</v>
      </c>
      <c r="T27" s="307" t="s">
        <v>154</v>
      </c>
      <c r="U27" s="55"/>
      <c r="V27" s="55"/>
      <c r="W27" s="55"/>
    </row>
    <row r="28" spans="1:23" s="308" customFormat="1" ht="20.05" customHeight="1">
      <c r="A28" s="305"/>
      <c r="B28" s="1702"/>
      <c r="C28" s="1703"/>
      <c r="D28" s="1703"/>
      <c r="E28" s="1703"/>
      <c r="F28" s="1704"/>
      <c r="G28" s="1705"/>
      <c r="H28" s="1705"/>
      <c r="I28" s="1705"/>
      <c r="J28" s="1705"/>
      <c r="K28" s="1706"/>
      <c r="L28" s="1707"/>
      <c r="M28" s="1706"/>
      <c r="N28" s="1707"/>
      <c r="O28" s="1708"/>
      <c r="P28" s="1708"/>
      <c r="Q28" s="1708"/>
      <c r="R28" s="306"/>
      <c r="S28" s="306"/>
      <c r="T28" s="307"/>
      <c r="U28" s="55"/>
      <c r="V28" s="55"/>
      <c r="W28" s="55"/>
    </row>
    <row r="29" spans="1:23" s="308" customFormat="1" ht="20.05" customHeight="1">
      <c r="A29" s="305"/>
      <c r="B29" s="1702"/>
      <c r="C29" s="1703"/>
      <c r="D29" s="1703"/>
      <c r="E29" s="1703"/>
      <c r="F29" s="1704"/>
      <c r="G29" s="1705"/>
      <c r="H29" s="1705"/>
      <c r="I29" s="1705"/>
      <c r="J29" s="1705"/>
      <c r="K29" s="1706"/>
      <c r="L29" s="1707"/>
      <c r="M29" s="1706"/>
      <c r="N29" s="1707"/>
      <c r="O29" s="1708"/>
      <c r="P29" s="1708"/>
      <c r="Q29" s="1708"/>
      <c r="R29" s="306"/>
      <c r="S29" s="306"/>
      <c r="T29" s="307"/>
      <c r="U29" s="55"/>
      <c r="V29" s="55"/>
      <c r="W29" s="55"/>
    </row>
    <row r="30" spans="1:23" s="308" customFormat="1" ht="20.05" customHeight="1">
      <c r="A30" s="305"/>
      <c r="B30" s="1702"/>
      <c r="C30" s="1703"/>
      <c r="D30" s="1703"/>
      <c r="E30" s="1703"/>
      <c r="F30" s="1704"/>
      <c r="G30" s="1705"/>
      <c r="H30" s="1705"/>
      <c r="I30" s="1705"/>
      <c r="J30" s="1705"/>
      <c r="K30" s="1706"/>
      <c r="L30" s="1707"/>
      <c r="M30" s="1706"/>
      <c r="N30" s="1707"/>
      <c r="O30" s="1708"/>
      <c r="P30" s="1708"/>
      <c r="Q30" s="1708"/>
      <c r="R30" s="306"/>
      <c r="S30" s="306"/>
      <c r="T30" s="307"/>
      <c r="U30" s="55"/>
      <c r="V30" s="55"/>
      <c r="W30" s="55"/>
    </row>
    <row r="31" spans="1:23" s="308" customFormat="1" ht="20.05" customHeight="1">
      <c r="A31" s="309"/>
      <c r="B31" s="1694"/>
      <c r="C31" s="1695"/>
      <c r="D31" s="1695"/>
      <c r="E31" s="1695"/>
      <c r="F31" s="1696"/>
      <c r="G31" s="1697"/>
      <c r="H31" s="1697"/>
      <c r="I31" s="1697"/>
      <c r="J31" s="1697"/>
      <c r="K31" s="1698"/>
      <c r="L31" s="1699"/>
      <c r="M31" s="1698"/>
      <c r="N31" s="1699"/>
      <c r="O31" s="1700"/>
      <c r="P31" s="1700"/>
      <c r="Q31" s="1700"/>
      <c r="R31" s="310"/>
      <c r="S31" s="310"/>
      <c r="T31" s="311"/>
      <c r="U31" s="55"/>
      <c r="V31" s="55"/>
      <c r="W31" s="55"/>
    </row>
    <row r="32" spans="1:23" s="308" customFormat="1" ht="20.05" customHeight="1">
      <c r="A32" s="1701" t="s">
        <v>587</v>
      </c>
      <c r="B32" s="1701"/>
      <c r="C32" s="1701"/>
      <c r="D32" s="1701"/>
      <c r="E32" s="1701"/>
      <c r="F32" s="1701"/>
      <c r="G32" s="1701"/>
      <c r="H32" s="1701"/>
      <c r="I32" s="1701"/>
      <c r="J32" s="1701"/>
      <c r="K32" s="1701"/>
      <c r="L32" s="1701"/>
      <c r="M32" s="1701"/>
      <c r="N32" s="1701"/>
      <c r="O32" s="1701"/>
      <c r="P32" s="1701"/>
      <c r="Q32" s="1701"/>
      <c r="R32" s="1701"/>
      <c r="S32" s="1701"/>
      <c r="T32" s="1701"/>
      <c r="U32" s="55"/>
      <c r="V32" s="55"/>
      <c r="W32" s="55"/>
    </row>
    <row r="33" spans="1:20" s="312" customFormat="1" ht="29.55" customHeight="1">
      <c r="A33" s="1685" t="s">
        <v>835</v>
      </c>
      <c r="B33" s="1686"/>
      <c r="C33" s="1686"/>
      <c r="D33" s="1686"/>
      <c r="E33" s="1686"/>
      <c r="F33" s="1686"/>
      <c r="G33" s="1686"/>
      <c r="H33" s="1686"/>
      <c r="I33" s="1686"/>
      <c r="J33" s="1686"/>
      <c r="K33" s="1686"/>
      <c r="L33" s="1686"/>
      <c r="M33" s="1686"/>
      <c r="N33" s="1686"/>
      <c r="O33" s="1686"/>
      <c r="P33" s="1686"/>
      <c r="Q33" s="1686"/>
      <c r="R33" s="1686"/>
      <c r="S33" s="1686"/>
      <c r="T33" s="1687"/>
    </row>
    <row r="34" spans="1:20" s="312" customFormat="1" ht="24.75" customHeight="1">
      <c r="A34" s="1688" t="s">
        <v>836</v>
      </c>
      <c r="B34" s="1689"/>
      <c r="C34" s="1689"/>
      <c r="D34" s="1689"/>
      <c r="E34" s="1689"/>
      <c r="F34" s="1689"/>
      <c r="G34" s="1689"/>
      <c r="H34" s="1689"/>
      <c r="I34" s="1689"/>
      <c r="J34" s="1689"/>
      <c r="K34" s="1689"/>
      <c r="L34" s="1689"/>
      <c r="M34" s="1689"/>
      <c r="N34" s="1689"/>
      <c r="O34" s="1689"/>
      <c r="P34" s="1689"/>
      <c r="Q34" s="1689"/>
      <c r="R34" s="1689"/>
      <c r="S34" s="1689"/>
      <c r="T34" s="1690"/>
    </row>
    <row r="35" spans="1:20" ht="15.6" customHeight="1">
      <c r="A35" s="1691" t="s">
        <v>520</v>
      </c>
      <c r="B35" s="1692"/>
      <c r="C35" s="1692"/>
      <c r="D35" s="1692"/>
      <c r="E35" s="1692"/>
      <c r="F35" s="1692"/>
      <c r="G35" s="1693"/>
      <c r="H35" s="313" t="s">
        <v>837</v>
      </c>
      <c r="I35" s="1692" t="s">
        <v>199</v>
      </c>
      <c r="J35" s="1692"/>
      <c r="K35" s="1692"/>
      <c r="L35" s="1692"/>
      <c r="M35" s="1692"/>
      <c r="N35" s="1693"/>
      <c r="O35" s="1691" t="s">
        <v>375</v>
      </c>
      <c r="P35" s="1692"/>
      <c r="Q35" s="1692"/>
      <c r="R35" s="1692"/>
      <c r="S35" s="1692"/>
      <c r="T35" s="1693"/>
    </row>
    <row r="36" spans="1:20" s="315" customFormat="1" ht="14.1" customHeight="1">
      <c r="A36" s="1673" t="s">
        <v>201</v>
      </c>
      <c r="B36" s="1674"/>
      <c r="C36" s="1674"/>
      <c r="D36" s="1674"/>
      <c r="E36" s="1674"/>
      <c r="F36" s="1674"/>
      <c r="G36" s="1675"/>
      <c r="H36" s="314" t="s">
        <v>838</v>
      </c>
      <c r="I36" s="1674" t="s">
        <v>202</v>
      </c>
      <c r="J36" s="1674"/>
      <c r="K36" s="1674"/>
      <c r="L36" s="1674"/>
      <c r="M36" s="1674"/>
      <c r="N36" s="1675"/>
      <c r="O36" s="1673" t="s">
        <v>203</v>
      </c>
      <c r="P36" s="1674"/>
      <c r="Q36" s="1674"/>
      <c r="R36" s="1674"/>
      <c r="S36" s="1674"/>
      <c r="T36" s="1675"/>
    </row>
    <row r="37" spans="1:20" s="315" customFormat="1" ht="14.7" customHeight="1">
      <c r="A37" s="292" t="s">
        <v>839</v>
      </c>
      <c r="B37" s="291"/>
      <c r="C37" s="291"/>
      <c r="D37" s="1683" t="s">
        <v>840</v>
      </c>
      <c r="E37" s="1683"/>
      <c r="F37" s="1683"/>
      <c r="G37" s="1684"/>
      <c r="H37" s="314" t="s">
        <v>204</v>
      </c>
      <c r="I37" s="1674" t="s">
        <v>842</v>
      </c>
      <c r="J37" s="1674"/>
      <c r="K37" s="1674"/>
      <c r="L37" s="1674"/>
      <c r="M37" s="1674"/>
      <c r="N37" s="1675"/>
      <c r="O37" s="1673" t="s">
        <v>204</v>
      </c>
      <c r="P37" s="1674"/>
      <c r="Q37" s="1674"/>
      <c r="R37" s="1674"/>
      <c r="S37" s="1674"/>
      <c r="T37" s="1675"/>
    </row>
    <row r="38" spans="1:20" s="315" customFormat="1" ht="15.6" customHeight="1">
      <c r="A38" s="1673" t="s">
        <v>205</v>
      </c>
      <c r="B38" s="1674"/>
      <c r="C38" s="1674"/>
      <c r="D38" s="1674"/>
      <c r="E38" s="1674"/>
      <c r="F38" s="1674"/>
      <c r="G38" s="1675"/>
      <c r="H38" s="314" t="s">
        <v>205</v>
      </c>
      <c r="I38" s="1674" t="s">
        <v>205</v>
      </c>
      <c r="J38" s="1674"/>
      <c r="K38" s="1674"/>
      <c r="L38" s="1674"/>
      <c r="M38" s="1674"/>
      <c r="N38" s="1675"/>
      <c r="O38" s="1673" t="s">
        <v>205</v>
      </c>
      <c r="P38" s="1674"/>
      <c r="Q38" s="1674"/>
      <c r="R38" s="1674"/>
      <c r="S38" s="1674"/>
      <c r="T38" s="1675"/>
    </row>
    <row r="39" spans="1:20" s="315" customFormat="1" ht="15.6" customHeight="1">
      <c r="A39" s="1673"/>
      <c r="B39" s="1674"/>
      <c r="C39" s="1674"/>
      <c r="D39" s="1674"/>
      <c r="E39" s="1674"/>
      <c r="F39" s="1674"/>
      <c r="G39" s="1675"/>
      <c r="H39" s="314"/>
      <c r="I39" s="1674"/>
      <c r="J39" s="1674"/>
      <c r="K39" s="1674"/>
      <c r="L39" s="1674"/>
      <c r="M39" s="1674"/>
      <c r="N39" s="1675"/>
      <c r="O39" s="1673"/>
      <c r="P39" s="1674"/>
      <c r="Q39" s="1674"/>
      <c r="R39" s="1674"/>
      <c r="S39" s="1674"/>
      <c r="T39" s="1675"/>
    </row>
    <row r="40" spans="1:20" s="315" customFormat="1" ht="14.25" customHeight="1">
      <c r="A40" s="1676" t="s">
        <v>841</v>
      </c>
      <c r="B40" s="1677"/>
      <c r="C40" s="1678" t="str">
        <f>Q5</f>
        <v xml:space="preserve">  30/12/2022</v>
      </c>
      <c r="D40" s="1678"/>
      <c r="E40" s="1679"/>
      <c r="F40" s="1679"/>
      <c r="G40" s="1680"/>
      <c r="H40" s="316" t="s">
        <v>206</v>
      </c>
      <c r="I40" s="1677" t="s">
        <v>206</v>
      </c>
      <c r="J40" s="1677"/>
      <c r="K40" s="1677"/>
      <c r="L40" s="1677"/>
      <c r="M40" s="317"/>
      <c r="N40" s="318"/>
      <c r="O40" s="1676" t="s">
        <v>206</v>
      </c>
      <c r="P40" s="1677"/>
      <c r="Q40" s="1677"/>
      <c r="R40" s="1677"/>
      <c r="S40" s="1681"/>
      <c r="T40" s="1682"/>
    </row>
    <row r="41" spans="1:20">
      <c r="A41" s="319"/>
      <c r="B41" s="319"/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</row>
    <row r="42" spans="1:20">
      <c r="A42" s="320"/>
    </row>
  </sheetData>
  <mergeCells count="143">
    <mergeCell ref="Q5:T5"/>
    <mergeCell ref="A6:J6"/>
    <mergeCell ref="K6:T6"/>
    <mergeCell ref="A7:J7"/>
    <mergeCell ref="K7:T7"/>
    <mergeCell ref="A8:J8"/>
    <mergeCell ref="K8:T8"/>
    <mergeCell ref="A1:B5"/>
    <mergeCell ref="C1:P1"/>
    <mergeCell ref="Q1:T1"/>
    <mergeCell ref="C2:P2"/>
    <mergeCell ref="Q2:T2"/>
    <mergeCell ref="C3:P3"/>
    <mergeCell ref="Q3:T3"/>
    <mergeCell ref="C4:P4"/>
    <mergeCell ref="Q4:T4"/>
    <mergeCell ref="C5:P5"/>
    <mergeCell ref="A12:I12"/>
    <mergeCell ref="J12:M12"/>
    <mergeCell ref="N12:T12"/>
    <mergeCell ref="A13:D13"/>
    <mergeCell ref="F13:I13"/>
    <mergeCell ref="J13:K13"/>
    <mergeCell ref="L13:M13"/>
    <mergeCell ref="N13:T13"/>
    <mergeCell ref="A9:J9"/>
    <mergeCell ref="K9:T9"/>
    <mergeCell ref="A10:I10"/>
    <mergeCell ref="N10:T10"/>
    <mergeCell ref="A11:I11"/>
    <mergeCell ref="N11:T11"/>
    <mergeCell ref="A14:D14"/>
    <mergeCell ref="G14:I14"/>
    <mergeCell ref="J14:K14"/>
    <mergeCell ref="L14:M14"/>
    <mergeCell ref="N14:T14"/>
    <mergeCell ref="A15:D15"/>
    <mergeCell ref="F15:I15"/>
    <mergeCell ref="J15:K15"/>
    <mergeCell ref="L15:M15"/>
    <mergeCell ref="N15:T15"/>
    <mergeCell ref="A16:D16"/>
    <mergeCell ref="G16:I16"/>
    <mergeCell ref="J16:K16"/>
    <mergeCell ref="L16:M16"/>
    <mergeCell ref="M21:N21"/>
    <mergeCell ref="N16:T16"/>
    <mergeCell ref="A17:D17"/>
    <mergeCell ref="G17:I17"/>
    <mergeCell ref="J17:K17"/>
    <mergeCell ref="L17:M17"/>
    <mergeCell ref="N17:T18"/>
    <mergeCell ref="A18:D18"/>
    <mergeCell ref="G18:I18"/>
    <mergeCell ref="J18:K18"/>
    <mergeCell ref="L18:M18"/>
    <mergeCell ref="O21:Q21"/>
    <mergeCell ref="B22:F22"/>
    <mergeCell ref="G22:J22"/>
    <mergeCell ref="K22:L22"/>
    <mergeCell ref="M22:N22"/>
    <mergeCell ref="O22:Q22"/>
    <mergeCell ref="N19:T19"/>
    <mergeCell ref="A20:D20"/>
    <mergeCell ref="G20:I20"/>
    <mergeCell ref="J20:K20"/>
    <mergeCell ref="L20:M20"/>
    <mergeCell ref="N20:T20"/>
    <mergeCell ref="B21:F21"/>
    <mergeCell ref="G21:J21"/>
    <mergeCell ref="K21:L21"/>
    <mergeCell ref="A19:D19"/>
    <mergeCell ref="G19:I19"/>
    <mergeCell ref="J19:K19"/>
    <mergeCell ref="L19:M19"/>
    <mergeCell ref="B23:F23"/>
    <mergeCell ref="G23:J23"/>
    <mergeCell ref="K23:L23"/>
    <mergeCell ref="M23:N23"/>
    <mergeCell ref="O23:Q23"/>
    <mergeCell ref="B24:F24"/>
    <mergeCell ref="G24:J24"/>
    <mergeCell ref="K24:L24"/>
    <mergeCell ref="M24:N24"/>
    <mergeCell ref="O24:Q24"/>
    <mergeCell ref="B25:F25"/>
    <mergeCell ref="G25:J25"/>
    <mergeCell ref="K25:L25"/>
    <mergeCell ref="M25:N25"/>
    <mergeCell ref="O25:Q25"/>
    <mergeCell ref="B26:F26"/>
    <mergeCell ref="G26:J26"/>
    <mergeCell ref="K26:L26"/>
    <mergeCell ref="M26:N26"/>
    <mergeCell ref="O26:Q26"/>
    <mergeCell ref="B27:F27"/>
    <mergeCell ref="G27:J27"/>
    <mergeCell ref="K27:L27"/>
    <mergeCell ref="M27:N27"/>
    <mergeCell ref="O27:Q27"/>
    <mergeCell ref="B28:F28"/>
    <mergeCell ref="G28:J28"/>
    <mergeCell ref="K28:L28"/>
    <mergeCell ref="M28:N28"/>
    <mergeCell ref="O28:Q28"/>
    <mergeCell ref="B29:F29"/>
    <mergeCell ref="G29:J29"/>
    <mergeCell ref="K29:L29"/>
    <mergeCell ref="M29:N29"/>
    <mergeCell ref="O29:Q29"/>
    <mergeCell ref="B30:F30"/>
    <mergeCell ref="G30:J30"/>
    <mergeCell ref="K30:L30"/>
    <mergeCell ref="M30:N30"/>
    <mergeCell ref="O30:Q30"/>
    <mergeCell ref="A33:T33"/>
    <mergeCell ref="A34:T34"/>
    <mergeCell ref="A35:G35"/>
    <mergeCell ref="I35:N35"/>
    <mergeCell ref="O35:T35"/>
    <mergeCell ref="A36:G36"/>
    <mergeCell ref="I36:N36"/>
    <mergeCell ref="O36:T36"/>
    <mergeCell ref="B31:F31"/>
    <mergeCell ref="G31:J31"/>
    <mergeCell ref="K31:L31"/>
    <mergeCell ref="M31:N31"/>
    <mergeCell ref="O31:Q31"/>
    <mergeCell ref="A32:T32"/>
    <mergeCell ref="A39:G39"/>
    <mergeCell ref="I39:N39"/>
    <mergeCell ref="O39:T39"/>
    <mergeCell ref="A40:B40"/>
    <mergeCell ref="C40:G40"/>
    <mergeCell ref="O40:R40"/>
    <mergeCell ref="S40:T40"/>
    <mergeCell ref="I40:L40"/>
    <mergeCell ref="D37:G37"/>
    <mergeCell ref="I37:N37"/>
    <mergeCell ref="O37:T37"/>
    <mergeCell ref="A38:G38"/>
    <mergeCell ref="I38:N38"/>
    <mergeCell ref="O38:T38"/>
  </mergeCells>
  <conditionalFormatting sqref="A32">
    <cfRule type="cellIs" dxfId="6" priority="5" stopIfTrue="1" operator="equal">
      <formula>#N/A</formula>
    </cfRule>
  </conditionalFormatting>
  <conditionalFormatting sqref="B22:B31">
    <cfRule type="cellIs" dxfId="5" priority="2" stopIfTrue="1" operator="equal">
      <formula>#N/A</formula>
    </cfRule>
  </conditionalFormatting>
  <conditionalFormatting sqref="G22:K31">
    <cfRule type="cellIs" dxfId="4" priority="1" stopIfTrue="1" operator="equal">
      <formula>#N/A</formula>
    </cfRule>
  </conditionalFormatting>
  <conditionalFormatting sqref="M22:M31">
    <cfRule type="cellIs" dxfId="3" priority="4" stopIfTrue="1" operator="equal">
      <formula>#N/A</formula>
    </cfRule>
  </conditionalFormatting>
  <conditionalFormatting sqref="T22:T31">
    <cfRule type="cellIs" dxfId="2" priority="3" stopIfTrue="1" operator="equal">
      <formula>#N/A</formula>
    </cfRule>
  </conditionalFormatting>
  <pageMargins left="0.70866141732283472" right="0.19685039370078741" top="0.39370078740157483" bottom="0.23622047244094491" header="0.23622047244094491" footer="0.15748031496062992"/>
  <pageSetup paperSize="9" orientation="portrait" r:id="rId1"/>
  <headerFooter>
    <oddFooter xml:space="preserve">&amp;R&amp;9     &amp;8Take effect from/Áp dụng từ ngày 10.01.2014              </oddFooter>
  </headerFooter>
  <drawing r:id="rId2"/>
  <legacyDrawing r:id="rId3"/>
  <oleObjects>
    <mc:AlternateContent xmlns:mc="http://schemas.openxmlformats.org/markup-compatibility/2006">
      <mc:Choice Requires="x14">
        <oleObject progId="PBrush" shapeId="14464003" r:id="rId4">
          <objectPr defaultSize="0" autoPict="0" r:id="rId5">
            <anchor moveWithCells="1" sizeWithCells="1">
              <from>
                <xdr:col>0</xdr:col>
                <xdr:colOff>30480</xdr:colOff>
                <xdr:row>0</xdr:row>
                <xdr:rowOff>144780</xdr:rowOff>
              </from>
              <to>
                <xdr:col>1</xdr:col>
                <xdr:colOff>544830</xdr:colOff>
                <xdr:row>3</xdr:row>
                <xdr:rowOff>57150</xdr:rowOff>
              </to>
            </anchor>
          </objectPr>
        </oleObject>
      </mc:Choice>
      <mc:Fallback>
        <oleObject progId="PBrush" shapeId="14464003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64001" r:id="rId6" name="Check Box 1">
              <controlPr defaultSize="0" autoFill="0" autoLine="0" autoPict="0">
                <anchor moveWithCells="1">
                  <from>
                    <xdr:col>13</xdr:col>
                    <xdr:colOff>144780</xdr:colOff>
                    <xdr:row>19</xdr:row>
                    <xdr:rowOff>106680</xdr:rowOff>
                  </from>
                  <to>
                    <xdr:col>14</xdr:col>
                    <xdr:colOff>38100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4002" r:id="rId7" name="Check Box 2">
              <controlPr defaultSize="0" autoFill="0" autoLine="0" autoPict="0">
                <anchor moveWithCells="1">
                  <from>
                    <xdr:col>17</xdr:col>
                    <xdr:colOff>419100</xdr:colOff>
                    <xdr:row>19</xdr:row>
                    <xdr:rowOff>114300</xdr:rowOff>
                  </from>
                  <to>
                    <xdr:col>18</xdr:col>
                    <xdr:colOff>152400</xdr:colOff>
                    <xdr:row>20</xdr:row>
                    <xdr:rowOff>11430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4004" r:id="rId8" name="Check Box 4">
              <controlPr defaultSize="0" autoFill="0" autoLine="0" autoPict="0">
                <anchor moveWithCells="1">
                  <from>
                    <xdr:col>14</xdr:col>
                    <xdr:colOff>0</xdr:colOff>
                    <xdr:row>9</xdr:row>
                    <xdr:rowOff>133350</xdr:rowOff>
                  </from>
                  <to>
                    <xdr:col>15</xdr:col>
                    <xdr:colOff>171450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4005" r:id="rId9" name="Check Box 5">
              <controlPr defaultSize="0" autoFill="0" autoLine="0" autoPict="0">
                <anchor moveWithCells="1">
                  <from>
                    <xdr:col>17</xdr:col>
                    <xdr:colOff>38100</xdr:colOff>
                    <xdr:row>9</xdr:row>
                    <xdr:rowOff>125730</xdr:rowOff>
                  </from>
                  <to>
                    <xdr:col>17</xdr:col>
                    <xdr:colOff>304800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4006" r:id="rId10" name="Check Box 6">
              <controlPr defaultSize="0" autoFill="0" autoLine="0" autoPict="0">
                <anchor moveWithCells="1">
                  <from>
                    <xdr:col>18</xdr:col>
                    <xdr:colOff>220980</xdr:colOff>
                    <xdr:row>9</xdr:row>
                    <xdr:rowOff>125730</xdr:rowOff>
                  </from>
                  <to>
                    <xdr:col>18</xdr:col>
                    <xdr:colOff>468630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>
    <tabColor theme="9" tint="0.39997558519241921"/>
  </sheetPr>
  <dimension ref="A1:AU85"/>
  <sheetViews>
    <sheetView topLeftCell="A11" zoomScaleNormal="100" workbookViewId="0">
      <selection activeCell="Y37" sqref="Y37"/>
    </sheetView>
  </sheetViews>
  <sheetFormatPr defaultColWidth="0" defaultRowHeight="12.75" customHeight="1" zeroHeight="1"/>
  <cols>
    <col min="1" max="1" width="14.44140625" style="499" customWidth="1"/>
    <col min="2" max="2" width="4.88671875" style="499" customWidth="1"/>
    <col min="3" max="3" width="2.44140625" style="499" customWidth="1"/>
    <col min="4" max="4" width="3.6640625" style="499" hidden="1" customWidth="1"/>
    <col min="5" max="5" width="5.21875" style="499" customWidth="1"/>
    <col min="6" max="6" width="4.77734375" style="499" customWidth="1"/>
    <col min="7" max="7" width="2.38671875" style="499" customWidth="1"/>
    <col min="8" max="8" width="8" style="499" customWidth="1"/>
    <col min="9" max="9" width="1.21875" style="499" customWidth="1"/>
    <col min="10" max="10" width="1.77734375" style="499" customWidth="1"/>
    <col min="11" max="11" width="0.77734375" style="499" customWidth="1"/>
    <col min="12" max="12" width="2" style="499" customWidth="1"/>
    <col min="13" max="13" width="5.21875" style="499" customWidth="1"/>
    <col min="14" max="14" width="3.21875" style="499" customWidth="1"/>
    <col min="15" max="15" width="5.44140625" style="499" customWidth="1"/>
    <col min="16" max="16" width="3.6640625" style="499" customWidth="1"/>
    <col min="17" max="17" width="3.0546875" style="499" customWidth="1"/>
    <col min="18" max="18" width="0.6640625" style="499" customWidth="1"/>
    <col min="19" max="19" width="2.27734375" style="499" customWidth="1"/>
    <col min="20" max="20" width="4.38671875" style="499" customWidth="1"/>
    <col min="21" max="21" width="1.44140625" style="499" customWidth="1"/>
    <col min="22" max="22" width="8.27734375" style="499" customWidth="1"/>
    <col min="23" max="23" width="9.21875" style="499" customWidth="1"/>
    <col min="24" max="24" width="11" style="499" customWidth="1"/>
    <col min="25" max="25" width="9.21875" style="499" customWidth="1"/>
    <col min="26" max="47" width="0" style="499" hidden="1" customWidth="1"/>
    <col min="48" max="16384" width="9.21875" style="499" hidden="1"/>
  </cols>
  <sheetData>
    <row r="1" spans="1:24" ht="15" customHeight="1">
      <c r="A1" s="1886" t="s">
        <v>901</v>
      </c>
      <c r="B1" s="1887" t="s">
        <v>902</v>
      </c>
      <c r="C1" s="1888"/>
      <c r="D1" s="1888"/>
      <c r="E1" s="1888"/>
      <c r="F1" s="1888"/>
      <c r="G1" s="1888"/>
      <c r="H1" s="1888"/>
      <c r="I1" s="1888"/>
      <c r="J1" s="1888"/>
      <c r="K1" s="1888"/>
      <c r="L1" s="1888"/>
      <c r="M1" s="1888"/>
      <c r="N1" s="1888"/>
      <c r="O1" s="1888"/>
      <c r="P1" s="1888"/>
      <c r="Q1" s="1888"/>
      <c r="R1" s="1888"/>
      <c r="S1" s="1888"/>
      <c r="T1" s="1889"/>
      <c r="U1" s="1896" t="s">
        <v>903</v>
      </c>
      <c r="V1" s="1897"/>
      <c r="W1" s="1898"/>
      <c r="X1" s="498"/>
    </row>
    <row r="2" spans="1:24" ht="15" customHeight="1">
      <c r="A2" s="1886"/>
      <c r="B2" s="1890"/>
      <c r="C2" s="1891"/>
      <c r="D2" s="1891"/>
      <c r="E2" s="1891"/>
      <c r="F2" s="1891"/>
      <c r="G2" s="1891"/>
      <c r="H2" s="1891"/>
      <c r="I2" s="1891"/>
      <c r="J2" s="1891"/>
      <c r="K2" s="1891"/>
      <c r="L2" s="1891"/>
      <c r="M2" s="1891"/>
      <c r="N2" s="1891"/>
      <c r="O2" s="1891"/>
      <c r="P2" s="1891"/>
      <c r="Q2" s="1891"/>
      <c r="R2" s="1891"/>
      <c r="S2" s="1891"/>
      <c r="T2" s="1892"/>
      <c r="U2" s="1899" t="s">
        <v>1109</v>
      </c>
      <c r="V2" s="1900"/>
      <c r="W2" s="1900"/>
      <c r="X2" s="500"/>
    </row>
    <row r="3" spans="1:24" ht="15" customHeight="1">
      <c r="A3" s="1886"/>
      <c r="B3" s="1890"/>
      <c r="C3" s="1891"/>
      <c r="D3" s="1891"/>
      <c r="E3" s="1891"/>
      <c r="F3" s="1891"/>
      <c r="G3" s="1891"/>
      <c r="H3" s="1891"/>
      <c r="I3" s="1891"/>
      <c r="J3" s="1891"/>
      <c r="K3" s="1891"/>
      <c r="L3" s="1891"/>
      <c r="M3" s="1891"/>
      <c r="N3" s="1891"/>
      <c r="O3" s="1891"/>
      <c r="P3" s="1891"/>
      <c r="Q3" s="1891"/>
      <c r="R3" s="1891"/>
      <c r="S3" s="1891"/>
      <c r="T3" s="1892"/>
      <c r="U3" s="1901"/>
      <c r="V3" s="1901"/>
      <c r="W3" s="1901"/>
      <c r="X3" s="500"/>
    </row>
    <row r="4" spans="1:24" ht="15" customHeight="1">
      <c r="A4" s="1886"/>
      <c r="B4" s="1890"/>
      <c r="C4" s="1891"/>
      <c r="D4" s="1891"/>
      <c r="E4" s="1891"/>
      <c r="F4" s="1891"/>
      <c r="G4" s="1891"/>
      <c r="H4" s="1891"/>
      <c r="I4" s="1891"/>
      <c r="J4" s="1891"/>
      <c r="K4" s="1891"/>
      <c r="L4" s="1891"/>
      <c r="M4" s="1891"/>
      <c r="N4" s="1891"/>
      <c r="O4" s="1891"/>
      <c r="P4" s="1891"/>
      <c r="Q4" s="1891"/>
      <c r="R4" s="1891"/>
      <c r="S4" s="1891"/>
      <c r="T4" s="1892"/>
      <c r="U4" s="1902" t="s">
        <v>904</v>
      </c>
      <c r="V4" s="1903"/>
      <c r="W4" s="1904"/>
      <c r="X4" s="501"/>
    </row>
    <row r="5" spans="1:24" ht="9" customHeight="1">
      <c r="A5" s="1886"/>
      <c r="B5" s="1893"/>
      <c r="C5" s="1894"/>
      <c r="D5" s="1894"/>
      <c r="E5" s="1894"/>
      <c r="F5" s="1894"/>
      <c r="G5" s="1894"/>
      <c r="H5" s="1894"/>
      <c r="I5" s="1894"/>
      <c r="J5" s="1894"/>
      <c r="K5" s="1894"/>
      <c r="L5" s="1894"/>
      <c r="M5" s="1894"/>
      <c r="N5" s="1894"/>
      <c r="O5" s="1894"/>
      <c r="P5" s="1894"/>
      <c r="Q5" s="1894"/>
      <c r="R5" s="1894"/>
      <c r="S5" s="1894"/>
      <c r="T5" s="1895"/>
      <c r="U5" s="1905"/>
      <c r="V5" s="1906"/>
      <c r="W5" s="1907"/>
      <c r="X5" s="501"/>
    </row>
    <row r="6" spans="1:24" ht="25.05" customHeight="1">
      <c r="A6" s="1908" t="s">
        <v>1110</v>
      </c>
      <c r="B6" s="1859"/>
      <c r="C6" s="1859"/>
      <c r="D6" s="1859"/>
      <c r="E6" s="1859"/>
      <c r="F6" s="1859"/>
      <c r="G6" s="1859"/>
      <c r="H6" s="1859"/>
      <c r="I6" s="1859"/>
      <c r="J6" s="1859"/>
      <c r="K6" s="1859"/>
      <c r="L6" s="1908" t="s">
        <v>1111</v>
      </c>
      <c r="M6" s="1859"/>
      <c r="N6" s="1859"/>
      <c r="O6" s="1859"/>
      <c r="P6" s="1859"/>
      <c r="Q6" s="1859"/>
      <c r="R6" s="1859"/>
      <c r="S6" s="1859"/>
      <c r="T6" s="1859"/>
      <c r="U6" s="1859"/>
      <c r="V6" s="1859"/>
      <c r="W6" s="1859"/>
      <c r="X6" s="502"/>
    </row>
    <row r="7" spans="1:24" ht="20.100000000000001" customHeight="1">
      <c r="A7" s="1859" t="s">
        <v>905</v>
      </c>
      <c r="B7" s="1859"/>
      <c r="C7" s="1859"/>
      <c r="D7" s="1859"/>
      <c r="E7" s="1859"/>
      <c r="F7" s="1859"/>
      <c r="G7" s="1859"/>
      <c r="H7" s="1859"/>
      <c r="I7" s="1859"/>
      <c r="J7" s="1859"/>
      <c r="K7" s="1859"/>
      <c r="L7" s="1885" t="s">
        <v>906</v>
      </c>
      <c r="M7" s="1885"/>
      <c r="N7" s="1885"/>
      <c r="O7" s="1885"/>
      <c r="P7" s="1885"/>
      <c r="Q7" s="1885"/>
      <c r="R7" s="1885"/>
      <c r="S7" s="1885"/>
      <c r="T7" s="1885"/>
      <c r="U7" s="1885"/>
      <c r="V7" s="1885"/>
      <c r="W7" s="1885"/>
      <c r="X7" s="502"/>
    </row>
    <row r="8" spans="1:24" ht="20.100000000000001" customHeight="1">
      <c r="A8" s="1885" t="s">
        <v>907</v>
      </c>
      <c r="B8" s="1885"/>
      <c r="C8" s="1885"/>
      <c r="D8" s="1885"/>
      <c r="E8" s="1885"/>
      <c r="F8" s="1885"/>
      <c r="G8" s="1885"/>
      <c r="H8" s="1885"/>
      <c r="I8" s="1885"/>
      <c r="J8" s="1885"/>
      <c r="K8" s="1885"/>
      <c r="L8" s="1885" t="s">
        <v>908</v>
      </c>
      <c r="M8" s="1885"/>
      <c r="N8" s="1885"/>
      <c r="O8" s="1885"/>
      <c r="P8" s="1885"/>
      <c r="Q8" s="1885"/>
      <c r="R8" s="1885"/>
      <c r="S8" s="1885"/>
      <c r="T8" s="1885"/>
      <c r="U8" s="1885"/>
      <c r="V8" s="1885"/>
      <c r="W8" s="1885"/>
      <c r="X8" s="502"/>
    </row>
    <row r="9" spans="1:24" ht="20.100000000000001" customHeight="1">
      <c r="A9" s="1859" t="s">
        <v>1112</v>
      </c>
      <c r="B9" s="1859"/>
      <c r="C9" s="1859"/>
      <c r="D9" s="1859"/>
      <c r="E9" s="1859"/>
      <c r="F9" s="1859"/>
      <c r="G9" s="1859"/>
      <c r="H9" s="1859"/>
      <c r="I9" s="1859"/>
      <c r="J9" s="1859"/>
      <c r="K9" s="1859"/>
      <c r="L9" s="1885" t="s">
        <v>909</v>
      </c>
      <c r="M9" s="1885"/>
      <c r="N9" s="1885"/>
      <c r="O9" s="1885"/>
      <c r="P9" s="1885"/>
      <c r="Q9" s="1885"/>
      <c r="R9" s="1885"/>
      <c r="S9" s="1885"/>
      <c r="T9" s="1885"/>
      <c r="U9" s="1885"/>
      <c r="V9" s="1885"/>
      <c r="W9" s="1885"/>
      <c r="X9" s="502"/>
    </row>
    <row r="10" spans="1:24" ht="20.100000000000001" customHeight="1">
      <c r="A10" s="1859" t="s">
        <v>1113</v>
      </c>
      <c r="B10" s="1859"/>
      <c r="C10" s="1859"/>
      <c r="D10" s="1859"/>
      <c r="E10" s="1859"/>
      <c r="F10" s="1859"/>
      <c r="G10" s="1859"/>
      <c r="H10" s="1859"/>
      <c r="I10" s="1859"/>
      <c r="J10" s="1859"/>
      <c r="K10" s="1859"/>
      <c r="L10" s="1885" t="s">
        <v>959</v>
      </c>
      <c r="M10" s="1885"/>
      <c r="N10" s="1885"/>
      <c r="O10" s="1885"/>
      <c r="P10" s="1885"/>
      <c r="Q10" s="1885"/>
      <c r="R10" s="1885"/>
      <c r="S10" s="1885"/>
      <c r="T10" s="1885"/>
      <c r="U10" s="1885"/>
      <c r="V10" s="1885"/>
      <c r="W10" s="1885"/>
      <c r="X10" s="502"/>
    </row>
    <row r="11" spans="1:24" ht="20.100000000000001" customHeight="1">
      <c r="A11" s="1882" t="s">
        <v>1114</v>
      </c>
      <c r="B11" s="1883"/>
      <c r="C11" s="1883"/>
      <c r="D11" s="1883"/>
      <c r="E11" s="1883"/>
      <c r="F11" s="1883"/>
      <c r="G11" s="1883"/>
      <c r="H11" s="1883"/>
      <c r="I11" s="1883"/>
      <c r="J11" s="1883"/>
      <c r="K11" s="1884"/>
      <c r="L11" s="1885" t="s">
        <v>910</v>
      </c>
      <c r="M11" s="1885"/>
      <c r="N11" s="1885"/>
      <c r="O11" s="1885"/>
      <c r="P11" s="1885"/>
      <c r="Q11" s="1885"/>
      <c r="R11" s="1885"/>
      <c r="S11" s="1885"/>
      <c r="T11" s="1885"/>
      <c r="U11" s="1885"/>
      <c r="V11" s="1885"/>
      <c r="W11" s="1885"/>
      <c r="X11" s="502"/>
    </row>
    <row r="12" spans="1:24" ht="20.100000000000001" customHeight="1">
      <c r="A12" s="1859" t="s">
        <v>1115</v>
      </c>
      <c r="B12" s="1859"/>
      <c r="C12" s="1859"/>
      <c r="D12" s="1859"/>
      <c r="E12" s="1859"/>
      <c r="F12" s="1859"/>
      <c r="G12" s="1859"/>
      <c r="H12" s="1859"/>
      <c r="I12" s="1859"/>
      <c r="J12" s="1859"/>
      <c r="K12" s="1859"/>
      <c r="L12" s="1885" t="s">
        <v>911</v>
      </c>
      <c r="M12" s="1885"/>
      <c r="N12" s="1885"/>
      <c r="O12" s="1885"/>
      <c r="P12" s="1885"/>
      <c r="Q12" s="1885"/>
      <c r="R12" s="1885"/>
      <c r="S12" s="1885"/>
      <c r="T12" s="1885"/>
      <c r="U12" s="1885"/>
      <c r="V12" s="1885"/>
      <c r="W12" s="1885"/>
      <c r="X12" s="502"/>
    </row>
    <row r="13" spans="1:24" ht="20.100000000000001" customHeight="1">
      <c r="A13" s="1859" t="s">
        <v>1116</v>
      </c>
      <c r="B13" s="1859"/>
      <c r="C13" s="1859"/>
      <c r="D13" s="1859"/>
      <c r="E13" s="1859"/>
      <c r="F13" s="1859"/>
      <c r="G13" s="1859"/>
      <c r="H13" s="1859"/>
      <c r="I13" s="1859"/>
      <c r="J13" s="1859"/>
      <c r="K13" s="1859"/>
      <c r="L13" s="503" t="s">
        <v>913</v>
      </c>
      <c r="M13" s="504"/>
      <c r="N13" s="504"/>
      <c r="O13" s="504"/>
      <c r="P13" s="504"/>
      <c r="Q13" s="1860" t="s">
        <v>1117</v>
      </c>
      <c r="R13" s="1861"/>
      <c r="S13" s="1861"/>
      <c r="T13" s="1861"/>
      <c r="U13" s="1861"/>
      <c r="V13" s="1861"/>
      <c r="W13" s="1862"/>
      <c r="X13" s="505"/>
    </row>
    <row r="14" spans="1:24" ht="16.5" customHeight="1">
      <c r="A14" s="1863" t="s">
        <v>914</v>
      </c>
      <c r="B14" s="1864"/>
      <c r="C14" s="1867" t="s">
        <v>915</v>
      </c>
      <c r="D14" s="1867"/>
      <c r="E14" s="1867"/>
      <c r="F14" s="1867" t="s">
        <v>916</v>
      </c>
      <c r="G14" s="1867"/>
      <c r="H14" s="1867" t="s">
        <v>917</v>
      </c>
      <c r="I14" s="1868" t="s">
        <v>918</v>
      </c>
      <c r="J14" s="1869"/>
      <c r="K14" s="1869"/>
      <c r="L14" s="1869"/>
      <c r="M14" s="1870"/>
      <c r="N14" s="1868" t="s">
        <v>919</v>
      </c>
      <c r="O14" s="1874"/>
      <c r="P14" s="1875"/>
      <c r="Q14" s="1879" t="s">
        <v>920</v>
      </c>
      <c r="R14" s="1880"/>
      <c r="S14" s="1880"/>
      <c r="T14" s="1880"/>
      <c r="U14" s="1880"/>
      <c r="V14" s="1880"/>
      <c r="W14" s="1881"/>
      <c r="X14" s="506"/>
    </row>
    <row r="15" spans="1:24" ht="16.5" customHeight="1">
      <c r="A15" s="1865"/>
      <c r="B15" s="1866"/>
      <c r="C15" s="1867"/>
      <c r="D15" s="1867"/>
      <c r="E15" s="1867"/>
      <c r="F15" s="1867"/>
      <c r="G15" s="1867"/>
      <c r="H15" s="1867"/>
      <c r="I15" s="1871"/>
      <c r="J15" s="1872"/>
      <c r="K15" s="1872"/>
      <c r="L15" s="1872"/>
      <c r="M15" s="1873"/>
      <c r="N15" s="1876"/>
      <c r="O15" s="1877"/>
      <c r="P15" s="1878"/>
      <c r="Q15" s="1867" t="s">
        <v>915</v>
      </c>
      <c r="R15" s="1867"/>
      <c r="S15" s="1867"/>
      <c r="T15" s="1867"/>
      <c r="U15" s="1867"/>
      <c r="V15" s="1874" t="s">
        <v>921</v>
      </c>
      <c r="W15" s="1875"/>
      <c r="X15" s="507"/>
    </row>
    <row r="16" spans="1:24" ht="17.05" customHeight="1">
      <c r="A16" s="1842" t="s">
        <v>922</v>
      </c>
      <c r="B16" s="1843"/>
      <c r="C16" s="1844" t="s">
        <v>912</v>
      </c>
      <c r="D16" s="1845"/>
      <c r="E16" s="1846"/>
      <c r="F16" s="1847" t="s">
        <v>1118</v>
      </c>
      <c r="G16" s="1848"/>
      <c r="H16" s="508">
        <v>5</v>
      </c>
      <c r="I16" s="1849" t="s">
        <v>1119</v>
      </c>
      <c r="J16" s="1845"/>
      <c r="K16" s="1845"/>
      <c r="L16" s="1845"/>
      <c r="M16" s="1846"/>
      <c r="N16" s="1845">
        <v>0</v>
      </c>
      <c r="O16" s="1845"/>
      <c r="P16" s="1846"/>
      <c r="Q16" s="1844" t="s">
        <v>958</v>
      </c>
      <c r="R16" s="1845"/>
      <c r="S16" s="1845"/>
      <c r="T16" s="1845"/>
      <c r="U16" s="1846"/>
      <c r="V16" s="1844" t="s">
        <v>30</v>
      </c>
      <c r="W16" s="1846"/>
      <c r="X16" s="509"/>
    </row>
    <row r="17" spans="1:24" ht="17.05" customHeight="1">
      <c r="A17" s="1855" t="s">
        <v>922</v>
      </c>
      <c r="B17" s="1856"/>
      <c r="C17" s="1850" t="s">
        <v>912</v>
      </c>
      <c r="D17" s="1857"/>
      <c r="E17" s="1851"/>
      <c r="F17" s="1855" t="s">
        <v>923</v>
      </c>
      <c r="G17" s="1856"/>
      <c r="H17" s="510">
        <v>5</v>
      </c>
      <c r="I17" s="1858" t="s">
        <v>926</v>
      </c>
      <c r="J17" s="1857"/>
      <c r="K17" s="1857"/>
      <c r="L17" s="1857"/>
      <c r="M17" s="1851"/>
      <c r="N17" s="1857">
        <v>0</v>
      </c>
      <c r="O17" s="1857"/>
      <c r="P17" s="1851"/>
      <c r="Q17" s="1850" t="s">
        <v>924</v>
      </c>
      <c r="R17" s="1857"/>
      <c r="S17" s="1857"/>
      <c r="T17" s="1857"/>
      <c r="U17" s="1851"/>
      <c r="V17" s="1850" t="s">
        <v>925</v>
      </c>
      <c r="W17" s="1851"/>
      <c r="X17" s="509"/>
    </row>
    <row r="18" spans="1:24" ht="28.05" customHeight="1">
      <c r="A18" s="1838" t="s">
        <v>927</v>
      </c>
      <c r="B18" s="1838"/>
      <c r="C18" s="1839" t="s">
        <v>915</v>
      </c>
      <c r="D18" s="1839"/>
      <c r="E18" s="1839"/>
      <c r="F18" s="1852" t="s">
        <v>928</v>
      </c>
      <c r="G18" s="1839"/>
      <c r="H18" s="511" t="s">
        <v>929</v>
      </c>
      <c r="I18" s="1844" t="s">
        <v>930</v>
      </c>
      <c r="J18" s="1845"/>
      <c r="K18" s="1845"/>
      <c r="L18" s="1845"/>
      <c r="M18" s="1846"/>
      <c r="N18" s="1853" t="s">
        <v>927</v>
      </c>
      <c r="O18" s="1854"/>
      <c r="P18" s="1844" t="s">
        <v>915</v>
      </c>
      <c r="Q18" s="1846"/>
      <c r="R18" s="1852" t="s">
        <v>928</v>
      </c>
      <c r="S18" s="1852"/>
      <c r="T18" s="1852"/>
      <c r="U18" s="1852" t="s">
        <v>929</v>
      </c>
      <c r="V18" s="1839"/>
      <c r="W18" s="508" t="s">
        <v>930</v>
      </c>
      <c r="X18" s="509"/>
    </row>
    <row r="19" spans="1:24" ht="17.05" customHeight="1">
      <c r="A19" s="1838">
        <v>1</v>
      </c>
      <c r="B19" s="1838"/>
      <c r="C19" s="1839" t="s">
        <v>931</v>
      </c>
      <c r="D19" s="1839"/>
      <c r="E19" s="1839"/>
      <c r="F19" s="1839">
        <v>11</v>
      </c>
      <c r="G19" s="1839"/>
      <c r="H19" s="508" t="s">
        <v>1120</v>
      </c>
      <c r="I19" s="1833" t="s">
        <v>932</v>
      </c>
      <c r="J19" s="1834"/>
      <c r="K19" s="1834"/>
      <c r="L19" s="1834"/>
      <c r="M19" s="1835"/>
      <c r="N19" s="1840">
        <v>2</v>
      </c>
      <c r="O19" s="1841"/>
      <c r="P19" s="1842" t="s">
        <v>931</v>
      </c>
      <c r="Q19" s="1843"/>
      <c r="R19" s="1833">
        <v>14</v>
      </c>
      <c r="S19" s="1834"/>
      <c r="T19" s="1835"/>
      <c r="U19" s="1836" t="s">
        <v>1121</v>
      </c>
      <c r="V19" s="1837"/>
      <c r="W19" s="512" t="s">
        <v>932</v>
      </c>
      <c r="X19" s="513"/>
    </row>
    <row r="20" spans="1:24" ht="17.05" customHeight="1">
      <c r="A20" s="1838"/>
      <c r="B20" s="1838"/>
      <c r="C20" s="1839"/>
      <c r="D20" s="1839"/>
      <c r="E20" s="1839"/>
      <c r="F20" s="1839"/>
      <c r="G20" s="1839"/>
      <c r="H20" s="508"/>
      <c r="I20" s="1833"/>
      <c r="J20" s="1834"/>
      <c r="K20" s="1834"/>
      <c r="L20" s="1834"/>
      <c r="M20" s="1835"/>
      <c r="N20" s="1840"/>
      <c r="O20" s="1841"/>
      <c r="P20" s="1842"/>
      <c r="Q20" s="1843"/>
      <c r="R20" s="1833"/>
      <c r="S20" s="1834"/>
      <c r="T20" s="1835"/>
      <c r="U20" s="1836"/>
      <c r="V20" s="1837"/>
      <c r="W20" s="512"/>
      <c r="X20" s="513"/>
    </row>
    <row r="21" spans="1:24" ht="19.5" customHeight="1">
      <c r="A21" s="1824" t="s">
        <v>933</v>
      </c>
      <c r="B21" s="1824"/>
      <c r="C21" s="1824"/>
      <c r="D21" s="1824"/>
      <c r="E21" s="1824" t="s">
        <v>934</v>
      </c>
      <c r="F21" s="1824"/>
      <c r="G21" s="1824" t="s">
        <v>935</v>
      </c>
      <c r="H21" s="1824"/>
      <c r="I21" s="1824"/>
      <c r="J21" s="1824" t="s">
        <v>936</v>
      </c>
      <c r="K21" s="1824"/>
      <c r="L21" s="1824"/>
      <c r="M21" s="1824"/>
      <c r="N21" s="1823" t="s">
        <v>937</v>
      </c>
      <c r="O21" s="1823"/>
      <c r="P21" s="1823"/>
      <c r="Q21" s="1823"/>
      <c r="R21" s="1823"/>
      <c r="S21" s="1823"/>
      <c r="T21" s="1823"/>
      <c r="U21" s="1823"/>
      <c r="V21" s="1823"/>
      <c r="W21" s="514" t="s">
        <v>938</v>
      </c>
      <c r="X21" s="506"/>
    </row>
    <row r="22" spans="1:24" ht="18.600000000000001" customHeight="1">
      <c r="A22" s="1824"/>
      <c r="B22" s="1824"/>
      <c r="C22" s="1824"/>
      <c r="D22" s="1824"/>
      <c r="E22" s="1824"/>
      <c r="F22" s="1824"/>
      <c r="G22" s="1824"/>
      <c r="H22" s="1824"/>
      <c r="I22" s="1824"/>
      <c r="J22" s="1824"/>
      <c r="K22" s="1824"/>
      <c r="L22" s="1824"/>
      <c r="M22" s="1824"/>
      <c r="N22" s="1824" t="s">
        <v>939</v>
      </c>
      <c r="O22" s="1824"/>
      <c r="P22" s="1824" t="s">
        <v>940</v>
      </c>
      <c r="Q22" s="1824"/>
      <c r="R22" s="1824"/>
      <c r="S22" s="1824" t="s">
        <v>941</v>
      </c>
      <c r="T22" s="1824"/>
      <c r="U22" s="1824"/>
      <c r="V22" s="515" t="s">
        <v>915</v>
      </c>
      <c r="W22" s="516" t="s">
        <v>942</v>
      </c>
      <c r="X22" s="506"/>
    </row>
    <row r="23" spans="1:24" ht="18" customHeight="1">
      <c r="A23" s="1826" t="s">
        <v>1122</v>
      </c>
      <c r="B23" s="1827"/>
      <c r="C23" s="1827"/>
      <c r="D23" s="1828"/>
      <c r="E23" s="1829" t="s">
        <v>163</v>
      </c>
      <c r="F23" s="1829"/>
      <c r="G23" s="1830" t="s">
        <v>1123</v>
      </c>
      <c r="H23" s="1831"/>
      <c r="I23" s="1831"/>
      <c r="J23" s="1831" t="s">
        <v>1124</v>
      </c>
      <c r="K23" s="1832" t="s">
        <v>943</v>
      </c>
      <c r="L23" s="1832" t="s">
        <v>943</v>
      </c>
      <c r="M23" s="1832" t="s">
        <v>943</v>
      </c>
      <c r="N23" s="1825" t="s">
        <v>195</v>
      </c>
      <c r="O23" s="1825"/>
      <c r="P23" s="1825" t="s">
        <v>195</v>
      </c>
      <c r="Q23" s="1825"/>
      <c r="R23" s="1825"/>
      <c r="S23" s="1825" t="s">
        <v>195</v>
      </c>
      <c r="T23" s="1825"/>
      <c r="U23" s="1825"/>
      <c r="V23" s="517" t="s">
        <v>195</v>
      </c>
      <c r="W23" s="517" t="s">
        <v>154</v>
      </c>
      <c r="X23" s="518"/>
    </row>
    <row r="24" spans="1:24" ht="18" customHeight="1">
      <c r="A24" s="1826" t="s">
        <v>1125</v>
      </c>
      <c r="B24" s="1827"/>
      <c r="C24" s="1827"/>
      <c r="D24" s="1828"/>
      <c r="E24" s="1829"/>
      <c r="F24" s="1829"/>
      <c r="G24" s="1830"/>
      <c r="H24" s="1831"/>
      <c r="I24" s="1831"/>
      <c r="J24" s="1831" t="s">
        <v>1126</v>
      </c>
      <c r="K24" s="1832"/>
      <c r="L24" s="1832"/>
      <c r="M24" s="1832"/>
      <c r="N24" s="1825"/>
      <c r="O24" s="1825"/>
      <c r="P24" s="1825"/>
      <c r="Q24" s="1825"/>
      <c r="R24" s="1825"/>
      <c r="S24" s="1825"/>
      <c r="T24" s="1825"/>
      <c r="U24" s="1825"/>
      <c r="V24" s="517"/>
      <c r="W24" s="517"/>
      <c r="X24" s="518"/>
    </row>
    <row r="25" spans="1:24" ht="18" customHeight="1">
      <c r="A25" s="1826" t="s">
        <v>196</v>
      </c>
      <c r="B25" s="1827"/>
      <c r="C25" s="1827"/>
      <c r="D25" s="1828"/>
      <c r="E25" s="1829" t="s">
        <v>164</v>
      </c>
      <c r="F25" s="1829"/>
      <c r="G25" s="1830" t="s">
        <v>1123</v>
      </c>
      <c r="H25" s="1831"/>
      <c r="I25" s="1831"/>
      <c r="J25" s="1831" t="s">
        <v>1124</v>
      </c>
      <c r="K25" s="1832" t="s">
        <v>943</v>
      </c>
      <c r="L25" s="1832" t="s">
        <v>943</v>
      </c>
      <c r="M25" s="1832" t="s">
        <v>943</v>
      </c>
      <c r="N25" s="1825" t="s">
        <v>195</v>
      </c>
      <c r="O25" s="1825"/>
      <c r="P25" s="1825" t="s">
        <v>195</v>
      </c>
      <c r="Q25" s="1825"/>
      <c r="R25" s="1825"/>
      <c r="S25" s="1825" t="s">
        <v>195</v>
      </c>
      <c r="T25" s="1825"/>
      <c r="U25" s="1825"/>
      <c r="V25" s="517" t="s">
        <v>195</v>
      </c>
      <c r="W25" s="517" t="s">
        <v>154</v>
      </c>
      <c r="X25" s="518"/>
    </row>
    <row r="26" spans="1:24" ht="18" customHeight="1">
      <c r="A26" s="1826"/>
      <c r="B26" s="1827"/>
      <c r="C26" s="1827"/>
      <c r="D26" s="1828"/>
      <c r="E26" s="1829"/>
      <c r="F26" s="1829"/>
      <c r="G26" s="1830"/>
      <c r="H26" s="1831"/>
      <c r="I26" s="1831"/>
      <c r="J26" s="1831" t="s">
        <v>1126</v>
      </c>
      <c r="K26" s="1832"/>
      <c r="L26" s="1832"/>
      <c r="M26" s="1832"/>
      <c r="N26" s="1825"/>
      <c r="O26" s="1825"/>
      <c r="P26" s="1825"/>
      <c r="Q26" s="1825"/>
      <c r="R26" s="1825"/>
      <c r="S26" s="1825"/>
      <c r="T26" s="1825"/>
      <c r="U26" s="1825"/>
      <c r="V26" s="517"/>
      <c r="W26" s="517"/>
      <c r="X26" s="518"/>
    </row>
    <row r="27" spans="1:24" ht="18" customHeight="1">
      <c r="A27" s="1826" t="s">
        <v>196</v>
      </c>
      <c r="B27" s="1827"/>
      <c r="C27" s="1827"/>
      <c r="D27" s="1828"/>
      <c r="E27" s="1829" t="s">
        <v>338</v>
      </c>
      <c r="F27" s="1829"/>
      <c r="G27" s="1830" t="s">
        <v>1123</v>
      </c>
      <c r="H27" s="1831"/>
      <c r="I27" s="1831"/>
      <c r="J27" s="1831" t="s">
        <v>1124</v>
      </c>
      <c r="K27" s="1832" t="s">
        <v>943</v>
      </c>
      <c r="L27" s="1832" t="s">
        <v>943</v>
      </c>
      <c r="M27" s="1832" t="s">
        <v>943</v>
      </c>
      <c r="N27" s="1825" t="s">
        <v>195</v>
      </c>
      <c r="O27" s="1825"/>
      <c r="P27" s="1825" t="s">
        <v>195</v>
      </c>
      <c r="Q27" s="1825"/>
      <c r="R27" s="1825"/>
      <c r="S27" s="1825" t="s">
        <v>195</v>
      </c>
      <c r="T27" s="1825"/>
      <c r="U27" s="1825"/>
      <c r="V27" s="517" t="s">
        <v>195</v>
      </c>
      <c r="W27" s="517" t="s">
        <v>154</v>
      </c>
      <c r="X27" s="518"/>
    </row>
    <row r="28" spans="1:24" ht="18" customHeight="1">
      <c r="A28" s="1826"/>
      <c r="B28" s="1827"/>
      <c r="C28" s="1827"/>
      <c r="D28" s="1828"/>
      <c r="E28" s="1829"/>
      <c r="F28" s="1829"/>
      <c r="G28" s="1830"/>
      <c r="H28" s="1831"/>
      <c r="I28" s="1831"/>
      <c r="J28" s="1831" t="s">
        <v>1126</v>
      </c>
      <c r="K28" s="1832"/>
      <c r="L28" s="1832"/>
      <c r="M28" s="1832"/>
      <c r="N28" s="1825"/>
      <c r="O28" s="1825"/>
      <c r="P28" s="1825"/>
      <c r="Q28" s="1825"/>
      <c r="R28" s="1825"/>
      <c r="S28" s="1825"/>
      <c r="T28" s="1825"/>
      <c r="U28" s="1825"/>
      <c r="V28" s="517"/>
      <c r="W28" s="517"/>
      <c r="X28" s="518"/>
    </row>
    <row r="29" spans="1:24" ht="18" customHeight="1">
      <c r="A29" s="1826"/>
      <c r="B29" s="1827"/>
      <c r="C29" s="1827"/>
      <c r="D29" s="1828"/>
      <c r="E29" s="1829"/>
      <c r="F29" s="1829"/>
      <c r="G29" s="1830"/>
      <c r="H29" s="1831"/>
      <c r="I29" s="1831"/>
      <c r="J29" s="1831"/>
      <c r="K29" s="1832"/>
      <c r="L29" s="1832"/>
      <c r="M29" s="1832"/>
      <c r="N29" s="1825"/>
      <c r="O29" s="1825"/>
      <c r="P29" s="1825"/>
      <c r="Q29" s="1825"/>
      <c r="R29" s="1825"/>
      <c r="S29" s="1825"/>
      <c r="T29" s="1825"/>
      <c r="U29" s="1825"/>
      <c r="V29" s="517"/>
      <c r="W29" s="517"/>
      <c r="X29" s="518"/>
    </row>
    <row r="30" spans="1:24" ht="18" customHeight="1">
      <c r="A30" s="1826"/>
      <c r="B30" s="1827"/>
      <c r="C30" s="1827"/>
      <c r="D30" s="1828"/>
      <c r="E30" s="1829"/>
      <c r="F30" s="1829"/>
      <c r="G30" s="1830"/>
      <c r="H30" s="1831"/>
      <c r="I30" s="1831"/>
      <c r="J30" s="1831"/>
      <c r="K30" s="1832"/>
      <c r="L30" s="1832"/>
      <c r="M30" s="1832"/>
      <c r="N30" s="1825"/>
      <c r="O30" s="1825"/>
      <c r="P30" s="1825"/>
      <c r="Q30" s="1825"/>
      <c r="R30" s="1825"/>
      <c r="S30" s="1825"/>
      <c r="T30" s="1825"/>
      <c r="U30" s="1825"/>
      <c r="V30" s="517"/>
      <c r="W30" s="517"/>
      <c r="X30" s="518"/>
    </row>
    <row r="31" spans="1:24" ht="18" customHeight="1">
      <c r="A31" s="1826"/>
      <c r="B31" s="1827"/>
      <c r="C31" s="1827"/>
      <c r="D31" s="1828"/>
      <c r="E31" s="1829"/>
      <c r="F31" s="1829"/>
      <c r="G31" s="1830"/>
      <c r="H31" s="1831"/>
      <c r="I31" s="1831"/>
      <c r="J31" s="1831"/>
      <c r="K31" s="1832"/>
      <c r="L31" s="1832"/>
      <c r="M31" s="1832"/>
      <c r="N31" s="1825"/>
      <c r="O31" s="1825"/>
      <c r="P31" s="1825"/>
      <c r="Q31" s="1825"/>
      <c r="R31" s="1825"/>
      <c r="S31" s="1825"/>
      <c r="T31" s="1825"/>
      <c r="U31" s="1825"/>
      <c r="V31" s="517"/>
      <c r="W31" s="517"/>
      <c r="X31" s="518"/>
    </row>
    <row r="32" spans="1:24" ht="18" customHeight="1">
      <c r="A32" s="1826"/>
      <c r="B32" s="1827"/>
      <c r="C32" s="1827"/>
      <c r="D32" s="1828"/>
      <c r="E32" s="1829"/>
      <c r="F32" s="1829"/>
      <c r="G32" s="1830"/>
      <c r="H32" s="1831"/>
      <c r="I32" s="1831"/>
      <c r="J32" s="1831"/>
      <c r="K32" s="1832"/>
      <c r="L32" s="1832"/>
      <c r="M32" s="1832"/>
      <c r="N32" s="1825"/>
      <c r="O32" s="1825"/>
      <c r="P32" s="1825"/>
      <c r="Q32" s="1825"/>
      <c r="R32" s="1825"/>
      <c r="S32" s="1825"/>
      <c r="T32" s="1825"/>
      <c r="U32" s="1825"/>
      <c r="V32" s="517"/>
      <c r="W32" s="517"/>
      <c r="X32" s="518"/>
    </row>
    <row r="33" spans="1:24" ht="18" customHeight="1">
      <c r="A33" s="1826"/>
      <c r="B33" s="1827"/>
      <c r="C33" s="1827"/>
      <c r="D33" s="1828"/>
      <c r="E33" s="1829"/>
      <c r="F33" s="1829"/>
      <c r="G33" s="1830"/>
      <c r="H33" s="1831"/>
      <c r="I33" s="1831"/>
      <c r="J33" s="1831"/>
      <c r="K33" s="1832"/>
      <c r="L33" s="1832"/>
      <c r="M33" s="1832"/>
      <c r="N33" s="1825"/>
      <c r="O33" s="1825"/>
      <c r="P33" s="1825"/>
      <c r="Q33" s="1825"/>
      <c r="R33" s="1825"/>
      <c r="S33" s="1825"/>
      <c r="T33" s="1825"/>
      <c r="U33" s="1825"/>
      <c r="V33" s="517"/>
      <c r="W33" s="517"/>
      <c r="X33" s="518"/>
    </row>
    <row r="34" spans="1:24" ht="18" customHeight="1">
      <c r="A34" s="1826"/>
      <c r="B34" s="1827"/>
      <c r="C34" s="1827"/>
      <c r="D34" s="1828"/>
      <c r="E34" s="1829"/>
      <c r="F34" s="1829"/>
      <c r="G34" s="1830"/>
      <c r="H34" s="1831"/>
      <c r="I34" s="1831"/>
      <c r="J34" s="1831"/>
      <c r="K34" s="1832"/>
      <c r="L34" s="1832"/>
      <c r="M34" s="1832"/>
      <c r="N34" s="1825"/>
      <c r="O34" s="1825"/>
      <c r="P34" s="1825"/>
      <c r="Q34" s="1825"/>
      <c r="R34" s="1825"/>
      <c r="S34" s="1825"/>
      <c r="T34" s="1825"/>
      <c r="U34" s="1825"/>
      <c r="V34" s="517"/>
      <c r="W34" s="517"/>
      <c r="X34" s="518"/>
    </row>
    <row r="35" spans="1:24" s="520" customFormat="1" ht="16.05" customHeight="1">
      <c r="A35" s="1819" t="s">
        <v>945</v>
      </c>
      <c r="B35" s="1819"/>
      <c r="C35" s="1819"/>
      <c r="D35" s="1819"/>
      <c r="E35" s="1819"/>
      <c r="F35" s="1819"/>
      <c r="G35" s="1819"/>
      <c r="H35" s="1819"/>
      <c r="I35" s="1819"/>
      <c r="J35" s="1819"/>
      <c r="K35" s="1819"/>
      <c r="L35" s="1819"/>
      <c r="M35" s="1819"/>
      <c r="N35" s="1819"/>
      <c r="O35" s="1819"/>
      <c r="P35" s="1819"/>
      <c r="Q35" s="1819"/>
      <c r="R35" s="1819"/>
      <c r="S35" s="1819"/>
      <c r="T35" s="1819"/>
      <c r="U35" s="1819"/>
      <c r="V35" s="1819"/>
      <c r="W35" s="1819"/>
      <c r="X35" s="519"/>
    </row>
    <row r="36" spans="1:24" s="520" customFormat="1" ht="15.9" customHeight="1">
      <c r="A36" s="1820" t="s">
        <v>946</v>
      </c>
      <c r="B36" s="1820"/>
      <c r="C36" s="1820"/>
      <c r="D36" s="1820"/>
      <c r="E36" s="1820"/>
      <c r="F36" s="1820"/>
      <c r="G36" s="1820"/>
      <c r="H36" s="1820"/>
      <c r="I36" s="1820"/>
      <c r="J36" s="1820"/>
      <c r="K36" s="1820"/>
      <c r="L36" s="1820"/>
      <c r="M36" s="1820"/>
      <c r="N36" s="1820"/>
      <c r="O36" s="1820"/>
      <c r="P36" s="1820"/>
      <c r="Q36" s="1820"/>
      <c r="R36" s="1820"/>
      <c r="S36" s="1820"/>
      <c r="T36" s="1820"/>
      <c r="U36" s="1820"/>
      <c r="V36" s="1820"/>
      <c r="W36" s="1820"/>
      <c r="X36" s="519"/>
    </row>
    <row r="37" spans="1:24" s="520" customFormat="1" ht="16.05" customHeight="1">
      <c r="A37" s="1821" t="s">
        <v>947</v>
      </c>
      <c r="B37" s="1821"/>
      <c r="C37" s="1821"/>
      <c r="D37" s="1821"/>
      <c r="E37" s="1821"/>
      <c r="F37" s="1821"/>
      <c r="G37" s="1821"/>
      <c r="H37" s="1821"/>
      <c r="I37" s="1821"/>
      <c r="J37" s="1821"/>
      <c r="K37" s="1821"/>
      <c r="L37" s="1821"/>
      <c r="M37" s="1821"/>
      <c r="N37" s="1821"/>
      <c r="O37" s="1821"/>
      <c r="P37" s="1821"/>
      <c r="Q37" s="1821"/>
      <c r="R37" s="1821"/>
      <c r="S37" s="1821"/>
      <c r="T37" s="1821"/>
      <c r="U37" s="1821"/>
      <c r="V37" s="1821"/>
      <c r="W37" s="1821"/>
      <c r="X37" s="521"/>
    </row>
    <row r="38" spans="1:24" s="520" customFormat="1" ht="16.05" customHeight="1">
      <c r="A38" s="1820" t="s">
        <v>948</v>
      </c>
      <c r="B38" s="1820"/>
      <c r="C38" s="1820"/>
      <c r="D38" s="1820"/>
      <c r="E38" s="1820"/>
      <c r="F38" s="1820"/>
      <c r="G38" s="1820"/>
      <c r="H38" s="1820"/>
      <c r="I38" s="1820"/>
      <c r="J38" s="1820"/>
      <c r="K38" s="1820"/>
      <c r="L38" s="1820"/>
      <c r="M38" s="1820"/>
      <c r="N38" s="1820"/>
      <c r="O38" s="1820"/>
      <c r="P38" s="1820"/>
      <c r="Q38" s="1820"/>
      <c r="R38" s="1820"/>
      <c r="S38" s="1820"/>
      <c r="T38" s="1820"/>
      <c r="U38" s="1820"/>
      <c r="V38" s="1820"/>
      <c r="W38" s="1820"/>
      <c r="X38" s="519"/>
    </row>
    <row r="39" spans="1:24" s="520" customFormat="1" ht="12.75" customHeight="1">
      <c r="A39" s="1822" t="s">
        <v>949</v>
      </c>
      <c r="B39" s="1822"/>
      <c r="C39" s="1822"/>
      <c r="D39" s="1822"/>
      <c r="E39" s="1822"/>
      <c r="F39" s="1822"/>
      <c r="G39" s="1822"/>
      <c r="H39" s="1822"/>
      <c r="I39" s="1822"/>
      <c r="J39" s="1822"/>
      <c r="K39" s="1822"/>
      <c r="L39" s="1822"/>
      <c r="M39" s="1822"/>
      <c r="N39" s="1822"/>
      <c r="O39" s="1822"/>
      <c r="P39" s="1822"/>
      <c r="Q39" s="1822"/>
      <c r="R39" s="1822"/>
      <c r="S39" s="1822"/>
      <c r="T39" s="1822"/>
      <c r="U39" s="1822"/>
      <c r="V39" s="1822"/>
      <c r="W39" s="1822"/>
      <c r="X39" s="522"/>
    </row>
    <row r="40" spans="1:24" ht="21" customHeight="1">
      <c r="A40" s="1823" t="s">
        <v>950</v>
      </c>
      <c r="B40" s="1823"/>
      <c r="C40" s="1823"/>
      <c r="D40" s="1824" t="s">
        <v>951</v>
      </c>
      <c r="E40" s="1824"/>
      <c r="F40" s="1824"/>
      <c r="G40" s="1824"/>
      <c r="H40" s="1824"/>
      <c r="I40" s="1824"/>
      <c r="J40" s="1824"/>
      <c r="K40" s="1824" t="s">
        <v>952</v>
      </c>
      <c r="L40" s="1824"/>
      <c r="M40" s="1824"/>
      <c r="N40" s="1824"/>
      <c r="O40" s="1824"/>
      <c r="P40" s="1824"/>
      <c r="Q40" s="1824"/>
      <c r="R40" s="1824" t="s">
        <v>953</v>
      </c>
      <c r="S40" s="1824"/>
      <c r="T40" s="1824"/>
      <c r="U40" s="1824"/>
      <c r="V40" s="1824"/>
      <c r="W40" s="1824"/>
      <c r="X40" s="506"/>
    </row>
    <row r="41" spans="1:24" ht="19.5" customHeight="1">
      <c r="A41" s="1815" t="s">
        <v>167</v>
      </c>
      <c r="B41" s="1815"/>
      <c r="C41" s="1815"/>
      <c r="D41" s="1816" t="s">
        <v>954</v>
      </c>
      <c r="E41" s="1816"/>
      <c r="F41" s="1816"/>
      <c r="G41" s="1816"/>
      <c r="H41" s="1816"/>
      <c r="I41" s="1816"/>
      <c r="J41" s="1816"/>
      <c r="K41" s="1816" t="s">
        <v>955</v>
      </c>
      <c r="L41" s="1816"/>
      <c r="M41" s="1816"/>
      <c r="N41" s="1816"/>
      <c r="O41" s="1816"/>
      <c r="P41" s="1816"/>
      <c r="Q41" s="1816"/>
      <c r="R41" s="1816" t="s">
        <v>955</v>
      </c>
      <c r="S41" s="1816"/>
      <c r="T41" s="1816"/>
      <c r="U41" s="1816"/>
      <c r="V41" s="1816"/>
      <c r="W41" s="1816"/>
      <c r="X41" s="523"/>
    </row>
    <row r="42" spans="1:24" ht="18" customHeight="1">
      <c r="A42" s="1815" t="s">
        <v>956</v>
      </c>
      <c r="B42" s="1815"/>
      <c r="C42" s="1815"/>
      <c r="D42" s="1816" t="s">
        <v>956</v>
      </c>
      <c r="E42" s="1816"/>
      <c r="F42" s="1816"/>
      <c r="G42" s="1816"/>
      <c r="H42" s="1816"/>
      <c r="I42" s="1816"/>
      <c r="J42" s="1816"/>
      <c r="K42" s="1816" t="s">
        <v>956</v>
      </c>
      <c r="L42" s="1816"/>
      <c r="M42" s="1816"/>
      <c r="N42" s="1816"/>
      <c r="O42" s="1816"/>
      <c r="P42" s="1816"/>
      <c r="Q42" s="1816"/>
      <c r="R42" s="1816" t="s">
        <v>956</v>
      </c>
      <c r="S42" s="1816"/>
      <c r="T42" s="1816"/>
      <c r="U42" s="1816"/>
      <c r="V42" s="1816"/>
      <c r="W42" s="1816"/>
      <c r="X42" s="523"/>
    </row>
    <row r="43" spans="1:24" ht="21" customHeight="1">
      <c r="A43" s="1815"/>
      <c r="B43" s="1815"/>
      <c r="C43" s="1815"/>
      <c r="D43" s="1816"/>
      <c r="E43" s="1816"/>
      <c r="F43" s="1816"/>
      <c r="G43" s="1816"/>
      <c r="H43" s="1816"/>
      <c r="I43" s="1816"/>
      <c r="J43" s="1816"/>
      <c r="K43" s="1816"/>
      <c r="L43" s="1816"/>
      <c r="M43" s="1816"/>
      <c r="N43" s="1816"/>
      <c r="O43" s="1816"/>
      <c r="P43" s="1816"/>
      <c r="Q43" s="1816"/>
      <c r="R43" s="1816"/>
      <c r="S43" s="1816"/>
      <c r="T43" s="1816"/>
      <c r="U43" s="1816"/>
      <c r="V43" s="1816"/>
      <c r="W43" s="1816"/>
      <c r="X43" s="523"/>
    </row>
    <row r="44" spans="1:24" ht="15.75" customHeight="1">
      <c r="A44" s="1817" t="str">
        <f>"Date: " &amp; TEXT(Q13,"dd/mm/yyyy")</f>
        <v>Date: 10/10/2025</v>
      </c>
      <c r="B44" s="1817"/>
      <c r="C44" s="1817"/>
      <c r="D44" s="1818" t="str">
        <f>A44</f>
        <v>Date: 10/10/2025</v>
      </c>
      <c r="E44" s="1818"/>
      <c r="F44" s="1818"/>
      <c r="G44" s="1818"/>
      <c r="H44" s="1818"/>
      <c r="I44" s="1818"/>
      <c r="J44" s="1818"/>
      <c r="K44" s="1818" t="str">
        <f>A44</f>
        <v>Date: 10/10/2025</v>
      </c>
      <c r="L44" s="1818"/>
      <c r="M44" s="1818"/>
      <c r="N44" s="1818"/>
      <c r="O44" s="1818"/>
      <c r="P44" s="1818"/>
      <c r="Q44" s="1818"/>
      <c r="R44" s="1818" t="s">
        <v>957</v>
      </c>
      <c r="S44" s="1818"/>
      <c r="T44" s="1818"/>
      <c r="U44" s="1818"/>
      <c r="V44" s="1818"/>
      <c r="W44" s="1818"/>
      <c r="X44" s="523"/>
    </row>
    <row r="45" spans="1:24" ht="12.3"/>
    <row r="46" spans="1:24" ht="12.75" customHeight="1"/>
    <row r="47" spans="1:24" ht="12.75" customHeight="1"/>
    <row r="48" spans="1:2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</sheetData>
  <mergeCells count="185">
    <mergeCell ref="A1:A5"/>
    <mergeCell ref="B1:T5"/>
    <mergeCell ref="U1:W1"/>
    <mergeCell ref="U2:W3"/>
    <mergeCell ref="U4:W5"/>
    <mergeCell ref="A6:K6"/>
    <mergeCell ref="L6:W6"/>
    <mergeCell ref="A10:K10"/>
    <mergeCell ref="L10:W10"/>
    <mergeCell ref="A11:K11"/>
    <mergeCell ref="L11:W11"/>
    <mergeCell ref="A12:K12"/>
    <mergeCell ref="L12:W12"/>
    <mergeCell ref="A7:K7"/>
    <mergeCell ref="L7:W7"/>
    <mergeCell ref="A8:K8"/>
    <mergeCell ref="L8:W8"/>
    <mergeCell ref="A9:K9"/>
    <mergeCell ref="L9:W9"/>
    <mergeCell ref="A13:K13"/>
    <mergeCell ref="Q13:W13"/>
    <mergeCell ref="A14:B15"/>
    <mergeCell ref="C14:E15"/>
    <mergeCell ref="F14:G15"/>
    <mergeCell ref="H14:H15"/>
    <mergeCell ref="I14:M15"/>
    <mergeCell ref="N14:P15"/>
    <mergeCell ref="Q14:W14"/>
    <mergeCell ref="Q15:U15"/>
    <mergeCell ref="V15:W15"/>
    <mergeCell ref="A16:B16"/>
    <mergeCell ref="C16:E16"/>
    <mergeCell ref="F16:G16"/>
    <mergeCell ref="I16:M16"/>
    <mergeCell ref="N16:P16"/>
    <mergeCell ref="Q16:U16"/>
    <mergeCell ref="V16:W16"/>
    <mergeCell ref="V17:W17"/>
    <mergeCell ref="A18:B18"/>
    <mergeCell ref="C18:E18"/>
    <mergeCell ref="F18:G18"/>
    <mergeCell ref="I18:M18"/>
    <mergeCell ref="N18:O18"/>
    <mergeCell ref="P18:Q18"/>
    <mergeCell ref="R18:T18"/>
    <mergeCell ref="U18:V18"/>
    <mergeCell ref="A17:B17"/>
    <mergeCell ref="C17:E17"/>
    <mergeCell ref="F17:G17"/>
    <mergeCell ref="I17:M17"/>
    <mergeCell ref="N17:P17"/>
    <mergeCell ref="Q17:U17"/>
    <mergeCell ref="A21:D22"/>
    <mergeCell ref="E21:F22"/>
    <mergeCell ref="G21:I22"/>
    <mergeCell ref="J21:M22"/>
    <mergeCell ref="N21:V21"/>
    <mergeCell ref="N22:O22"/>
    <mergeCell ref="P22:R22"/>
    <mergeCell ref="S22:U22"/>
    <mergeCell ref="R19:T19"/>
    <mergeCell ref="U19:V19"/>
    <mergeCell ref="A20:B20"/>
    <mergeCell ref="C20:E20"/>
    <mergeCell ref="F20:G20"/>
    <mergeCell ref="I20:M20"/>
    <mergeCell ref="N20:O20"/>
    <mergeCell ref="P20:Q20"/>
    <mergeCell ref="R20:T20"/>
    <mergeCell ref="U20:V20"/>
    <mergeCell ref="A19:B19"/>
    <mergeCell ref="C19:E19"/>
    <mergeCell ref="F19:G19"/>
    <mergeCell ref="I19:M19"/>
    <mergeCell ref="N19:O19"/>
    <mergeCell ref="P19:Q19"/>
    <mergeCell ref="S23:U23"/>
    <mergeCell ref="A24:D24"/>
    <mergeCell ref="E24:F24"/>
    <mergeCell ref="G24:I24"/>
    <mergeCell ref="J24:M24"/>
    <mergeCell ref="N24:O24"/>
    <mergeCell ref="P24:R24"/>
    <mergeCell ref="S24:U24"/>
    <mergeCell ref="A23:D23"/>
    <mergeCell ref="E23:F23"/>
    <mergeCell ref="G23:I23"/>
    <mergeCell ref="J23:M23"/>
    <mergeCell ref="N23:O23"/>
    <mergeCell ref="P23:R23"/>
    <mergeCell ref="S25:U25"/>
    <mergeCell ref="A26:D26"/>
    <mergeCell ref="E26:F26"/>
    <mergeCell ref="G26:I26"/>
    <mergeCell ref="J26:M26"/>
    <mergeCell ref="N26:O26"/>
    <mergeCell ref="P26:R26"/>
    <mergeCell ref="S26:U26"/>
    <mergeCell ref="A25:D25"/>
    <mergeCell ref="E25:F25"/>
    <mergeCell ref="G25:I25"/>
    <mergeCell ref="J25:M25"/>
    <mergeCell ref="N25:O25"/>
    <mergeCell ref="P25:R25"/>
    <mergeCell ref="S27:U27"/>
    <mergeCell ref="A28:D28"/>
    <mergeCell ref="E28:F28"/>
    <mergeCell ref="G28:I28"/>
    <mergeCell ref="J28:M28"/>
    <mergeCell ref="N28:O28"/>
    <mergeCell ref="P28:R28"/>
    <mergeCell ref="S28:U28"/>
    <mergeCell ref="A27:D27"/>
    <mergeCell ref="E27:F27"/>
    <mergeCell ref="G27:I27"/>
    <mergeCell ref="J27:M27"/>
    <mergeCell ref="N27:O27"/>
    <mergeCell ref="P27:R27"/>
    <mergeCell ref="S29:U29"/>
    <mergeCell ref="A30:D30"/>
    <mergeCell ref="E30:F30"/>
    <mergeCell ref="G30:I30"/>
    <mergeCell ref="J30:M30"/>
    <mergeCell ref="N30:O30"/>
    <mergeCell ref="P30:R30"/>
    <mergeCell ref="S30:U30"/>
    <mergeCell ref="A29:D29"/>
    <mergeCell ref="E29:F29"/>
    <mergeCell ref="G29:I29"/>
    <mergeCell ref="J29:M29"/>
    <mergeCell ref="N29:O29"/>
    <mergeCell ref="P29:R29"/>
    <mergeCell ref="S31:U31"/>
    <mergeCell ref="A32:D32"/>
    <mergeCell ref="E32:F32"/>
    <mergeCell ref="G32:I32"/>
    <mergeCell ref="J32:M32"/>
    <mergeCell ref="N32:O32"/>
    <mergeCell ref="P32:R32"/>
    <mergeCell ref="S32:U32"/>
    <mergeCell ref="A31:D31"/>
    <mergeCell ref="E31:F31"/>
    <mergeCell ref="G31:I31"/>
    <mergeCell ref="J31:M31"/>
    <mergeCell ref="N31:O31"/>
    <mergeCell ref="P31:R31"/>
    <mergeCell ref="S33:U33"/>
    <mergeCell ref="A34:D34"/>
    <mergeCell ref="E34:F34"/>
    <mergeCell ref="G34:I34"/>
    <mergeCell ref="J34:M34"/>
    <mergeCell ref="N34:O34"/>
    <mergeCell ref="P34:R34"/>
    <mergeCell ref="S34:U34"/>
    <mergeCell ref="A33:D33"/>
    <mergeCell ref="E33:F33"/>
    <mergeCell ref="G33:I33"/>
    <mergeCell ref="J33:M33"/>
    <mergeCell ref="N33:O33"/>
    <mergeCell ref="P33:R33"/>
    <mergeCell ref="A35:W35"/>
    <mergeCell ref="A36:W36"/>
    <mergeCell ref="A37:W37"/>
    <mergeCell ref="A38:W38"/>
    <mergeCell ref="A39:W39"/>
    <mergeCell ref="A40:C40"/>
    <mergeCell ref="D40:J40"/>
    <mergeCell ref="K40:Q40"/>
    <mergeCell ref="R40:W40"/>
    <mergeCell ref="A43:C43"/>
    <mergeCell ref="D43:J43"/>
    <mergeCell ref="K43:Q43"/>
    <mergeCell ref="R43:W43"/>
    <mergeCell ref="A44:C44"/>
    <mergeCell ref="D44:J44"/>
    <mergeCell ref="K44:Q44"/>
    <mergeCell ref="R44:W44"/>
    <mergeCell ref="A41:C41"/>
    <mergeCell ref="D41:J41"/>
    <mergeCell ref="K41:Q41"/>
    <mergeCell ref="R41:W41"/>
    <mergeCell ref="A42:C42"/>
    <mergeCell ref="D42:J42"/>
    <mergeCell ref="K42:Q42"/>
    <mergeCell ref="R42:W42"/>
  </mergeCells>
  <pageMargins left="0.62992125984251968" right="0.23622047244094491" top="0.35433070866141736" bottom="0.23622047244094491" header="0.15748031496062992" footer="0"/>
  <pageSetup paperSize="9" orientation="portrait" r:id="rId1"/>
  <headerFooter>
    <oddFooter xml:space="preserve">&amp;RTake effect form/ Áp dụng từ ngày 01.03.2016     </oddFooter>
  </headerFooter>
  <ignoredErrors>
    <ignoredError sqref="A44 K44" unlockedFormula="1"/>
    <ignoredError sqref="E23:F27 U19 I17 H19" numberStoredAsText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6">
    <tabColor rgb="FFFF0000"/>
  </sheetPr>
  <dimension ref="A1:S35"/>
  <sheetViews>
    <sheetView showGridLines="0" showWhiteSpace="0" zoomScaleNormal="100" workbookViewId="0">
      <selection activeCell="E30" sqref="E30"/>
    </sheetView>
  </sheetViews>
  <sheetFormatPr defaultColWidth="0" defaultRowHeight="14.4" zeroHeight="1"/>
  <cols>
    <col min="1" max="1" width="9.109375" style="357" customWidth="1"/>
    <col min="2" max="2" width="12.71875" style="357" customWidth="1"/>
    <col min="3" max="3" width="6.27734375" style="357" customWidth="1"/>
    <col min="4" max="4" width="10.109375" style="357" customWidth="1"/>
    <col min="5" max="8" width="10.609375" style="357" customWidth="1"/>
    <col min="9" max="9" width="8.109375" style="357" customWidth="1"/>
    <col min="10" max="10" width="5.609375" style="357" customWidth="1"/>
    <col min="11" max="19" width="9.109375" style="357" customWidth="1"/>
    <col min="20" max="21" width="9.109375" style="357" hidden="1" customWidth="1"/>
    <col min="22" max="16384" width="9.109375" style="357" hidden="1"/>
  </cols>
  <sheetData>
    <row r="1" spans="1:10" ht="18.75" customHeight="1">
      <c r="A1" s="1923"/>
      <c r="B1" s="1923"/>
      <c r="C1" s="1926" t="s">
        <v>960</v>
      </c>
      <c r="D1" s="1926"/>
      <c r="E1" s="1926"/>
      <c r="F1" s="1926"/>
      <c r="G1" s="1926"/>
      <c r="H1" s="1927" t="s">
        <v>961</v>
      </c>
      <c r="I1" s="1927"/>
      <c r="J1" s="1927"/>
    </row>
    <row r="2" spans="1:10" ht="18.75" customHeight="1">
      <c r="A2" s="1924"/>
      <c r="B2" s="1924"/>
      <c r="C2" s="1928" t="s">
        <v>962</v>
      </c>
      <c r="D2" s="1928"/>
      <c r="E2" s="1928"/>
      <c r="F2" s="1928"/>
      <c r="G2" s="1928"/>
      <c r="H2" s="1929" t="s">
        <v>963</v>
      </c>
      <c r="I2" s="1930"/>
      <c r="J2" s="1931"/>
    </row>
    <row r="3" spans="1:10" ht="18.75" customHeight="1">
      <c r="A3" s="1924"/>
      <c r="B3" s="1924"/>
      <c r="C3" s="1932"/>
      <c r="D3" s="1932"/>
      <c r="E3" s="1932"/>
      <c r="F3" s="1932"/>
      <c r="G3" s="1932"/>
      <c r="H3" s="1933"/>
      <c r="I3" s="1933"/>
      <c r="J3" s="1933"/>
    </row>
    <row r="4" spans="1:10" ht="18.75" customHeight="1">
      <c r="A4" s="1925"/>
      <c r="B4" s="1925"/>
      <c r="C4" s="1934"/>
      <c r="D4" s="1934"/>
      <c r="E4" s="1934"/>
      <c r="F4" s="1934"/>
      <c r="G4" s="1934"/>
      <c r="H4" s="1935" t="s">
        <v>975</v>
      </c>
      <c r="I4" s="1935"/>
      <c r="J4" s="1935"/>
    </row>
    <row r="5" spans="1:10" ht="25.05" customHeight="1">
      <c r="A5" s="371" t="s">
        <v>976</v>
      </c>
      <c r="B5" s="1914" t="s">
        <v>977</v>
      </c>
      <c r="C5" s="1914"/>
      <c r="D5" s="1914"/>
      <c r="E5" s="1914"/>
      <c r="F5" s="1914"/>
      <c r="G5" s="1914"/>
      <c r="H5" s="1914"/>
      <c r="I5" s="1914"/>
      <c r="J5" s="1915"/>
    </row>
    <row r="6" spans="1:10" ht="25.05" customHeight="1">
      <c r="A6" s="372" t="s">
        <v>964</v>
      </c>
      <c r="B6" s="1918" t="s">
        <v>965</v>
      </c>
      <c r="C6" s="1918"/>
      <c r="D6" s="1918"/>
      <c r="E6" s="1918"/>
      <c r="F6" s="1918"/>
      <c r="G6" s="1918"/>
      <c r="H6" s="1918"/>
      <c r="I6" s="1918"/>
      <c r="J6" s="1919"/>
    </row>
    <row r="7" spans="1:10" ht="25.05" customHeight="1">
      <c r="A7" s="372" t="s">
        <v>966</v>
      </c>
      <c r="B7" s="373" t="s">
        <v>974</v>
      </c>
      <c r="C7" s="370"/>
      <c r="D7" s="358"/>
      <c r="E7" s="358"/>
      <c r="F7" s="358"/>
      <c r="G7" s="358"/>
      <c r="H7" s="358"/>
      <c r="I7" s="358"/>
      <c r="J7" s="359"/>
    </row>
    <row r="8" spans="1:10" ht="25.05" customHeight="1">
      <c r="A8" s="1920" t="s">
        <v>967</v>
      </c>
      <c r="B8" s="1920"/>
      <c r="C8" s="1920" t="s">
        <v>915</v>
      </c>
      <c r="D8" s="1920"/>
      <c r="E8" s="360" t="s">
        <v>939</v>
      </c>
      <c r="F8" s="360" t="s">
        <v>941</v>
      </c>
      <c r="G8" s="361" t="s">
        <v>940</v>
      </c>
      <c r="H8" s="361" t="s">
        <v>968</v>
      </c>
      <c r="I8" s="1921" t="s">
        <v>969</v>
      </c>
      <c r="J8" s="1922"/>
    </row>
    <row r="9" spans="1:10" ht="25.05" customHeight="1">
      <c r="A9" s="1920">
        <v>4</v>
      </c>
      <c r="B9" s="1920"/>
      <c r="C9" s="1920" t="s">
        <v>970</v>
      </c>
      <c r="D9" s="1920"/>
      <c r="E9" s="360">
        <v>251</v>
      </c>
      <c r="F9" s="362" t="s">
        <v>971</v>
      </c>
      <c r="G9" s="361">
        <v>9</v>
      </c>
      <c r="H9" s="361">
        <v>90</v>
      </c>
      <c r="I9" s="1921" t="s">
        <v>931</v>
      </c>
      <c r="J9" s="1922"/>
    </row>
    <row r="10" spans="1:10" ht="24.75" customHeight="1">
      <c r="A10" s="363"/>
      <c r="B10" s="1916"/>
      <c r="C10" s="1916"/>
      <c r="D10" s="364"/>
      <c r="E10" s="364"/>
      <c r="F10" s="364"/>
      <c r="G10" s="365"/>
      <c r="H10" s="365"/>
      <c r="I10" s="365"/>
      <c r="J10" s="366"/>
    </row>
    <row r="11" spans="1:10" ht="24.75" customHeight="1">
      <c r="A11" s="363"/>
      <c r="B11" s="1916"/>
      <c r="C11" s="1916"/>
      <c r="D11" s="364"/>
      <c r="E11" s="364"/>
      <c r="F11" s="364"/>
      <c r="G11" s="365"/>
      <c r="H11" s="365"/>
      <c r="I11" s="365"/>
      <c r="J11" s="366"/>
    </row>
    <row r="12" spans="1:10" ht="24.75" customHeight="1">
      <c r="A12" s="363"/>
      <c r="B12" s="364"/>
      <c r="C12" s="364"/>
      <c r="D12" s="364"/>
      <c r="E12" s="364"/>
      <c r="F12" s="364"/>
      <c r="G12" s="365"/>
      <c r="H12" s="365"/>
      <c r="I12" s="365"/>
      <c r="J12" s="366"/>
    </row>
    <row r="13" spans="1:10" ht="24.75" customHeight="1">
      <c r="A13" s="363"/>
      <c r="B13" s="364"/>
      <c r="C13" s="364"/>
      <c r="D13" s="364"/>
      <c r="E13" s="364"/>
      <c r="F13" s="364"/>
      <c r="G13" s="365"/>
      <c r="H13" s="365"/>
      <c r="I13" s="365"/>
      <c r="J13" s="366"/>
    </row>
    <row r="14" spans="1:10" ht="24.75" customHeight="1">
      <c r="A14" s="363"/>
      <c r="B14" s="364"/>
      <c r="C14" s="364"/>
      <c r="D14" s="364"/>
      <c r="E14" s="364"/>
      <c r="F14" s="364"/>
      <c r="G14" s="365"/>
      <c r="H14" s="365"/>
      <c r="I14" s="365"/>
      <c r="J14" s="366"/>
    </row>
    <row r="15" spans="1:10" ht="24.75" customHeight="1">
      <c r="A15" s="363"/>
      <c r="B15" s="1916"/>
      <c r="C15" s="1916"/>
      <c r="D15" s="364"/>
      <c r="E15" s="364"/>
      <c r="F15" s="364"/>
      <c r="G15" s="365"/>
      <c r="H15" s="365"/>
      <c r="I15" s="365"/>
      <c r="J15" s="366"/>
    </row>
    <row r="16" spans="1:10" ht="24.75" customHeight="1">
      <c r="A16" s="363"/>
      <c r="B16" s="1916"/>
      <c r="C16" s="1916"/>
      <c r="D16" s="364"/>
      <c r="E16" s="364"/>
      <c r="F16" s="364"/>
      <c r="G16" s="365"/>
      <c r="H16" s="365"/>
      <c r="I16" s="365"/>
      <c r="J16" s="366"/>
    </row>
    <row r="17" spans="1:10" ht="24.75" customHeight="1">
      <c r="A17" s="363"/>
      <c r="B17" s="1916"/>
      <c r="C17" s="1916"/>
      <c r="D17" s="364"/>
      <c r="E17" s="364"/>
      <c r="F17" s="364"/>
      <c r="G17" s="365"/>
      <c r="H17" s="365"/>
      <c r="I17" s="365"/>
      <c r="J17" s="366"/>
    </row>
    <row r="18" spans="1:10" ht="30" customHeight="1">
      <c r="A18" s="363"/>
      <c r="B18" s="1916"/>
      <c r="C18" s="1916"/>
      <c r="D18" s="364"/>
      <c r="E18" s="364"/>
      <c r="F18" s="364"/>
      <c r="G18" s="365"/>
      <c r="H18" s="365"/>
      <c r="I18" s="365"/>
      <c r="J18" s="366"/>
    </row>
    <row r="19" spans="1:10" ht="24.75" customHeight="1">
      <c r="A19" s="363"/>
      <c r="B19" s="364"/>
      <c r="C19" s="364"/>
      <c r="D19" s="364"/>
      <c r="E19" s="364"/>
      <c r="F19" s="364"/>
      <c r="G19" s="365"/>
      <c r="H19" s="365"/>
      <c r="I19" s="365"/>
      <c r="J19" s="366"/>
    </row>
    <row r="20" spans="1:10" ht="24.75" customHeight="1">
      <c r="A20" s="363"/>
      <c r="B20" s="364"/>
      <c r="C20" s="364"/>
      <c r="D20" s="364"/>
      <c r="E20" s="364"/>
      <c r="F20" s="364"/>
      <c r="G20" s="365"/>
      <c r="H20" s="365"/>
      <c r="I20" s="365"/>
      <c r="J20" s="366"/>
    </row>
    <row r="21" spans="1:10" ht="24.75" customHeight="1">
      <c r="A21" s="363"/>
      <c r="B21" s="364"/>
      <c r="C21" s="364"/>
      <c r="D21" s="364"/>
      <c r="E21" s="364"/>
      <c r="F21" s="364"/>
      <c r="G21" s="365"/>
      <c r="H21" s="365"/>
      <c r="I21" s="365"/>
      <c r="J21" s="366"/>
    </row>
    <row r="22" spans="1:10" ht="24.75" customHeight="1">
      <c r="A22" s="363"/>
      <c r="B22" s="364"/>
      <c r="C22" s="364"/>
      <c r="D22" s="364"/>
      <c r="E22" s="364"/>
      <c r="F22" s="364"/>
      <c r="G22" s="365"/>
      <c r="H22" s="365"/>
      <c r="I22" s="365"/>
      <c r="J22" s="366"/>
    </row>
    <row r="23" spans="1:10" ht="24.75" customHeight="1">
      <c r="A23" s="363"/>
      <c r="B23" s="364"/>
      <c r="C23" s="364"/>
      <c r="D23" s="364"/>
      <c r="E23" s="364"/>
      <c r="F23" s="364"/>
      <c r="G23" s="365"/>
      <c r="H23" s="365"/>
      <c r="I23" s="365"/>
      <c r="J23" s="366"/>
    </row>
    <row r="24" spans="1:10" ht="24.75" customHeight="1">
      <c r="A24" s="363"/>
      <c r="B24" s="364"/>
      <c r="C24" s="364"/>
      <c r="D24" s="364"/>
      <c r="E24" s="364"/>
      <c r="F24" s="364"/>
      <c r="G24" s="365"/>
      <c r="H24" s="365"/>
      <c r="I24" s="365"/>
      <c r="J24" s="366"/>
    </row>
    <row r="25" spans="1:10" ht="24.75" customHeight="1">
      <c r="A25" s="363"/>
      <c r="B25" s="1916"/>
      <c r="C25" s="1916"/>
      <c r="D25" s="364"/>
      <c r="E25" s="364"/>
      <c r="F25" s="364"/>
      <c r="G25" s="365"/>
      <c r="H25" s="365"/>
      <c r="I25" s="365"/>
      <c r="J25" s="366"/>
    </row>
    <row r="26" spans="1:10" ht="24.75" customHeight="1">
      <c r="A26" s="363"/>
      <c r="B26" s="1916"/>
      <c r="C26" s="1916"/>
      <c r="D26" s="364"/>
      <c r="E26" s="364"/>
      <c r="F26" s="364"/>
      <c r="G26" s="365"/>
      <c r="H26" s="365"/>
      <c r="I26" s="365"/>
      <c r="J26" s="366"/>
    </row>
    <row r="27" spans="1:10" ht="24.75" customHeight="1">
      <c r="A27" s="363"/>
      <c r="B27" s="1916"/>
      <c r="C27" s="1916"/>
      <c r="D27" s="364"/>
      <c r="E27" s="364"/>
      <c r="F27" s="364"/>
      <c r="G27" s="365"/>
      <c r="H27" s="365"/>
      <c r="I27" s="365"/>
      <c r="J27" s="366"/>
    </row>
    <row r="28" spans="1:10" ht="24.75" customHeight="1">
      <c r="A28" s="363"/>
      <c r="B28" s="1916"/>
      <c r="C28" s="1916"/>
      <c r="D28" s="364"/>
      <c r="E28" s="364"/>
      <c r="F28" s="364"/>
      <c r="G28" s="365"/>
      <c r="H28" s="365"/>
      <c r="I28" s="365"/>
      <c r="J28" s="366"/>
    </row>
    <row r="29" spans="1:10" ht="24.75" customHeight="1">
      <c r="A29" s="363"/>
      <c r="B29" s="1916"/>
      <c r="C29" s="1916"/>
      <c r="D29" s="364"/>
      <c r="E29" s="364"/>
      <c r="F29" s="364"/>
      <c r="G29" s="365"/>
      <c r="H29" s="365"/>
      <c r="I29" s="365"/>
      <c r="J29" s="366"/>
    </row>
    <row r="30" spans="1:10" ht="24.75" customHeight="1">
      <c r="A30" s="367"/>
      <c r="B30" s="1916"/>
      <c r="C30" s="1916"/>
      <c r="D30" s="364"/>
      <c r="E30" s="364"/>
      <c r="F30" s="364"/>
      <c r="G30" s="365"/>
      <c r="H30" s="365"/>
      <c r="I30" s="365"/>
      <c r="J30" s="366"/>
    </row>
    <row r="31" spans="1:10" ht="24.75" customHeight="1">
      <c r="A31" s="1909" t="s">
        <v>972</v>
      </c>
      <c r="B31" s="1910"/>
      <c r="C31" s="1910"/>
      <c r="D31" s="1910"/>
      <c r="E31" s="1910" t="s">
        <v>524</v>
      </c>
      <c r="F31" s="1910"/>
      <c r="G31" s="1910"/>
      <c r="H31" s="1910"/>
      <c r="I31" s="1910"/>
      <c r="J31" s="1917"/>
    </row>
    <row r="32" spans="1:10" ht="34.5" customHeight="1">
      <c r="A32" s="1909" t="s">
        <v>956</v>
      </c>
      <c r="B32" s="1910"/>
      <c r="C32" s="1910"/>
      <c r="D32" s="1910"/>
      <c r="E32" s="1910"/>
      <c r="F32" s="1910"/>
      <c r="G32" s="1910"/>
      <c r="H32" s="1910"/>
      <c r="I32" s="1910"/>
      <c r="J32" s="1917"/>
    </row>
    <row r="33" spans="1:10" ht="24.75" customHeight="1">
      <c r="A33" s="1909" t="s">
        <v>957</v>
      </c>
      <c r="B33" s="1910"/>
      <c r="C33" s="1910"/>
      <c r="D33" s="1910"/>
      <c r="E33" s="1911" t="s">
        <v>973</v>
      </c>
      <c r="F33" s="1912"/>
      <c r="G33" s="1912"/>
      <c r="H33" s="1912"/>
      <c r="I33" s="1912"/>
      <c r="J33" s="1913"/>
    </row>
    <row r="34" spans="1:10">
      <c r="A34" s="368"/>
      <c r="B34" s="368"/>
      <c r="C34" s="368"/>
      <c r="D34" s="368"/>
      <c r="E34" s="368"/>
      <c r="F34" s="368"/>
      <c r="G34" s="368"/>
      <c r="H34" s="368"/>
      <c r="I34" s="368"/>
      <c r="J34" s="368"/>
    </row>
    <row r="35" spans="1:10" ht="18" hidden="1">
      <c r="A35" s="369"/>
    </row>
  </sheetData>
  <mergeCells count="35">
    <mergeCell ref="A1:B4"/>
    <mergeCell ref="C1:G1"/>
    <mergeCell ref="H1:J1"/>
    <mergeCell ref="C2:G2"/>
    <mergeCell ref="H2:J2"/>
    <mergeCell ref="C3:G3"/>
    <mergeCell ref="H3:J3"/>
    <mergeCell ref="C4:G4"/>
    <mergeCell ref="H4:J4"/>
    <mergeCell ref="B15:C15"/>
    <mergeCell ref="B6:J6"/>
    <mergeCell ref="A8:B8"/>
    <mergeCell ref="C8:D8"/>
    <mergeCell ref="I8:J8"/>
    <mergeCell ref="A9:B9"/>
    <mergeCell ref="C9:D9"/>
    <mergeCell ref="I9:J9"/>
    <mergeCell ref="B10:C10"/>
    <mergeCell ref="B11:C11"/>
    <mergeCell ref="A33:D33"/>
    <mergeCell ref="E33:J33"/>
    <mergeCell ref="B5:J5"/>
    <mergeCell ref="B28:C28"/>
    <mergeCell ref="B29:C29"/>
    <mergeCell ref="B30:C30"/>
    <mergeCell ref="A31:D31"/>
    <mergeCell ref="E31:J31"/>
    <mergeCell ref="A32:D32"/>
    <mergeCell ref="E32:J32"/>
    <mergeCell ref="B16:C16"/>
    <mergeCell ref="B17:C17"/>
    <mergeCell ref="B18:C18"/>
    <mergeCell ref="B25:C25"/>
    <mergeCell ref="B26:C26"/>
    <mergeCell ref="B27:C27"/>
  </mergeCells>
  <pageMargins left="0.6692913385826772" right="0.23622047244094491" top="0.39370078740157483" bottom="0.19685039370078741" header="0.15748031496062992" footer="0"/>
  <pageSetup paperSize="9" orientation="portrait" r:id="rId1"/>
  <headerFooter>
    <oddFooter xml:space="preserve">&amp;C                                                                                                               Take effect from/Áp dụng từ ngày 10.08.2014         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7">
    <tabColor theme="9" tint="0.39997558519241921"/>
  </sheetPr>
  <dimension ref="A1:W43"/>
  <sheetViews>
    <sheetView showGridLines="0" topLeftCell="A19" zoomScaleNormal="100" zoomScaleSheetLayoutView="85" workbookViewId="0">
      <selection activeCell="Y37" sqref="Y37"/>
    </sheetView>
  </sheetViews>
  <sheetFormatPr defaultColWidth="9.109375" defaultRowHeight="12.3" zeroHeight="1"/>
  <cols>
    <col min="1" max="1" width="1" style="135" customWidth="1"/>
    <col min="2" max="2" width="4.44140625" style="135" customWidth="1"/>
    <col min="3" max="3" width="2.6640625" style="135" customWidth="1"/>
    <col min="4" max="4" width="10.33203125" style="135" customWidth="1"/>
    <col min="5" max="5" width="1.33203125" style="135" customWidth="1"/>
    <col min="6" max="17" width="4.77734375" style="135" customWidth="1"/>
    <col min="18" max="18" width="0.6640625" style="135" customWidth="1"/>
    <col min="19" max="19" width="1.109375" style="135" customWidth="1"/>
    <col min="20" max="20" width="4.77734375" style="135" customWidth="1"/>
    <col min="21" max="21" width="8.33203125" style="135" customWidth="1"/>
    <col min="22" max="22" width="0.109375" style="135" customWidth="1"/>
    <col min="23" max="23" width="9.109375" style="524"/>
    <col min="24" max="16384" width="9.109375" style="135"/>
  </cols>
  <sheetData>
    <row r="1" spans="1:23" ht="27" customHeight="1">
      <c r="A1" s="1984" t="s">
        <v>155</v>
      </c>
      <c r="B1" s="1985"/>
      <c r="C1" s="1985"/>
      <c r="D1" s="1985"/>
      <c r="E1" s="1985"/>
      <c r="F1" s="1985"/>
      <c r="G1" s="1986"/>
      <c r="H1" s="1987" t="s">
        <v>525</v>
      </c>
      <c r="I1" s="1985"/>
      <c r="J1" s="1985"/>
      <c r="K1" s="1985"/>
      <c r="L1" s="1985"/>
      <c r="M1" s="1985"/>
      <c r="N1" s="1985"/>
      <c r="O1" s="1985"/>
      <c r="P1" s="1985"/>
      <c r="Q1" s="1985"/>
      <c r="R1" s="1985"/>
      <c r="S1" s="1985"/>
      <c r="T1" s="1985"/>
      <c r="U1" s="1985"/>
      <c r="V1" s="1988"/>
    </row>
    <row r="2" spans="1:23" ht="20.100000000000001" customHeight="1">
      <c r="A2" s="1989" t="s">
        <v>526</v>
      </c>
      <c r="B2" s="1990"/>
      <c r="C2" s="1990"/>
      <c r="D2" s="1990"/>
      <c r="E2" s="1990"/>
      <c r="F2" s="1990"/>
      <c r="G2" s="1991"/>
      <c r="H2" s="1992" t="s">
        <v>527</v>
      </c>
      <c r="I2" s="1993"/>
      <c r="J2" s="1994"/>
      <c r="K2" s="1995" t="s">
        <v>528</v>
      </c>
      <c r="L2" s="1996"/>
      <c r="M2" s="1996"/>
      <c r="N2" s="1996"/>
      <c r="O2" s="1996"/>
      <c r="P2" s="1996"/>
      <c r="Q2" s="1996"/>
      <c r="R2" s="1997"/>
      <c r="S2" s="2001" t="s">
        <v>529</v>
      </c>
      <c r="T2" s="2002"/>
      <c r="U2" s="2002"/>
      <c r="V2" s="2003"/>
    </row>
    <row r="3" spans="1:23" ht="20.100000000000001" customHeight="1">
      <c r="A3" s="1989" t="s">
        <v>530</v>
      </c>
      <c r="B3" s="1990"/>
      <c r="C3" s="1990"/>
      <c r="D3" s="1990"/>
      <c r="E3" s="1990"/>
      <c r="F3" s="1990"/>
      <c r="G3" s="1991"/>
      <c r="H3" s="2004" t="s">
        <v>531</v>
      </c>
      <c r="I3" s="2005"/>
      <c r="J3" s="2006"/>
      <c r="K3" s="1998"/>
      <c r="L3" s="1999"/>
      <c r="M3" s="1999"/>
      <c r="N3" s="1999"/>
      <c r="O3" s="1999"/>
      <c r="P3" s="1999"/>
      <c r="Q3" s="1999"/>
      <c r="R3" s="2000"/>
      <c r="S3" s="2007" t="s">
        <v>532</v>
      </c>
      <c r="T3" s="2008"/>
      <c r="U3" s="2008"/>
      <c r="V3" s="2009"/>
    </row>
    <row r="4" spans="1:23" ht="18" customHeight="1">
      <c r="A4" s="1979" t="s">
        <v>533</v>
      </c>
      <c r="B4" s="1980"/>
      <c r="C4" s="1980"/>
      <c r="D4" s="136" t="s">
        <v>534</v>
      </c>
      <c r="E4" s="1981" t="s">
        <v>535</v>
      </c>
      <c r="F4" s="1981"/>
      <c r="G4" s="1981"/>
      <c r="H4" s="1981" t="s">
        <v>536</v>
      </c>
      <c r="I4" s="1981"/>
      <c r="J4" s="1981"/>
      <c r="K4" s="1982" t="s">
        <v>537</v>
      </c>
      <c r="L4" s="1982"/>
      <c r="M4" s="1983" t="s">
        <v>538</v>
      </c>
      <c r="N4" s="1983"/>
      <c r="O4" s="1983"/>
      <c r="P4" s="1983" t="s">
        <v>539</v>
      </c>
      <c r="Q4" s="1983"/>
      <c r="R4" s="1983"/>
      <c r="S4" s="1967" t="s">
        <v>540</v>
      </c>
      <c r="T4" s="1968"/>
      <c r="U4" s="1968"/>
      <c r="V4" s="1969"/>
    </row>
    <row r="5" spans="1:23" ht="18" customHeight="1">
      <c r="A5" s="1970" t="s">
        <v>541</v>
      </c>
      <c r="B5" s="1971"/>
      <c r="C5" s="1971"/>
      <c r="D5" s="161" t="s">
        <v>542</v>
      </c>
      <c r="E5" s="1972" t="s">
        <v>195</v>
      </c>
      <c r="F5" s="1972"/>
      <c r="G5" s="1972"/>
      <c r="H5" s="1973" t="s">
        <v>543</v>
      </c>
      <c r="I5" s="1973"/>
      <c r="J5" s="1973"/>
      <c r="K5" s="1974" t="s">
        <v>544</v>
      </c>
      <c r="L5" s="1974"/>
      <c r="M5" s="1975" t="s">
        <v>545</v>
      </c>
      <c r="N5" s="1975"/>
      <c r="O5" s="1975"/>
      <c r="P5" s="1975" t="s">
        <v>546</v>
      </c>
      <c r="Q5" s="1975" t="s">
        <v>546</v>
      </c>
      <c r="R5" s="1975"/>
      <c r="S5" s="1976" t="s">
        <v>547</v>
      </c>
      <c r="T5" s="1977"/>
      <c r="U5" s="1977"/>
      <c r="V5" s="1978"/>
    </row>
    <row r="6" spans="1:23" ht="24.4" customHeight="1">
      <c r="A6" s="1960" t="s">
        <v>548</v>
      </c>
      <c r="B6" s="1961"/>
      <c r="C6" s="1961"/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1"/>
      <c r="Q6" s="1961"/>
      <c r="R6" s="1961"/>
      <c r="S6" s="1961"/>
      <c r="T6" s="1961"/>
      <c r="U6" s="1961"/>
      <c r="V6" s="1962"/>
    </row>
    <row r="7" spans="1:23" ht="31.15" customHeight="1">
      <c r="A7" s="137"/>
      <c r="B7" s="138" t="s">
        <v>549</v>
      </c>
      <c r="C7" s="1963" t="s">
        <v>550</v>
      </c>
      <c r="D7" s="1963"/>
      <c r="E7" s="1963"/>
      <c r="F7" s="139" t="s">
        <v>551</v>
      </c>
      <c r="G7" s="139" t="s">
        <v>552</v>
      </c>
      <c r="H7" s="139" t="s">
        <v>553</v>
      </c>
      <c r="I7" s="139" t="s">
        <v>554</v>
      </c>
      <c r="J7" s="139" t="s">
        <v>555</v>
      </c>
      <c r="K7" s="139" t="s">
        <v>556</v>
      </c>
      <c r="L7" s="139" t="s">
        <v>557</v>
      </c>
      <c r="M7" s="139" t="s">
        <v>558</v>
      </c>
      <c r="N7" s="139" t="s">
        <v>559</v>
      </c>
      <c r="O7" s="139" t="s">
        <v>560</v>
      </c>
      <c r="P7" s="139" t="s">
        <v>561</v>
      </c>
      <c r="Q7" s="139" t="s">
        <v>562</v>
      </c>
      <c r="R7" s="1953" t="s">
        <v>563</v>
      </c>
      <c r="S7" s="1951"/>
      <c r="T7" s="1951"/>
      <c r="U7" s="1952"/>
      <c r="V7" s="525"/>
    </row>
    <row r="8" spans="1:23" ht="20.100000000000001" customHeight="1">
      <c r="A8" s="140"/>
      <c r="B8" s="136"/>
      <c r="C8" s="1964" t="s">
        <v>564</v>
      </c>
      <c r="D8" s="1965"/>
      <c r="E8" s="1966"/>
      <c r="F8" s="141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953"/>
      <c r="S8" s="1951"/>
      <c r="T8" s="1951"/>
      <c r="U8" s="1952"/>
      <c r="V8" s="526"/>
    </row>
    <row r="9" spans="1:23" ht="21.75" customHeight="1">
      <c r="A9" s="137"/>
      <c r="B9" s="136">
        <v>1</v>
      </c>
      <c r="C9" s="1957" t="s">
        <v>565</v>
      </c>
      <c r="D9" s="1958"/>
      <c r="E9" s="1959"/>
      <c r="F9" s="142"/>
      <c r="G9" s="142"/>
      <c r="H9" s="143"/>
      <c r="I9" s="142"/>
      <c r="J9" s="142"/>
      <c r="K9" s="142"/>
      <c r="L9" s="143"/>
      <c r="M9" s="142"/>
      <c r="N9" s="142"/>
      <c r="O9" s="143"/>
      <c r="P9" s="142"/>
      <c r="Q9" s="143"/>
      <c r="R9" s="1953"/>
      <c r="S9" s="1951"/>
      <c r="T9" s="1951"/>
      <c r="U9" s="1952"/>
      <c r="V9" s="525"/>
    </row>
    <row r="10" spans="1:23" ht="20.100000000000001" customHeight="1">
      <c r="A10" s="144"/>
      <c r="B10" s="145">
        <v>2</v>
      </c>
      <c r="C10" s="1957" t="s">
        <v>566</v>
      </c>
      <c r="D10" s="1958"/>
      <c r="E10" s="1959"/>
      <c r="F10" s="142"/>
      <c r="G10" s="142"/>
      <c r="H10" s="142"/>
      <c r="I10" s="142"/>
      <c r="J10" s="143"/>
      <c r="K10" s="142"/>
      <c r="L10" s="142"/>
      <c r="M10" s="142"/>
      <c r="N10" s="143"/>
      <c r="O10" s="142"/>
      <c r="P10" s="142"/>
      <c r="Q10" s="143"/>
      <c r="R10" s="1953"/>
      <c r="S10" s="1951"/>
      <c r="T10" s="1951"/>
      <c r="U10" s="1952"/>
      <c r="V10" s="527"/>
    </row>
    <row r="11" spans="1:23" ht="20.100000000000001" customHeight="1">
      <c r="A11" s="146"/>
      <c r="B11" s="145">
        <v>3</v>
      </c>
      <c r="C11" s="1957" t="s">
        <v>567</v>
      </c>
      <c r="D11" s="1958"/>
      <c r="E11" s="1959"/>
      <c r="F11" s="143"/>
      <c r="G11" s="143"/>
      <c r="H11" s="142"/>
      <c r="I11" s="143"/>
      <c r="J11" s="142"/>
      <c r="K11" s="143"/>
      <c r="L11" s="142"/>
      <c r="M11" s="143"/>
      <c r="N11" s="143"/>
      <c r="O11" s="143"/>
      <c r="P11" s="142"/>
      <c r="Q11" s="142"/>
      <c r="R11" s="1953"/>
      <c r="S11" s="1951"/>
      <c r="T11" s="1951"/>
      <c r="U11" s="1952"/>
      <c r="V11" s="528"/>
    </row>
    <row r="12" spans="1:23" ht="20.100000000000001" customHeight="1">
      <c r="A12" s="140"/>
      <c r="B12" s="136">
        <v>4</v>
      </c>
      <c r="C12" s="1957" t="s">
        <v>568</v>
      </c>
      <c r="D12" s="1958"/>
      <c r="E12" s="1959"/>
      <c r="F12" s="143"/>
      <c r="G12" s="142"/>
      <c r="H12" s="143"/>
      <c r="I12" s="142"/>
      <c r="J12" s="143"/>
      <c r="K12" s="142"/>
      <c r="L12" s="142"/>
      <c r="M12" s="142"/>
      <c r="N12" s="143"/>
      <c r="O12" s="143"/>
      <c r="P12" s="143"/>
      <c r="Q12" s="143"/>
      <c r="R12" s="1953"/>
      <c r="S12" s="1951"/>
      <c r="T12" s="1951"/>
      <c r="U12" s="1952"/>
      <c r="V12" s="529"/>
    </row>
    <row r="13" spans="1:23" ht="20.100000000000001" customHeight="1">
      <c r="A13" s="147"/>
      <c r="B13" s="136">
        <v>5</v>
      </c>
      <c r="C13" s="1957" t="s">
        <v>569</v>
      </c>
      <c r="D13" s="1958"/>
      <c r="E13" s="1959"/>
      <c r="F13" s="142"/>
      <c r="G13" s="143"/>
      <c r="H13" s="142"/>
      <c r="I13" s="143"/>
      <c r="J13" s="142"/>
      <c r="K13" s="142"/>
      <c r="L13" s="142"/>
      <c r="M13" s="143"/>
      <c r="N13" s="142"/>
      <c r="O13" s="142"/>
      <c r="P13" s="142"/>
      <c r="Q13" s="142"/>
      <c r="R13" s="1953"/>
      <c r="S13" s="1951"/>
      <c r="T13" s="1951"/>
      <c r="U13" s="1952"/>
      <c r="V13" s="530"/>
    </row>
    <row r="14" spans="1:23" ht="20.100000000000001" customHeight="1">
      <c r="A14" s="140"/>
      <c r="B14" s="145">
        <v>6</v>
      </c>
      <c r="C14" s="1957" t="s">
        <v>570</v>
      </c>
      <c r="D14" s="1958"/>
      <c r="E14" s="1959"/>
      <c r="F14" s="142"/>
      <c r="G14" s="142"/>
      <c r="H14" s="142"/>
      <c r="I14" s="142"/>
      <c r="J14" s="142"/>
      <c r="K14" s="142"/>
      <c r="L14" s="142"/>
      <c r="M14" s="143"/>
      <c r="N14" s="143"/>
      <c r="O14" s="142"/>
      <c r="P14" s="143"/>
      <c r="Q14" s="142"/>
      <c r="R14" s="1953"/>
      <c r="S14" s="1951"/>
      <c r="T14" s="1951"/>
      <c r="U14" s="1952"/>
      <c r="V14" s="529"/>
    </row>
    <row r="15" spans="1:23" s="149" customFormat="1" ht="20.100000000000001" customHeight="1">
      <c r="A15" s="148"/>
      <c r="B15" s="136">
        <v>7</v>
      </c>
      <c r="C15" s="1957" t="s">
        <v>571</v>
      </c>
      <c r="D15" s="1958"/>
      <c r="E15" s="1959"/>
      <c r="F15" s="142"/>
      <c r="G15" s="143"/>
      <c r="H15" s="142"/>
      <c r="I15" s="142"/>
      <c r="J15" s="142"/>
      <c r="K15" s="142"/>
      <c r="L15" s="142"/>
      <c r="M15" s="143"/>
      <c r="N15" s="142"/>
      <c r="O15" s="142"/>
      <c r="P15" s="142"/>
      <c r="Q15" s="142"/>
      <c r="R15" s="1953"/>
      <c r="S15" s="1951"/>
      <c r="T15" s="1951"/>
      <c r="U15" s="1952"/>
      <c r="V15" s="531"/>
      <c r="W15" s="532"/>
    </row>
    <row r="16" spans="1:23" s="149" customFormat="1" ht="20.100000000000001" customHeight="1">
      <c r="A16" s="148"/>
      <c r="B16" s="145">
        <v>8</v>
      </c>
      <c r="C16" s="1957" t="s">
        <v>572</v>
      </c>
      <c r="D16" s="1958"/>
      <c r="E16" s="1959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953"/>
      <c r="S16" s="1951"/>
      <c r="T16" s="1951"/>
      <c r="U16" s="1952"/>
      <c r="V16" s="531"/>
      <c r="W16" s="532"/>
    </row>
    <row r="17" spans="1:23" s="149" customFormat="1" ht="20.100000000000001" customHeight="1">
      <c r="A17" s="148"/>
      <c r="B17" s="136">
        <v>9</v>
      </c>
      <c r="C17" s="1957" t="s">
        <v>573</v>
      </c>
      <c r="D17" s="1958"/>
      <c r="E17" s="1959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953"/>
      <c r="S17" s="1951"/>
      <c r="T17" s="1951"/>
      <c r="U17" s="1952"/>
      <c r="V17" s="531"/>
      <c r="W17" s="532"/>
    </row>
    <row r="18" spans="1:23" s="149" customFormat="1" ht="20.100000000000001" customHeight="1">
      <c r="A18" s="148"/>
      <c r="B18" s="145">
        <v>10</v>
      </c>
      <c r="C18" s="1957" t="s">
        <v>574</v>
      </c>
      <c r="D18" s="1958"/>
      <c r="E18" s="1959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953"/>
      <c r="S18" s="1951"/>
      <c r="T18" s="1951"/>
      <c r="U18" s="1952"/>
      <c r="V18" s="531"/>
      <c r="W18" s="532"/>
    </row>
    <row r="19" spans="1:23" s="149" customFormat="1" ht="20.100000000000001" customHeight="1">
      <c r="A19" s="150"/>
      <c r="B19" s="145">
        <v>11</v>
      </c>
      <c r="C19" s="1957" t="s">
        <v>575</v>
      </c>
      <c r="D19" s="1958"/>
      <c r="E19" s="1959"/>
      <c r="F19" s="151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953"/>
      <c r="S19" s="1951"/>
      <c r="T19" s="1951"/>
      <c r="U19" s="1952"/>
      <c r="V19" s="533"/>
      <c r="W19" s="532"/>
    </row>
    <row r="20" spans="1:23" s="149" customFormat="1" ht="20.100000000000001" customHeight="1">
      <c r="A20" s="150"/>
      <c r="B20" s="145"/>
      <c r="C20" s="1950"/>
      <c r="D20" s="1951"/>
      <c r="E20" s="1952"/>
      <c r="F20" s="152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953"/>
      <c r="S20" s="1951"/>
      <c r="T20" s="1951"/>
      <c r="U20" s="1952"/>
      <c r="V20" s="533"/>
      <c r="W20" s="532"/>
    </row>
    <row r="21" spans="1:23" s="149" customFormat="1" ht="20.100000000000001" customHeight="1">
      <c r="A21" s="150"/>
      <c r="B21" s="145"/>
      <c r="C21" s="1950"/>
      <c r="D21" s="1951"/>
      <c r="E21" s="1952"/>
      <c r="F21" s="152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953"/>
      <c r="S21" s="1951"/>
      <c r="T21" s="1951"/>
      <c r="U21" s="1952"/>
      <c r="V21" s="533"/>
      <c r="W21" s="532"/>
    </row>
    <row r="22" spans="1:23" s="149" customFormat="1" ht="20.100000000000001" customHeight="1">
      <c r="A22" s="150"/>
      <c r="B22" s="145"/>
      <c r="C22" s="1950"/>
      <c r="D22" s="1951"/>
      <c r="E22" s="1952"/>
      <c r="F22" s="152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953"/>
      <c r="S22" s="1951"/>
      <c r="T22" s="1951"/>
      <c r="U22" s="1952"/>
      <c r="V22" s="533"/>
      <c r="W22" s="532"/>
    </row>
    <row r="23" spans="1:23" s="149" customFormat="1" ht="20.100000000000001" customHeight="1">
      <c r="A23" s="150"/>
      <c r="B23" s="145"/>
      <c r="C23" s="1950"/>
      <c r="D23" s="1951"/>
      <c r="E23" s="1952"/>
      <c r="F23" s="152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953"/>
      <c r="S23" s="1951"/>
      <c r="T23" s="1951"/>
      <c r="U23" s="1952"/>
      <c r="V23" s="533"/>
      <c r="W23" s="532"/>
    </row>
    <row r="24" spans="1:23" s="149" customFormat="1" ht="20.100000000000001" customHeight="1">
      <c r="A24" s="150"/>
      <c r="B24" s="145"/>
      <c r="C24" s="1950"/>
      <c r="D24" s="1951"/>
      <c r="E24" s="1952"/>
      <c r="F24" s="152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953"/>
      <c r="S24" s="1951"/>
      <c r="T24" s="1951"/>
      <c r="U24" s="1952"/>
      <c r="V24" s="533"/>
      <c r="W24" s="532"/>
    </row>
    <row r="25" spans="1:23" s="149" customFormat="1" ht="20.100000000000001" customHeight="1">
      <c r="A25" s="150"/>
      <c r="B25" s="145"/>
      <c r="C25" s="1950"/>
      <c r="D25" s="1951"/>
      <c r="E25" s="1952"/>
      <c r="F25" s="152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953"/>
      <c r="S25" s="1951"/>
      <c r="T25" s="1951"/>
      <c r="U25" s="1952"/>
      <c r="V25" s="533"/>
      <c r="W25" s="532"/>
    </row>
    <row r="26" spans="1:23" s="149" customFormat="1" ht="19.5" customHeight="1">
      <c r="A26" s="150"/>
      <c r="B26" s="145"/>
      <c r="C26" s="1954"/>
      <c r="D26" s="1955"/>
      <c r="E26" s="1956"/>
      <c r="F26" s="152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953"/>
      <c r="S26" s="1951"/>
      <c r="T26" s="1951"/>
      <c r="U26" s="1952"/>
      <c r="V26" s="533"/>
      <c r="W26" s="532"/>
    </row>
    <row r="27" spans="1:23" s="149" customFormat="1" ht="20.100000000000001" customHeight="1">
      <c r="A27" s="150"/>
      <c r="B27" s="145"/>
      <c r="C27" s="1950"/>
      <c r="D27" s="1951"/>
      <c r="E27" s="1952"/>
      <c r="F27" s="152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953"/>
      <c r="S27" s="1951"/>
      <c r="T27" s="1951"/>
      <c r="U27" s="1952"/>
      <c r="V27" s="533"/>
      <c r="W27" s="532"/>
    </row>
    <row r="28" spans="1:23" s="149" customFormat="1" ht="20.100000000000001" customHeight="1">
      <c r="A28" s="150"/>
      <c r="B28" s="145"/>
      <c r="C28" s="1950"/>
      <c r="D28" s="1951"/>
      <c r="E28" s="1952"/>
      <c r="F28" s="152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953"/>
      <c r="S28" s="1951"/>
      <c r="T28" s="1951"/>
      <c r="U28" s="1952"/>
      <c r="V28" s="533"/>
      <c r="W28" s="532"/>
    </row>
    <row r="29" spans="1:23" s="149" customFormat="1" ht="20.100000000000001" customHeight="1">
      <c r="A29" s="150"/>
      <c r="B29" s="145"/>
      <c r="C29" s="1950"/>
      <c r="D29" s="1951"/>
      <c r="E29" s="1952"/>
      <c r="F29" s="152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953"/>
      <c r="S29" s="1951"/>
      <c r="T29" s="1951"/>
      <c r="U29" s="1952"/>
      <c r="V29" s="533"/>
      <c r="W29" s="532"/>
    </row>
    <row r="30" spans="1:23" s="149" customFormat="1" ht="20.100000000000001" customHeight="1">
      <c r="A30" s="150"/>
      <c r="B30" s="152"/>
      <c r="C30" s="1950"/>
      <c r="D30" s="1951"/>
      <c r="E30" s="1952"/>
      <c r="F30" s="152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953"/>
      <c r="S30" s="1951"/>
      <c r="T30" s="1951"/>
      <c r="U30" s="1952"/>
      <c r="V30" s="533"/>
      <c r="W30" s="532"/>
    </row>
    <row r="31" spans="1:23" s="153" customFormat="1" ht="20.100000000000001" customHeight="1">
      <c r="A31" s="150"/>
      <c r="B31" s="152"/>
      <c r="C31" s="1950"/>
      <c r="D31" s="1951"/>
      <c r="E31" s="1952"/>
      <c r="F31" s="152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953"/>
      <c r="S31" s="1951"/>
      <c r="T31" s="1951"/>
      <c r="U31" s="1952"/>
      <c r="V31" s="533"/>
      <c r="W31" s="534"/>
    </row>
    <row r="32" spans="1:23" s="153" customFormat="1" ht="20.100000000000001" customHeight="1">
      <c r="A32" s="1938" t="s">
        <v>576</v>
      </c>
      <c r="B32" s="1939"/>
      <c r="C32" s="1939"/>
      <c r="D32" s="1939"/>
      <c r="E32" s="1939"/>
      <c r="F32" s="1939"/>
      <c r="G32" s="1939"/>
      <c r="H32" s="1939"/>
      <c r="I32" s="1939"/>
      <c r="J32" s="1939"/>
      <c r="K32" s="1941"/>
      <c r="L32" s="1941"/>
      <c r="M32" s="1941"/>
      <c r="N32" s="1941"/>
      <c r="O32" s="1941"/>
      <c r="P32" s="1941"/>
      <c r="Q32" s="1941"/>
      <c r="R32" s="1941"/>
      <c r="S32" s="1941"/>
      <c r="T32" s="1941"/>
      <c r="U32" s="1941"/>
      <c r="V32" s="1942"/>
      <c r="W32" s="534"/>
    </row>
    <row r="33" spans="1:23" ht="20.100000000000001" customHeight="1">
      <c r="A33" s="1940"/>
      <c r="B33" s="1939"/>
      <c r="C33" s="1939"/>
      <c r="D33" s="1939"/>
      <c r="E33" s="1939"/>
      <c r="F33" s="1939"/>
      <c r="G33" s="1939"/>
      <c r="H33" s="1939"/>
      <c r="I33" s="1939"/>
      <c r="J33" s="1939"/>
      <c r="K33" s="1941"/>
      <c r="L33" s="1941"/>
      <c r="M33" s="1941"/>
      <c r="N33" s="1941"/>
      <c r="O33" s="1941"/>
      <c r="P33" s="1941"/>
      <c r="Q33" s="1941"/>
      <c r="R33" s="1941"/>
      <c r="S33" s="1941"/>
      <c r="T33" s="1941"/>
      <c r="U33" s="1941"/>
      <c r="V33" s="1942"/>
    </row>
    <row r="34" spans="1:23" s="154" customFormat="1" ht="20.100000000000001" customHeight="1">
      <c r="A34" s="1940"/>
      <c r="B34" s="1939"/>
      <c r="C34" s="1939"/>
      <c r="D34" s="1939"/>
      <c r="E34" s="1939"/>
      <c r="F34" s="1939"/>
      <c r="G34" s="1939"/>
      <c r="H34" s="1939"/>
      <c r="I34" s="1939"/>
      <c r="J34" s="1939"/>
      <c r="K34" s="1941"/>
      <c r="L34" s="1941"/>
      <c r="M34" s="1941"/>
      <c r="N34" s="1941"/>
      <c r="O34" s="1941"/>
      <c r="P34" s="1941"/>
      <c r="Q34" s="1941"/>
      <c r="R34" s="1941"/>
      <c r="S34" s="1941"/>
      <c r="T34" s="1941"/>
      <c r="U34" s="1941"/>
      <c r="V34" s="1942"/>
      <c r="W34" s="535"/>
    </row>
    <row r="35" spans="1:23" s="154" customFormat="1" ht="20.100000000000001" customHeight="1">
      <c r="A35" s="1940"/>
      <c r="B35" s="1939"/>
      <c r="C35" s="1939"/>
      <c r="D35" s="1939"/>
      <c r="E35" s="1939"/>
      <c r="F35" s="1939"/>
      <c r="G35" s="1939"/>
      <c r="H35" s="1939"/>
      <c r="I35" s="1939"/>
      <c r="J35" s="1939"/>
      <c r="K35" s="1941"/>
      <c r="L35" s="1941"/>
      <c r="M35" s="1941"/>
      <c r="N35" s="1941"/>
      <c r="O35" s="1941"/>
      <c r="P35" s="1941"/>
      <c r="Q35" s="1941"/>
      <c r="R35" s="1941"/>
      <c r="S35" s="1941"/>
      <c r="T35" s="1941"/>
      <c r="U35" s="1941"/>
      <c r="V35" s="1942"/>
      <c r="W35" s="535"/>
    </row>
    <row r="36" spans="1:23" s="154" customFormat="1" ht="7.5" customHeight="1">
      <c r="A36" s="1940"/>
      <c r="B36" s="1939"/>
      <c r="C36" s="1939"/>
      <c r="D36" s="1939"/>
      <c r="E36" s="1939"/>
      <c r="F36" s="1939"/>
      <c r="G36" s="1939"/>
      <c r="H36" s="1939"/>
      <c r="I36" s="1939"/>
      <c r="J36" s="1939"/>
      <c r="K36" s="1941"/>
      <c r="L36" s="1941"/>
      <c r="M36" s="1941"/>
      <c r="N36" s="1941"/>
      <c r="O36" s="1941"/>
      <c r="P36" s="1941"/>
      <c r="Q36" s="1941"/>
      <c r="R36" s="1941"/>
      <c r="S36" s="1941"/>
      <c r="T36" s="1941"/>
      <c r="U36" s="1941"/>
      <c r="V36" s="1942"/>
      <c r="W36" s="535"/>
    </row>
    <row r="37" spans="1:23" s="154" customFormat="1" ht="41.25" customHeight="1" thickBot="1">
      <c r="A37" s="1943" t="s">
        <v>577</v>
      </c>
      <c r="B37" s="1944"/>
      <c r="C37" s="1944"/>
      <c r="D37" s="1945" t="s">
        <v>524</v>
      </c>
      <c r="E37" s="1945"/>
      <c r="F37" s="1945"/>
      <c r="G37" s="1945"/>
      <c r="H37" s="1946" t="s">
        <v>578</v>
      </c>
      <c r="I37" s="1946"/>
      <c r="J37" s="1946"/>
      <c r="K37" s="155" t="s">
        <v>579</v>
      </c>
      <c r="L37" s="155"/>
      <c r="M37" s="156"/>
      <c r="N37" s="740"/>
      <c r="O37" s="741"/>
      <c r="P37" s="741"/>
      <c r="Q37" s="741"/>
      <c r="R37" s="1947"/>
      <c r="S37" s="1948" t="s">
        <v>578</v>
      </c>
      <c r="T37" s="1949"/>
      <c r="U37" s="1949"/>
      <c r="V37" s="157"/>
      <c r="W37" s="535"/>
    </row>
    <row r="38" spans="1:23" ht="20.100000000000001" hidden="1" customHeight="1">
      <c r="A38" s="154"/>
      <c r="B38" s="154"/>
      <c r="C38" s="154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49"/>
    </row>
    <row r="39" spans="1:23" ht="20.100000000000001" hidden="1" customHeight="1">
      <c r="A39" s="1937"/>
      <c r="B39" s="1937"/>
      <c r="C39" s="1937"/>
      <c r="D39" s="1937"/>
      <c r="E39" s="1937"/>
      <c r="F39" s="1937"/>
      <c r="G39" s="1937"/>
      <c r="H39" s="1937"/>
      <c r="I39" s="154"/>
      <c r="J39" s="154"/>
      <c r="K39" s="154"/>
      <c r="L39" s="154"/>
      <c r="M39" s="159"/>
      <c r="N39" s="159"/>
      <c r="O39" s="159"/>
      <c r="P39" s="159"/>
      <c r="Q39" s="159"/>
      <c r="R39" s="159"/>
      <c r="S39" s="159"/>
      <c r="T39" s="154"/>
      <c r="U39" s="154"/>
      <c r="V39" s="154"/>
    </row>
    <row r="40" spans="1:23" ht="20.100000000000001" hidden="1" customHeight="1">
      <c r="A40" s="1936"/>
      <c r="B40" s="1936"/>
      <c r="C40" s="1936"/>
      <c r="D40" s="1936"/>
      <c r="E40" s="1936"/>
      <c r="F40" s="1936"/>
      <c r="G40" s="1936"/>
      <c r="H40" s="1936"/>
      <c r="I40" s="149"/>
      <c r="J40" s="149"/>
      <c r="K40" s="149"/>
      <c r="L40" s="149"/>
      <c r="M40" s="1936"/>
      <c r="N40" s="1936"/>
      <c r="O40" s="1936"/>
      <c r="P40" s="1936"/>
      <c r="Q40" s="1936"/>
      <c r="R40" s="149"/>
      <c r="S40" s="149"/>
      <c r="T40" s="1936"/>
      <c r="U40" s="1936"/>
      <c r="V40" s="1936"/>
    </row>
    <row r="41" spans="1:23" ht="20.100000000000001" hidden="1" customHeight="1">
      <c r="A41" s="1936"/>
      <c r="B41" s="1936"/>
      <c r="C41" s="1936"/>
      <c r="D41" s="1936"/>
      <c r="E41" s="1936"/>
      <c r="F41" s="1936"/>
      <c r="G41" s="1936"/>
      <c r="H41" s="1936"/>
      <c r="I41" s="149"/>
      <c r="J41" s="149"/>
      <c r="K41" s="149"/>
      <c r="L41" s="149"/>
      <c r="M41" s="1936"/>
      <c r="N41" s="1936"/>
      <c r="O41" s="1936"/>
      <c r="P41" s="1936"/>
      <c r="Q41" s="1936"/>
      <c r="R41" s="149"/>
      <c r="S41" s="149"/>
      <c r="T41" s="1936"/>
      <c r="U41" s="1936"/>
      <c r="V41" s="1936"/>
    </row>
    <row r="42" spans="1:23" ht="20.100000000000001" hidden="1" customHeight="1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</row>
    <row r="43" spans="1:23" ht="20.100000000000001" hidden="1" customHeight="1">
      <c r="A43" s="1936"/>
      <c r="B43" s="1936"/>
      <c r="C43" s="1936"/>
      <c r="D43" s="1936"/>
      <c r="E43" s="1936"/>
      <c r="F43" s="1936"/>
      <c r="G43" s="1936"/>
      <c r="H43" s="1936"/>
      <c r="I43" s="149"/>
      <c r="J43" s="149"/>
      <c r="K43" s="149"/>
      <c r="L43" s="149"/>
      <c r="M43" s="1936"/>
      <c r="N43" s="1936"/>
      <c r="O43" s="1936"/>
      <c r="P43" s="1936"/>
      <c r="Q43" s="1936"/>
      <c r="R43" s="149"/>
      <c r="S43" s="149"/>
      <c r="T43" s="1936"/>
      <c r="U43" s="1936"/>
      <c r="V43" s="1936"/>
    </row>
  </sheetData>
  <mergeCells count="91">
    <mergeCell ref="A1:G1"/>
    <mergeCell ref="H1:V1"/>
    <mergeCell ref="A2:G2"/>
    <mergeCell ref="H2:J2"/>
    <mergeCell ref="K2:R3"/>
    <mergeCell ref="S2:V2"/>
    <mergeCell ref="A3:G3"/>
    <mergeCell ref="H3:J3"/>
    <mergeCell ref="S3:V3"/>
    <mergeCell ref="C9:E9"/>
    <mergeCell ref="R9:U9"/>
    <mergeCell ref="S4:V4"/>
    <mergeCell ref="A5:C5"/>
    <mergeCell ref="E5:G5"/>
    <mergeCell ref="H5:J5"/>
    <mergeCell ref="K5:L5"/>
    <mergeCell ref="M5:O5"/>
    <mergeCell ref="P5:R5"/>
    <mergeCell ref="S5:V5"/>
    <mergeCell ref="A4:C4"/>
    <mergeCell ref="E4:G4"/>
    <mergeCell ref="H4:J4"/>
    <mergeCell ref="K4:L4"/>
    <mergeCell ref="M4:O4"/>
    <mergeCell ref="P4:R4"/>
    <mergeCell ref="A6:V6"/>
    <mergeCell ref="C7:E7"/>
    <mergeCell ref="R7:U7"/>
    <mergeCell ref="C8:E8"/>
    <mergeCell ref="R8:U8"/>
    <mergeCell ref="C10:E10"/>
    <mergeCell ref="R10:U10"/>
    <mergeCell ref="C11:E11"/>
    <mergeCell ref="R11:U11"/>
    <mergeCell ref="C12:E12"/>
    <mergeCell ref="R12:U12"/>
    <mergeCell ref="C13:E13"/>
    <mergeCell ref="R13:U13"/>
    <mergeCell ref="C14:E14"/>
    <mergeCell ref="R14:U14"/>
    <mergeCell ref="C15:E15"/>
    <mergeCell ref="R15:U15"/>
    <mergeCell ref="C16:E16"/>
    <mergeCell ref="R16:U16"/>
    <mergeCell ref="C17:E17"/>
    <mergeCell ref="R17:U17"/>
    <mergeCell ref="C18:E18"/>
    <mergeCell ref="R18:U18"/>
    <mergeCell ref="C19:E19"/>
    <mergeCell ref="R19:U19"/>
    <mergeCell ref="C20:E20"/>
    <mergeCell ref="R20:U20"/>
    <mergeCell ref="C21:E21"/>
    <mergeCell ref="R21:U21"/>
    <mergeCell ref="C22:E22"/>
    <mergeCell ref="R22:U22"/>
    <mergeCell ref="C23:E23"/>
    <mergeCell ref="R23:U23"/>
    <mergeCell ref="C24:E24"/>
    <mergeCell ref="R24:U24"/>
    <mergeCell ref="C25:E25"/>
    <mergeCell ref="R25:U25"/>
    <mergeCell ref="C26:E26"/>
    <mergeCell ref="R26:U26"/>
    <mergeCell ref="C27:E27"/>
    <mergeCell ref="R27:U27"/>
    <mergeCell ref="C31:E31"/>
    <mergeCell ref="R31:U31"/>
    <mergeCell ref="C28:E28"/>
    <mergeCell ref="R28:U28"/>
    <mergeCell ref="C29:E29"/>
    <mergeCell ref="R29:U29"/>
    <mergeCell ref="C30:E30"/>
    <mergeCell ref="R30:U30"/>
    <mergeCell ref="A32:J36"/>
    <mergeCell ref="K32:V36"/>
    <mergeCell ref="A37:C37"/>
    <mergeCell ref="D37:G37"/>
    <mergeCell ref="H37:J37"/>
    <mergeCell ref="N37:R37"/>
    <mergeCell ref="S37:U37"/>
    <mergeCell ref="A43:H43"/>
    <mergeCell ref="M43:Q43"/>
    <mergeCell ref="T43:V43"/>
    <mergeCell ref="A39:H39"/>
    <mergeCell ref="A40:H40"/>
    <mergeCell ref="M40:Q40"/>
    <mergeCell ref="T40:V40"/>
    <mergeCell ref="A41:H41"/>
    <mergeCell ref="M41:Q41"/>
    <mergeCell ref="T41:V41"/>
  </mergeCells>
  <conditionalFormatting sqref="D4:E4 R7 F15:F18">
    <cfRule type="cellIs" dxfId="1" priority="1" stopIfTrue="1" operator="equal">
      <formula>#N/A</formula>
    </cfRule>
  </conditionalFormatting>
  <pageMargins left="0.70866141732283472" right="0.27559055118110237" top="0.43307086614173229" bottom="0.39370078740157483" header="0.39370078740157483" footer="0.23622047244094491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8">
    <tabColor theme="0"/>
  </sheetPr>
  <dimension ref="A1:WWF1766"/>
  <sheetViews>
    <sheetView showGridLines="0" topLeftCell="A26" zoomScaleNormal="100" workbookViewId="0">
      <selection activeCell="A36" sqref="A36:XFD36"/>
    </sheetView>
  </sheetViews>
  <sheetFormatPr defaultColWidth="0" defaultRowHeight="12.3" zeroHeight="1"/>
  <cols>
    <col min="1" max="1" width="4.38671875" style="55" customWidth="1"/>
    <col min="2" max="2" width="8.88671875" style="55" customWidth="1"/>
    <col min="3" max="3" width="6.38671875" style="55" customWidth="1"/>
    <col min="4" max="4" width="7.88671875" style="55" customWidth="1"/>
    <col min="5" max="5" width="7.38671875" style="55" customWidth="1"/>
    <col min="6" max="6" width="0.38671875" style="55" hidden="1" customWidth="1"/>
    <col min="7" max="7" width="2.38671875" style="55" customWidth="1"/>
    <col min="8" max="8" width="3.109375" style="55" hidden="1" customWidth="1"/>
    <col min="9" max="9" width="2.38671875" style="55" customWidth="1"/>
    <col min="10" max="10" width="3.38671875" style="55" customWidth="1"/>
    <col min="11" max="11" width="4.27734375" style="55" customWidth="1"/>
    <col min="12" max="12" width="3.71875" style="55" customWidth="1"/>
    <col min="13" max="13" width="3.38671875" style="55" customWidth="1"/>
    <col min="14" max="14" width="5.21875" style="55" customWidth="1"/>
    <col min="15" max="15" width="4.38671875" style="55" customWidth="1"/>
    <col min="16" max="16" width="3.6640625" style="55" customWidth="1"/>
    <col min="17" max="17" width="2.71875" style="55" customWidth="1"/>
    <col min="18" max="18" width="5.71875" style="55" customWidth="1"/>
    <col min="19" max="19" width="2.38671875" style="55" customWidth="1"/>
    <col min="20" max="20" width="2.88671875" style="55" customWidth="1"/>
    <col min="21" max="21" width="3.5546875" style="55" customWidth="1"/>
    <col min="22" max="23" width="2.109375" style="55" customWidth="1"/>
    <col min="24" max="24" width="4" style="483" customWidth="1"/>
    <col min="25" max="25" width="9" style="55" customWidth="1"/>
    <col min="26" max="256" width="9" style="55" hidden="1"/>
    <col min="257" max="257" width="4.38671875" style="55" hidden="1"/>
    <col min="258" max="258" width="8.88671875" style="55" hidden="1"/>
    <col min="259" max="259" width="6.38671875" style="55" hidden="1"/>
    <col min="260" max="260" width="8.109375" style="55" hidden="1"/>
    <col min="261" max="261" width="7.71875" style="55" hidden="1"/>
    <col min="262" max="262" width="9" style="55" hidden="1"/>
    <col min="263" max="263" width="2.38671875" style="55" hidden="1"/>
    <col min="264" max="264" width="9" style="55" hidden="1"/>
    <col min="265" max="266" width="3.109375" style="55" hidden="1"/>
    <col min="267" max="267" width="4.27734375" style="55" hidden="1"/>
    <col min="268" max="268" width="3.71875" style="55" hidden="1"/>
    <col min="269" max="269" width="3.38671875" style="55" hidden="1"/>
    <col min="270" max="271" width="4.38671875" style="55" hidden="1"/>
    <col min="272" max="272" width="3.71875" style="55" hidden="1"/>
    <col min="273" max="273" width="3.109375" style="55" hidden="1"/>
    <col min="274" max="274" width="5" style="55" hidden="1"/>
    <col min="275" max="275" width="2.38671875" style="55" hidden="1"/>
    <col min="276" max="277" width="3" style="55" hidden="1"/>
    <col min="278" max="279" width="2.109375" style="55" hidden="1"/>
    <col min="280" max="280" width="3.38671875" style="55" hidden="1"/>
    <col min="281" max="512" width="9" style="55" hidden="1"/>
    <col min="513" max="513" width="4.38671875" style="55" hidden="1"/>
    <col min="514" max="514" width="8.88671875" style="55" hidden="1"/>
    <col min="515" max="515" width="6.38671875" style="55" hidden="1"/>
    <col min="516" max="516" width="8.109375" style="55" hidden="1"/>
    <col min="517" max="517" width="7.71875" style="55" hidden="1"/>
    <col min="518" max="518" width="9" style="55" hidden="1"/>
    <col min="519" max="519" width="2.38671875" style="55" hidden="1"/>
    <col min="520" max="520" width="9" style="55" hidden="1"/>
    <col min="521" max="522" width="3.109375" style="55" hidden="1"/>
    <col min="523" max="523" width="4.27734375" style="55" hidden="1"/>
    <col min="524" max="524" width="3.71875" style="55" hidden="1"/>
    <col min="525" max="525" width="3.38671875" style="55" hidden="1"/>
    <col min="526" max="527" width="4.38671875" style="55" hidden="1"/>
    <col min="528" max="528" width="3.71875" style="55" hidden="1"/>
    <col min="529" max="529" width="3.109375" style="55" hidden="1"/>
    <col min="530" max="530" width="5" style="55" hidden="1"/>
    <col min="531" max="531" width="2.38671875" style="55" hidden="1"/>
    <col min="532" max="533" width="3" style="55" hidden="1"/>
    <col min="534" max="535" width="2.109375" style="55" hidden="1"/>
    <col min="536" max="536" width="3.38671875" style="55" hidden="1"/>
    <col min="537" max="768" width="9" style="55" hidden="1"/>
    <col min="769" max="769" width="4.38671875" style="55" hidden="1"/>
    <col min="770" max="770" width="8.88671875" style="55" hidden="1"/>
    <col min="771" max="771" width="6.38671875" style="55" hidden="1"/>
    <col min="772" max="772" width="8.109375" style="55" hidden="1"/>
    <col min="773" max="773" width="7.71875" style="55" hidden="1"/>
    <col min="774" max="774" width="9" style="55" hidden="1"/>
    <col min="775" max="775" width="2.38671875" style="55" hidden="1"/>
    <col min="776" max="776" width="9" style="55" hidden="1"/>
    <col min="777" max="778" width="3.109375" style="55" hidden="1"/>
    <col min="779" max="779" width="4.27734375" style="55" hidden="1"/>
    <col min="780" max="780" width="3.71875" style="55" hidden="1"/>
    <col min="781" max="781" width="3.38671875" style="55" hidden="1"/>
    <col min="782" max="783" width="4.38671875" style="55" hidden="1"/>
    <col min="784" max="784" width="3.71875" style="55" hidden="1"/>
    <col min="785" max="785" width="3.109375" style="55" hidden="1"/>
    <col min="786" max="786" width="5" style="55" hidden="1"/>
    <col min="787" max="787" width="2.38671875" style="55" hidden="1"/>
    <col min="788" max="789" width="3" style="55" hidden="1"/>
    <col min="790" max="791" width="2.109375" style="55" hidden="1"/>
    <col min="792" max="792" width="3.38671875" style="55" hidden="1"/>
    <col min="793" max="1024" width="9" style="55" hidden="1"/>
    <col min="1025" max="1025" width="4.38671875" style="55" hidden="1"/>
    <col min="1026" max="1026" width="8.88671875" style="55" hidden="1"/>
    <col min="1027" max="1027" width="6.38671875" style="55" hidden="1"/>
    <col min="1028" max="1028" width="8.109375" style="55" hidden="1"/>
    <col min="1029" max="1029" width="7.71875" style="55" hidden="1"/>
    <col min="1030" max="1030" width="9" style="55" hidden="1"/>
    <col min="1031" max="1031" width="2.38671875" style="55" hidden="1"/>
    <col min="1032" max="1032" width="9" style="55" hidden="1"/>
    <col min="1033" max="1034" width="3.109375" style="55" hidden="1"/>
    <col min="1035" max="1035" width="4.27734375" style="55" hidden="1"/>
    <col min="1036" max="1036" width="3.71875" style="55" hidden="1"/>
    <col min="1037" max="1037" width="3.38671875" style="55" hidden="1"/>
    <col min="1038" max="1039" width="4.38671875" style="55" hidden="1"/>
    <col min="1040" max="1040" width="3.71875" style="55" hidden="1"/>
    <col min="1041" max="1041" width="3.109375" style="55" hidden="1"/>
    <col min="1042" max="1042" width="5" style="55" hidden="1"/>
    <col min="1043" max="1043" width="2.38671875" style="55" hidden="1"/>
    <col min="1044" max="1045" width="3" style="55" hidden="1"/>
    <col min="1046" max="1047" width="2.109375" style="55" hidden="1"/>
    <col min="1048" max="1048" width="3.38671875" style="55" hidden="1"/>
    <col min="1049" max="1280" width="9" style="55" hidden="1"/>
    <col min="1281" max="1281" width="4.38671875" style="55" hidden="1"/>
    <col min="1282" max="1282" width="8.88671875" style="55" hidden="1"/>
    <col min="1283" max="1283" width="6.38671875" style="55" hidden="1"/>
    <col min="1284" max="1284" width="8.109375" style="55" hidden="1"/>
    <col min="1285" max="1285" width="7.71875" style="55" hidden="1"/>
    <col min="1286" max="1286" width="9" style="55" hidden="1"/>
    <col min="1287" max="1287" width="2.38671875" style="55" hidden="1"/>
    <col min="1288" max="1288" width="9" style="55" hidden="1"/>
    <col min="1289" max="1290" width="3.109375" style="55" hidden="1"/>
    <col min="1291" max="1291" width="4.27734375" style="55" hidden="1"/>
    <col min="1292" max="1292" width="3.71875" style="55" hidden="1"/>
    <col min="1293" max="1293" width="3.38671875" style="55" hidden="1"/>
    <col min="1294" max="1295" width="4.38671875" style="55" hidden="1"/>
    <col min="1296" max="1296" width="3.71875" style="55" hidden="1"/>
    <col min="1297" max="1297" width="3.109375" style="55" hidden="1"/>
    <col min="1298" max="1298" width="5" style="55" hidden="1"/>
    <col min="1299" max="1299" width="2.38671875" style="55" hidden="1"/>
    <col min="1300" max="1301" width="3" style="55" hidden="1"/>
    <col min="1302" max="1303" width="2.109375" style="55" hidden="1"/>
    <col min="1304" max="1304" width="3.38671875" style="55" hidden="1"/>
    <col min="1305" max="1536" width="9" style="55" hidden="1"/>
    <col min="1537" max="1537" width="4.38671875" style="55" hidden="1"/>
    <col min="1538" max="1538" width="8.88671875" style="55" hidden="1"/>
    <col min="1539" max="1539" width="6.38671875" style="55" hidden="1"/>
    <col min="1540" max="1540" width="8.109375" style="55" hidden="1"/>
    <col min="1541" max="1541" width="7.71875" style="55" hidden="1"/>
    <col min="1542" max="1542" width="9" style="55" hidden="1"/>
    <col min="1543" max="1543" width="2.38671875" style="55" hidden="1"/>
    <col min="1544" max="1544" width="9" style="55" hidden="1"/>
    <col min="1545" max="1546" width="3.109375" style="55" hidden="1"/>
    <col min="1547" max="1547" width="4.27734375" style="55" hidden="1"/>
    <col min="1548" max="1548" width="3.71875" style="55" hidden="1"/>
    <col min="1549" max="1549" width="3.38671875" style="55" hidden="1"/>
    <col min="1550" max="1551" width="4.38671875" style="55" hidden="1"/>
    <col min="1552" max="1552" width="3.71875" style="55" hidden="1"/>
    <col min="1553" max="1553" width="3.109375" style="55" hidden="1"/>
    <col min="1554" max="1554" width="5" style="55" hidden="1"/>
    <col min="1555" max="1555" width="2.38671875" style="55" hidden="1"/>
    <col min="1556" max="1557" width="3" style="55" hidden="1"/>
    <col min="1558" max="1559" width="2.109375" style="55" hidden="1"/>
    <col min="1560" max="1560" width="3.38671875" style="55" hidden="1"/>
    <col min="1561" max="1792" width="9" style="55" hidden="1"/>
    <col min="1793" max="1793" width="4.38671875" style="55" hidden="1"/>
    <col min="1794" max="1794" width="8.88671875" style="55" hidden="1"/>
    <col min="1795" max="1795" width="6.38671875" style="55" hidden="1"/>
    <col min="1796" max="1796" width="8.109375" style="55" hidden="1"/>
    <col min="1797" max="1797" width="7.71875" style="55" hidden="1"/>
    <col min="1798" max="1798" width="9" style="55" hidden="1"/>
    <col min="1799" max="1799" width="2.38671875" style="55" hidden="1"/>
    <col min="1800" max="1800" width="9" style="55" hidden="1"/>
    <col min="1801" max="1802" width="3.109375" style="55" hidden="1"/>
    <col min="1803" max="1803" width="4.27734375" style="55" hidden="1"/>
    <col min="1804" max="1804" width="3.71875" style="55" hidden="1"/>
    <col min="1805" max="1805" width="3.38671875" style="55" hidden="1"/>
    <col min="1806" max="1807" width="4.38671875" style="55" hidden="1"/>
    <col min="1808" max="1808" width="3.71875" style="55" hidden="1"/>
    <col min="1809" max="1809" width="3.109375" style="55" hidden="1"/>
    <col min="1810" max="1810" width="5" style="55" hidden="1"/>
    <col min="1811" max="1811" width="2.38671875" style="55" hidden="1"/>
    <col min="1812" max="1813" width="3" style="55" hidden="1"/>
    <col min="1814" max="1815" width="2.109375" style="55" hidden="1"/>
    <col min="1816" max="1816" width="3.38671875" style="55" hidden="1"/>
    <col min="1817" max="2048" width="9" style="55" hidden="1"/>
    <col min="2049" max="2049" width="4.38671875" style="55" hidden="1"/>
    <col min="2050" max="2050" width="8.88671875" style="55" hidden="1"/>
    <col min="2051" max="2051" width="6.38671875" style="55" hidden="1"/>
    <col min="2052" max="2052" width="8.109375" style="55" hidden="1"/>
    <col min="2053" max="2053" width="7.71875" style="55" hidden="1"/>
    <col min="2054" max="2054" width="9" style="55" hidden="1"/>
    <col min="2055" max="2055" width="2.38671875" style="55" hidden="1"/>
    <col min="2056" max="2056" width="9" style="55" hidden="1"/>
    <col min="2057" max="2058" width="3.109375" style="55" hidden="1"/>
    <col min="2059" max="2059" width="4.27734375" style="55" hidden="1"/>
    <col min="2060" max="2060" width="3.71875" style="55" hidden="1"/>
    <col min="2061" max="2061" width="3.38671875" style="55" hidden="1"/>
    <col min="2062" max="2063" width="4.38671875" style="55" hidden="1"/>
    <col min="2064" max="2064" width="3.71875" style="55" hidden="1"/>
    <col min="2065" max="2065" width="3.109375" style="55" hidden="1"/>
    <col min="2066" max="2066" width="5" style="55" hidden="1"/>
    <col min="2067" max="2067" width="2.38671875" style="55" hidden="1"/>
    <col min="2068" max="2069" width="3" style="55" hidden="1"/>
    <col min="2070" max="2071" width="2.109375" style="55" hidden="1"/>
    <col min="2072" max="2072" width="3.38671875" style="55" hidden="1"/>
    <col min="2073" max="2304" width="9" style="55" hidden="1"/>
    <col min="2305" max="2305" width="4.38671875" style="55" hidden="1"/>
    <col min="2306" max="2306" width="8.88671875" style="55" hidden="1"/>
    <col min="2307" max="2307" width="6.38671875" style="55" hidden="1"/>
    <col min="2308" max="2308" width="8.109375" style="55" hidden="1"/>
    <col min="2309" max="2309" width="7.71875" style="55" hidden="1"/>
    <col min="2310" max="2310" width="9" style="55" hidden="1"/>
    <col min="2311" max="2311" width="2.38671875" style="55" hidden="1"/>
    <col min="2312" max="2312" width="9" style="55" hidden="1"/>
    <col min="2313" max="2314" width="3.109375" style="55" hidden="1"/>
    <col min="2315" max="2315" width="4.27734375" style="55" hidden="1"/>
    <col min="2316" max="2316" width="3.71875" style="55" hidden="1"/>
    <col min="2317" max="2317" width="3.38671875" style="55" hidden="1"/>
    <col min="2318" max="2319" width="4.38671875" style="55" hidden="1"/>
    <col min="2320" max="2320" width="3.71875" style="55" hidden="1"/>
    <col min="2321" max="2321" width="3.109375" style="55" hidden="1"/>
    <col min="2322" max="2322" width="5" style="55" hidden="1"/>
    <col min="2323" max="2323" width="2.38671875" style="55" hidden="1"/>
    <col min="2324" max="2325" width="3" style="55" hidden="1"/>
    <col min="2326" max="2327" width="2.109375" style="55" hidden="1"/>
    <col min="2328" max="2328" width="3.38671875" style="55" hidden="1"/>
    <col min="2329" max="2560" width="9" style="55" hidden="1"/>
    <col min="2561" max="2561" width="4.38671875" style="55" hidden="1"/>
    <col min="2562" max="2562" width="8.88671875" style="55" hidden="1"/>
    <col min="2563" max="2563" width="6.38671875" style="55" hidden="1"/>
    <col min="2564" max="2564" width="8.109375" style="55" hidden="1"/>
    <col min="2565" max="2565" width="7.71875" style="55" hidden="1"/>
    <col min="2566" max="2566" width="9" style="55" hidden="1"/>
    <col min="2567" max="2567" width="2.38671875" style="55" hidden="1"/>
    <col min="2568" max="2568" width="9" style="55" hidden="1"/>
    <col min="2569" max="2570" width="3.109375" style="55" hidden="1"/>
    <col min="2571" max="2571" width="4.27734375" style="55" hidden="1"/>
    <col min="2572" max="2572" width="3.71875" style="55" hidden="1"/>
    <col min="2573" max="2573" width="3.38671875" style="55" hidden="1"/>
    <col min="2574" max="2575" width="4.38671875" style="55" hidden="1"/>
    <col min="2576" max="2576" width="3.71875" style="55" hidden="1"/>
    <col min="2577" max="2577" width="3.109375" style="55" hidden="1"/>
    <col min="2578" max="2578" width="5" style="55" hidden="1"/>
    <col min="2579" max="2579" width="2.38671875" style="55" hidden="1"/>
    <col min="2580" max="2581" width="3" style="55" hidden="1"/>
    <col min="2582" max="2583" width="2.109375" style="55" hidden="1"/>
    <col min="2584" max="2584" width="3.38671875" style="55" hidden="1"/>
    <col min="2585" max="2816" width="9" style="55" hidden="1"/>
    <col min="2817" max="2817" width="4.38671875" style="55" hidden="1"/>
    <col min="2818" max="2818" width="8.88671875" style="55" hidden="1"/>
    <col min="2819" max="2819" width="6.38671875" style="55" hidden="1"/>
    <col min="2820" max="2820" width="8.109375" style="55" hidden="1"/>
    <col min="2821" max="2821" width="7.71875" style="55" hidden="1"/>
    <col min="2822" max="2822" width="9" style="55" hidden="1"/>
    <col min="2823" max="2823" width="2.38671875" style="55" hidden="1"/>
    <col min="2824" max="2824" width="9" style="55" hidden="1"/>
    <col min="2825" max="2826" width="3.109375" style="55" hidden="1"/>
    <col min="2827" max="2827" width="4.27734375" style="55" hidden="1"/>
    <col min="2828" max="2828" width="3.71875" style="55" hidden="1"/>
    <col min="2829" max="2829" width="3.38671875" style="55" hidden="1"/>
    <col min="2830" max="2831" width="4.38671875" style="55" hidden="1"/>
    <col min="2832" max="2832" width="3.71875" style="55" hidden="1"/>
    <col min="2833" max="2833" width="3.109375" style="55" hidden="1"/>
    <col min="2834" max="2834" width="5" style="55" hidden="1"/>
    <col min="2835" max="2835" width="2.38671875" style="55" hidden="1"/>
    <col min="2836" max="2837" width="3" style="55" hidden="1"/>
    <col min="2838" max="2839" width="2.109375" style="55" hidden="1"/>
    <col min="2840" max="2840" width="3.38671875" style="55" hidden="1"/>
    <col min="2841" max="3072" width="9" style="55" hidden="1"/>
    <col min="3073" max="3073" width="4.38671875" style="55" hidden="1"/>
    <col min="3074" max="3074" width="8.88671875" style="55" hidden="1"/>
    <col min="3075" max="3075" width="6.38671875" style="55" hidden="1"/>
    <col min="3076" max="3076" width="8.109375" style="55" hidden="1"/>
    <col min="3077" max="3077" width="7.71875" style="55" hidden="1"/>
    <col min="3078" max="3078" width="9" style="55" hidden="1"/>
    <col min="3079" max="3079" width="2.38671875" style="55" hidden="1"/>
    <col min="3080" max="3080" width="9" style="55" hidden="1"/>
    <col min="3081" max="3082" width="3.109375" style="55" hidden="1"/>
    <col min="3083" max="3083" width="4.27734375" style="55" hidden="1"/>
    <col min="3084" max="3084" width="3.71875" style="55" hidden="1"/>
    <col min="3085" max="3085" width="3.38671875" style="55" hidden="1"/>
    <col min="3086" max="3087" width="4.38671875" style="55" hidden="1"/>
    <col min="3088" max="3088" width="3.71875" style="55" hidden="1"/>
    <col min="3089" max="3089" width="3.109375" style="55" hidden="1"/>
    <col min="3090" max="3090" width="5" style="55" hidden="1"/>
    <col min="3091" max="3091" width="2.38671875" style="55" hidden="1"/>
    <col min="3092" max="3093" width="3" style="55" hidden="1"/>
    <col min="3094" max="3095" width="2.109375" style="55" hidden="1"/>
    <col min="3096" max="3096" width="3.38671875" style="55" hidden="1"/>
    <col min="3097" max="3328" width="9" style="55" hidden="1"/>
    <col min="3329" max="3329" width="4.38671875" style="55" hidden="1"/>
    <col min="3330" max="3330" width="8.88671875" style="55" hidden="1"/>
    <col min="3331" max="3331" width="6.38671875" style="55" hidden="1"/>
    <col min="3332" max="3332" width="8.109375" style="55" hidden="1"/>
    <col min="3333" max="3333" width="7.71875" style="55" hidden="1"/>
    <col min="3334" max="3334" width="9" style="55" hidden="1"/>
    <col min="3335" max="3335" width="2.38671875" style="55" hidden="1"/>
    <col min="3336" max="3336" width="9" style="55" hidden="1"/>
    <col min="3337" max="3338" width="3.109375" style="55" hidden="1"/>
    <col min="3339" max="3339" width="4.27734375" style="55" hidden="1"/>
    <col min="3340" max="3340" width="3.71875" style="55" hidden="1"/>
    <col min="3341" max="3341" width="3.38671875" style="55" hidden="1"/>
    <col min="3342" max="3343" width="4.38671875" style="55" hidden="1"/>
    <col min="3344" max="3344" width="3.71875" style="55" hidden="1"/>
    <col min="3345" max="3345" width="3.109375" style="55" hidden="1"/>
    <col min="3346" max="3346" width="5" style="55" hidden="1"/>
    <col min="3347" max="3347" width="2.38671875" style="55" hidden="1"/>
    <col min="3348" max="3349" width="3" style="55" hidden="1"/>
    <col min="3350" max="3351" width="2.109375" style="55" hidden="1"/>
    <col min="3352" max="3352" width="3.38671875" style="55" hidden="1"/>
    <col min="3353" max="3584" width="9" style="55" hidden="1"/>
    <col min="3585" max="3585" width="4.38671875" style="55" hidden="1"/>
    <col min="3586" max="3586" width="8.88671875" style="55" hidden="1"/>
    <col min="3587" max="3587" width="6.38671875" style="55" hidden="1"/>
    <col min="3588" max="3588" width="8.109375" style="55" hidden="1"/>
    <col min="3589" max="3589" width="7.71875" style="55" hidden="1"/>
    <col min="3590" max="3590" width="9" style="55" hidden="1"/>
    <col min="3591" max="3591" width="2.38671875" style="55" hidden="1"/>
    <col min="3592" max="3592" width="9" style="55" hidden="1"/>
    <col min="3593" max="3594" width="3.109375" style="55" hidden="1"/>
    <col min="3595" max="3595" width="4.27734375" style="55" hidden="1"/>
    <col min="3596" max="3596" width="3.71875" style="55" hidden="1"/>
    <col min="3597" max="3597" width="3.38671875" style="55" hidden="1"/>
    <col min="3598" max="3599" width="4.38671875" style="55" hidden="1"/>
    <col min="3600" max="3600" width="3.71875" style="55" hidden="1"/>
    <col min="3601" max="3601" width="3.109375" style="55" hidden="1"/>
    <col min="3602" max="3602" width="5" style="55" hidden="1"/>
    <col min="3603" max="3603" width="2.38671875" style="55" hidden="1"/>
    <col min="3604" max="3605" width="3" style="55" hidden="1"/>
    <col min="3606" max="3607" width="2.109375" style="55" hidden="1"/>
    <col min="3608" max="3608" width="3.38671875" style="55" hidden="1"/>
    <col min="3609" max="3840" width="9" style="55" hidden="1"/>
    <col min="3841" max="3841" width="4.38671875" style="55" hidden="1"/>
    <col min="3842" max="3842" width="8.88671875" style="55" hidden="1"/>
    <col min="3843" max="3843" width="6.38671875" style="55" hidden="1"/>
    <col min="3844" max="3844" width="8.109375" style="55" hidden="1"/>
    <col min="3845" max="3845" width="7.71875" style="55" hidden="1"/>
    <col min="3846" max="3846" width="9" style="55" hidden="1"/>
    <col min="3847" max="3847" width="2.38671875" style="55" hidden="1"/>
    <col min="3848" max="3848" width="9" style="55" hidden="1"/>
    <col min="3849" max="3850" width="3.109375" style="55" hidden="1"/>
    <col min="3851" max="3851" width="4.27734375" style="55" hidden="1"/>
    <col min="3852" max="3852" width="3.71875" style="55" hidden="1"/>
    <col min="3853" max="3853" width="3.38671875" style="55" hidden="1"/>
    <col min="3854" max="3855" width="4.38671875" style="55" hidden="1"/>
    <col min="3856" max="3856" width="3.71875" style="55" hidden="1"/>
    <col min="3857" max="3857" width="3.109375" style="55" hidden="1"/>
    <col min="3858" max="3858" width="5" style="55" hidden="1"/>
    <col min="3859" max="3859" width="2.38671875" style="55" hidden="1"/>
    <col min="3860" max="3861" width="3" style="55" hidden="1"/>
    <col min="3862" max="3863" width="2.109375" style="55" hidden="1"/>
    <col min="3864" max="3864" width="3.38671875" style="55" hidden="1"/>
    <col min="3865" max="4096" width="9" style="55" hidden="1"/>
    <col min="4097" max="4097" width="4.38671875" style="55" hidden="1"/>
    <col min="4098" max="4098" width="8.88671875" style="55" hidden="1"/>
    <col min="4099" max="4099" width="6.38671875" style="55" hidden="1"/>
    <col min="4100" max="4100" width="8.109375" style="55" hidden="1"/>
    <col min="4101" max="4101" width="7.71875" style="55" hidden="1"/>
    <col min="4102" max="4102" width="9" style="55" hidden="1"/>
    <col min="4103" max="4103" width="2.38671875" style="55" hidden="1"/>
    <col min="4104" max="4104" width="9" style="55" hidden="1"/>
    <col min="4105" max="4106" width="3.109375" style="55" hidden="1"/>
    <col min="4107" max="4107" width="4.27734375" style="55" hidden="1"/>
    <col min="4108" max="4108" width="3.71875" style="55" hidden="1"/>
    <col min="4109" max="4109" width="3.38671875" style="55" hidden="1"/>
    <col min="4110" max="4111" width="4.38671875" style="55" hidden="1"/>
    <col min="4112" max="4112" width="3.71875" style="55" hidden="1"/>
    <col min="4113" max="4113" width="3.109375" style="55" hidden="1"/>
    <col min="4114" max="4114" width="5" style="55" hidden="1"/>
    <col min="4115" max="4115" width="2.38671875" style="55" hidden="1"/>
    <col min="4116" max="4117" width="3" style="55" hidden="1"/>
    <col min="4118" max="4119" width="2.109375" style="55" hidden="1"/>
    <col min="4120" max="4120" width="3.38671875" style="55" hidden="1"/>
    <col min="4121" max="4352" width="9" style="55" hidden="1"/>
    <col min="4353" max="4353" width="4.38671875" style="55" hidden="1"/>
    <col min="4354" max="4354" width="8.88671875" style="55" hidden="1"/>
    <col min="4355" max="4355" width="6.38671875" style="55" hidden="1"/>
    <col min="4356" max="4356" width="8.109375" style="55" hidden="1"/>
    <col min="4357" max="4357" width="7.71875" style="55" hidden="1"/>
    <col min="4358" max="4358" width="9" style="55" hidden="1"/>
    <col min="4359" max="4359" width="2.38671875" style="55" hidden="1"/>
    <col min="4360" max="4360" width="9" style="55" hidden="1"/>
    <col min="4361" max="4362" width="3.109375" style="55" hidden="1"/>
    <col min="4363" max="4363" width="4.27734375" style="55" hidden="1"/>
    <col min="4364" max="4364" width="3.71875" style="55" hidden="1"/>
    <col min="4365" max="4365" width="3.38671875" style="55" hidden="1"/>
    <col min="4366" max="4367" width="4.38671875" style="55" hidden="1"/>
    <col min="4368" max="4368" width="3.71875" style="55" hidden="1"/>
    <col min="4369" max="4369" width="3.109375" style="55" hidden="1"/>
    <col min="4370" max="4370" width="5" style="55" hidden="1"/>
    <col min="4371" max="4371" width="2.38671875" style="55" hidden="1"/>
    <col min="4372" max="4373" width="3" style="55" hidden="1"/>
    <col min="4374" max="4375" width="2.109375" style="55" hidden="1"/>
    <col min="4376" max="4376" width="3.38671875" style="55" hidden="1"/>
    <col min="4377" max="4608" width="9" style="55" hidden="1"/>
    <col min="4609" max="4609" width="4.38671875" style="55" hidden="1"/>
    <col min="4610" max="4610" width="8.88671875" style="55" hidden="1"/>
    <col min="4611" max="4611" width="6.38671875" style="55" hidden="1"/>
    <col min="4612" max="4612" width="8.109375" style="55" hidden="1"/>
    <col min="4613" max="4613" width="7.71875" style="55" hidden="1"/>
    <col min="4614" max="4614" width="9" style="55" hidden="1"/>
    <col min="4615" max="4615" width="2.38671875" style="55" hidden="1"/>
    <col min="4616" max="4616" width="9" style="55" hidden="1"/>
    <col min="4617" max="4618" width="3.109375" style="55" hidden="1"/>
    <col min="4619" max="4619" width="4.27734375" style="55" hidden="1"/>
    <col min="4620" max="4620" width="3.71875" style="55" hidden="1"/>
    <col min="4621" max="4621" width="3.38671875" style="55" hidden="1"/>
    <col min="4622" max="4623" width="4.38671875" style="55" hidden="1"/>
    <col min="4624" max="4624" width="3.71875" style="55" hidden="1"/>
    <col min="4625" max="4625" width="3.109375" style="55" hidden="1"/>
    <col min="4626" max="4626" width="5" style="55" hidden="1"/>
    <col min="4627" max="4627" width="2.38671875" style="55" hidden="1"/>
    <col min="4628" max="4629" width="3" style="55" hidden="1"/>
    <col min="4630" max="4631" width="2.109375" style="55" hidden="1"/>
    <col min="4632" max="4632" width="3.38671875" style="55" hidden="1"/>
    <col min="4633" max="4864" width="9" style="55" hidden="1"/>
    <col min="4865" max="4865" width="4.38671875" style="55" hidden="1"/>
    <col min="4866" max="4866" width="8.88671875" style="55" hidden="1"/>
    <col min="4867" max="4867" width="6.38671875" style="55" hidden="1"/>
    <col min="4868" max="4868" width="8.109375" style="55" hidden="1"/>
    <col min="4869" max="4869" width="7.71875" style="55" hidden="1"/>
    <col min="4870" max="4870" width="9" style="55" hidden="1"/>
    <col min="4871" max="4871" width="2.38671875" style="55" hidden="1"/>
    <col min="4872" max="4872" width="9" style="55" hidden="1"/>
    <col min="4873" max="4874" width="3.109375" style="55" hidden="1"/>
    <col min="4875" max="4875" width="4.27734375" style="55" hidden="1"/>
    <col min="4876" max="4876" width="3.71875" style="55" hidden="1"/>
    <col min="4877" max="4877" width="3.38671875" style="55" hidden="1"/>
    <col min="4878" max="4879" width="4.38671875" style="55" hidden="1"/>
    <col min="4880" max="4880" width="3.71875" style="55" hidden="1"/>
    <col min="4881" max="4881" width="3.109375" style="55" hidden="1"/>
    <col min="4882" max="4882" width="5" style="55" hidden="1"/>
    <col min="4883" max="4883" width="2.38671875" style="55" hidden="1"/>
    <col min="4884" max="4885" width="3" style="55" hidden="1"/>
    <col min="4886" max="4887" width="2.109375" style="55" hidden="1"/>
    <col min="4888" max="4888" width="3.38671875" style="55" hidden="1"/>
    <col min="4889" max="5120" width="9" style="55" hidden="1"/>
    <col min="5121" max="5121" width="4.38671875" style="55" hidden="1"/>
    <col min="5122" max="5122" width="8.88671875" style="55" hidden="1"/>
    <col min="5123" max="5123" width="6.38671875" style="55" hidden="1"/>
    <col min="5124" max="5124" width="8.109375" style="55" hidden="1"/>
    <col min="5125" max="5125" width="7.71875" style="55" hidden="1"/>
    <col min="5126" max="5126" width="9" style="55" hidden="1"/>
    <col min="5127" max="5127" width="2.38671875" style="55" hidden="1"/>
    <col min="5128" max="5128" width="9" style="55" hidden="1"/>
    <col min="5129" max="5130" width="3.109375" style="55" hidden="1"/>
    <col min="5131" max="5131" width="4.27734375" style="55" hidden="1"/>
    <col min="5132" max="5132" width="3.71875" style="55" hidden="1"/>
    <col min="5133" max="5133" width="3.38671875" style="55" hidden="1"/>
    <col min="5134" max="5135" width="4.38671875" style="55" hidden="1"/>
    <col min="5136" max="5136" width="3.71875" style="55" hidden="1"/>
    <col min="5137" max="5137" width="3.109375" style="55" hidden="1"/>
    <col min="5138" max="5138" width="5" style="55" hidden="1"/>
    <col min="5139" max="5139" width="2.38671875" style="55" hidden="1"/>
    <col min="5140" max="5141" width="3" style="55" hidden="1"/>
    <col min="5142" max="5143" width="2.109375" style="55" hidden="1"/>
    <col min="5144" max="5144" width="3.38671875" style="55" hidden="1"/>
    <col min="5145" max="5376" width="9" style="55" hidden="1"/>
    <col min="5377" max="5377" width="4.38671875" style="55" hidden="1"/>
    <col min="5378" max="5378" width="8.88671875" style="55" hidden="1"/>
    <col min="5379" max="5379" width="6.38671875" style="55" hidden="1"/>
    <col min="5380" max="5380" width="8.109375" style="55" hidden="1"/>
    <col min="5381" max="5381" width="7.71875" style="55" hidden="1"/>
    <col min="5382" max="5382" width="9" style="55" hidden="1"/>
    <col min="5383" max="5383" width="2.38671875" style="55" hidden="1"/>
    <col min="5384" max="5384" width="9" style="55" hidden="1"/>
    <col min="5385" max="5386" width="3.109375" style="55" hidden="1"/>
    <col min="5387" max="5387" width="4.27734375" style="55" hidden="1"/>
    <col min="5388" max="5388" width="3.71875" style="55" hidden="1"/>
    <col min="5389" max="5389" width="3.38671875" style="55" hidden="1"/>
    <col min="5390" max="5391" width="4.38671875" style="55" hidden="1"/>
    <col min="5392" max="5392" width="3.71875" style="55" hidden="1"/>
    <col min="5393" max="5393" width="3.109375" style="55" hidden="1"/>
    <col min="5394" max="5394" width="5" style="55" hidden="1"/>
    <col min="5395" max="5395" width="2.38671875" style="55" hidden="1"/>
    <col min="5396" max="5397" width="3" style="55" hidden="1"/>
    <col min="5398" max="5399" width="2.109375" style="55" hidden="1"/>
    <col min="5400" max="5400" width="3.38671875" style="55" hidden="1"/>
    <col min="5401" max="5632" width="9" style="55" hidden="1"/>
    <col min="5633" max="5633" width="4.38671875" style="55" hidden="1"/>
    <col min="5634" max="5634" width="8.88671875" style="55" hidden="1"/>
    <col min="5635" max="5635" width="6.38671875" style="55" hidden="1"/>
    <col min="5636" max="5636" width="8.109375" style="55" hidden="1"/>
    <col min="5637" max="5637" width="7.71875" style="55" hidden="1"/>
    <col min="5638" max="5638" width="9" style="55" hidden="1"/>
    <col min="5639" max="5639" width="2.38671875" style="55" hidden="1"/>
    <col min="5640" max="5640" width="9" style="55" hidden="1"/>
    <col min="5641" max="5642" width="3.109375" style="55" hidden="1"/>
    <col min="5643" max="5643" width="4.27734375" style="55" hidden="1"/>
    <col min="5644" max="5644" width="3.71875" style="55" hidden="1"/>
    <col min="5645" max="5645" width="3.38671875" style="55" hidden="1"/>
    <col min="5646" max="5647" width="4.38671875" style="55" hidden="1"/>
    <col min="5648" max="5648" width="3.71875" style="55" hidden="1"/>
    <col min="5649" max="5649" width="3.109375" style="55" hidden="1"/>
    <col min="5650" max="5650" width="5" style="55" hidden="1"/>
    <col min="5651" max="5651" width="2.38671875" style="55" hidden="1"/>
    <col min="5652" max="5653" width="3" style="55" hidden="1"/>
    <col min="5654" max="5655" width="2.109375" style="55" hidden="1"/>
    <col min="5656" max="5656" width="3.38671875" style="55" hidden="1"/>
    <col min="5657" max="5888" width="9" style="55" hidden="1"/>
    <col min="5889" max="5889" width="4.38671875" style="55" hidden="1"/>
    <col min="5890" max="5890" width="8.88671875" style="55" hidden="1"/>
    <col min="5891" max="5891" width="6.38671875" style="55" hidden="1"/>
    <col min="5892" max="5892" width="8.109375" style="55" hidden="1"/>
    <col min="5893" max="5893" width="7.71875" style="55" hidden="1"/>
    <col min="5894" max="5894" width="9" style="55" hidden="1"/>
    <col min="5895" max="5895" width="2.38671875" style="55" hidden="1"/>
    <col min="5896" max="5896" width="9" style="55" hidden="1"/>
    <col min="5897" max="5898" width="3.109375" style="55" hidden="1"/>
    <col min="5899" max="5899" width="4.27734375" style="55" hidden="1"/>
    <col min="5900" max="5900" width="3.71875" style="55" hidden="1"/>
    <col min="5901" max="5901" width="3.38671875" style="55" hidden="1"/>
    <col min="5902" max="5903" width="4.38671875" style="55" hidden="1"/>
    <col min="5904" max="5904" width="3.71875" style="55" hidden="1"/>
    <col min="5905" max="5905" width="3.109375" style="55" hidden="1"/>
    <col min="5906" max="5906" width="5" style="55" hidden="1"/>
    <col min="5907" max="5907" width="2.38671875" style="55" hidden="1"/>
    <col min="5908" max="5909" width="3" style="55" hidden="1"/>
    <col min="5910" max="5911" width="2.109375" style="55" hidden="1"/>
    <col min="5912" max="5912" width="3.38671875" style="55" hidden="1"/>
    <col min="5913" max="6144" width="9" style="55" hidden="1"/>
    <col min="6145" max="6145" width="4.38671875" style="55" hidden="1"/>
    <col min="6146" max="6146" width="8.88671875" style="55" hidden="1"/>
    <col min="6147" max="6147" width="6.38671875" style="55" hidden="1"/>
    <col min="6148" max="6148" width="8.109375" style="55" hidden="1"/>
    <col min="6149" max="6149" width="7.71875" style="55" hidden="1"/>
    <col min="6150" max="6150" width="9" style="55" hidden="1"/>
    <col min="6151" max="6151" width="2.38671875" style="55" hidden="1"/>
    <col min="6152" max="6152" width="9" style="55" hidden="1"/>
    <col min="6153" max="6154" width="3.109375" style="55" hidden="1"/>
    <col min="6155" max="6155" width="4.27734375" style="55" hidden="1"/>
    <col min="6156" max="6156" width="3.71875" style="55" hidden="1"/>
    <col min="6157" max="6157" width="3.38671875" style="55" hidden="1"/>
    <col min="6158" max="6159" width="4.38671875" style="55" hidden="1"/>
    <col min="6160" max="6160" width="3.71875" style="55" hidden="1"/>
    <col min="6161" max="6161" width="3.109375" style="55" hidden="1"/>
    <col min="6162" max="6162" width="5" style="55" hidden="1"/>
    <col min="6163" max="6163" width="2.38671875" style="55" hidden="1"/>
    <col min="6164" max="6165" width="3" style="55" hidden="1"/>
    <col min="6166" max="6167" width="2.109375" style="55" hidden="1"/>
    <col min="6168" max="6168" width="3.38671875" style="55" hidden="1"/>
    <col min="6169" max="6400" width="9" style="55" hidden="1"/>
    <col min="6401" max="6401" width="4.38671875" style="55" hidden="1"/>
    <col min="6402" max="6402" width="8.88671875" style="55" hidden="1"/>
    <col min="6403" max="6403" width="6.38671875" style="55" hidden="1"/>
    <col min="6404" max="6404" width="8.109375" style="55" hidden="1"/>
    <col min="6405" max="6405" width="7.71875" style="55" hidden="1"/>
    <col min="6406" max="6406" width="9" style="55" hidden="1"/>
    <col min="6407" max="6407" width="2.38671875" style="55" hidden="1"/>
    <col min="6408" max="6408" width="9" style="55" hidden="1"/>
    <col min="6409" max="6410" width="3.109375" style="55" hidden="1"/>
    <col min="6411" max="6411" width="4.27734375" style="55" hidden="1"/>
    <col min="6412" max="6412" width="3.71875" style="55" hidden="1"/>
    <col min="6413" max="6413" width="3.38671875" style="55" hidden="1"/>
    <col min="6414" max="6415" width="4.38671875" style="55" hidden="1"/>
    <col min="6416" max="6416" width="3.71875" style="55" hidden="1"/>
    <col min="6417" max="6417" width="3.109375" style="55" hidden="1"/>
    <col min="6418" max="6418" width="5" style="55" hidden="1"/>
    <col min="6419" max="6419" width="2.38671875" style="55" hidden="1"/>
    <col min="6420" max="6421" width="3" style="55" hidden="1"/>
    <col min="6422" max="6423" width="2.109375" style="55" hidden="1"/>
    <col min="6424" max="6424" width="3.38671875" style="55" hidden="1"/>
    <col min="6425" max="6656" width="9" style="55" hidden="1"/>
    <col min="6657" max="6657" width="4.38671875" style="55" hidden="1"/>
    <col min="6658" max="6658" width="8.88671875" style="55" hidden="1"/>
    <col min="6659" max="6659" width="6.38671875" style="55" hidden="1"/>
    <col min="6660" max="6660" width="8.109375" style="55" hidden="1"/>
    <col min="6661" max="6661" width="7.71875" style="55" hidden="1"/>
    <col min="6662" max="6662" width="9" style="55" hidden="1"/>
    <col min="6663" max="6663" width="2.38671875" style="55" hidden="1"/>
    <col min="6664" max="6664" width="9" style="55" hidden="1"/>
    <col min="6665" max="6666" width="3.109375" style="55" hidden="1"/>
    <col min="6667" max="6667" width="4.27734375" style="55" hidden="1"/>
    <col min="6668" max="6668" width="3.71875" style="55" hidden="1"/>
    <col min="6669" max="6669" width="3.38671875" style="55" hidden="1"/>
    <col min="6670" max="6671" width="4.38671875" style="55" hidden="1"/>
    <col min="6672" max="6672" width="3.71875" style="55" hidden="1"/>
    <col min="6673" max="6673" width="3.109375" style="55" hidden="1"/>
    <col min="6674" max="6674" width="5" style="55" hidden="1"/>
    <col min="6675" max="6675" width="2.38671875" style="55" hidden="1"/>
    <col min="6676" max="6677" width="3" style="55" hidden="1"/>
    <col min="6678" max="6679" width="2.109375" style="55" hidden="1"/>
    <col min="6680" max="6680" width="3.38671875" style="55" hidden="1"/>
    <col min="6681" max="6912" width="9" style="55" hidden="1"/>
    <col min="6913" max="6913" width="4.38671875" style="55" hidden="1"/>
    <col min="6914" max="6914" width="8.88671875" style="55" hidden="1"/>
    <col min="6915" max="6915" width="6.38671875" style="55" hidden="1"/>
    <col min="6916" max="6916" width="8.109375" style="55" hidden="1"/>
    <col min="6917" max="6917" width="7.71875" style="55" hidden="1"/>
    <col min="6918" max="6918" width="9" style="55" hidden="1"/>
    <col min="6919" max="6919" width="2.38671875" style="55" hidden="1"/>
    <col min="6920" max="6920" width="9" style="55" hidden="1"/>
    <col min="6921" max="6922" width="3.109375" style="55" hidden="1"/>
    <col min="6923" max="6923" width="4.27734375" style="55" hidden="1"/>
    <col min="6924" max="6924" width="3.71875" style="55" hidden="1"/>
    <col min="6925" max="6925" width="3.38671875" style="55" hidden="1"/>
    <col min="6926" max="6927" width="4.38671875" style="55" hidden="1"/>
    <col min="6928" max="6928" width="3.71875" style="55" hidden="1"/>
    <col min="6929" max="6929" width="3.109375" style="55" hidden="1"/>
    <col min="6930" max="6930" width="5" style="55" hidden="1"/>
    <col min="6931" max="6931" width="2.38671875" style="55" hidden="1"/>
    <col min="6932" max="6933" width="3" style="55" hidden="1"/>
    <col min="6934" max="6935" width="2.109375" style="55" hidden="1"/>
    <col min="6936" max="6936" width="3.38671875" style="55" hidden="1"/>
    <col min="6937" max="7168" width="9" style="55" hidden="1"/>
    <col min="7169" max="7169" width="4.38671875" style="55" hidden="1"/>
    <col min="7170" max="7170" width="8.88671875" style="55" hidden="1"/>
    <col min="7171" max="7171" width="6.38671875" style="55" hidden="1"/>
    <col min="7172" max="7172" width="8.109375" style="55" hidden="1"/>
    <col min="7173" max="7173" width="7.71875" style="55" hidden="1"/>
    <col min="7174" max="7174" width="9" style="55" hidden="1"/>
    <col min="7175" max="7175" width="2.38671875" style="55" hidden="1"/>
    <col min="7176" max="7176" width="9" style="55" hidden="1"/>
    <col min="7177" max="7178" width="3.109375" style="55" hidden="1"/>
    <col min="7179" max="7179" width="4.27734375" style="55" hidden="1"/>
    <col min="7180" max="7180" width="3.71875" style="55" hidden="1"/>
    <col min="7181" max="7181" width="3.38671875" style="55" hidden="1"/>
    <col min="7182" max="7183" width="4.38671875" style="55" hidden="1"/>
    <col min="7184" max="7184" width="3.71875" style="55" hidden="1"/>
    <col min="7185" max="7185" width="3.109375" style="55" hidden="1"/>
    <col min="7186" max="7186" width="5" style="55" hidden="1"/>
    <col min="7187" max="7187" width="2.38671875" style="55" hidden="1"/>
    <col min="7188" max="7189" width="3" style="55" hidden="1"/>
    <col min="7190" max="7191" width="2.109375" style="55" hidden="1"/>
    <col min="7192" max="7192" width="3.38671875" style="55" hidden="1"/>
    <col min="7193" max="7424" width="9" style="55" hidden="1"/>
    <col min="7425" max="7425" width="4.38671875" style="55" hidden="1"/>
    <col min="7426" max="7426" width="8.88671875" style="55" hidden="1"/>
    <col min="7427" max="7427" width="6.38671875" style="55" hidden="1"/>
    <col min="7428" max="7428" width="8.109375" style="55" hidden="1"/>
    <col min="7429" max="7429" width="7.71875" style="55" hidden="1"/>
    <col min="7430" max="7430" width="9" style="55" hidden="1"/>
    <col min="7431" max="7431" width="2.38671875" style="55" hidden="1"/>
    <col min="7432" max="7432" width="9" style="55" hidden="1"/>
    <col min="7433" max="7434" width="3.109375" style="55" hidden="1"/>
    <col min="7435" max="7435" width="4.27734375" style="55" hidden="1"/>
    <col min="7436" max="7436" width="3.71875" style="55" hidden="1"/>
    <col min="7437" max="7437" width="3.38671875" style="55" hidden="1"/>
    <col min="7438" max="7439" width="4.38671875" style="55" hidden="1"/>
    <col min="7440" max="7440" width="3.71875" style="55" hidden="1"/>
    <col min="7441" max="7441" width="3.109375" style="55" hidden="1"/>
    <col min="7442" max="7442" width="5" style="55" hidden="1"/>
    <col min="7443" max="7443" width="2.38671875" style="55" hidden="1"/>
    <col min="7444" max="7445" width="3" style="55" hidden="1"/>
    <col min="7446" max="7447" width="2.109375" style="55" hidden="1"/>
    <col min="7448" max="7448" width="3.38671875" style="55" hidden="1"/>
    <col min="7449" max="7680" width="9" style="55" hidden="1"/>
    <col min="7681" max="7681" width="4.38671875" style="55" hidden="1"/>
    <col min="7682" max="7682" width="8.88671875" style="55" hidden="1"/>
    <col min="7683" max="7683" width="6.38671875" style="55" hidden="1"/>
    <col min="7684" max="7684" width="8.109375" style="55" hidden="1"/>
    <col min="7685" max="7685" width="7.71875" style="55" hidden="1"/>
    <col min="7686" max="7686" width="9" style="55" hidden="1"/>
    <col min="7687" max="7687" width="2.38671875" style="55" hidden="1"/>
    <col min="7688" max="7688" width="9" style="55" hidden="1"/>
    <col min="7689" max="7690" width="3.109375" style="55" hidden="1"/>
    <col min="7691" max="7691" width="4.27734375" style="55" hidden="1"/>
    <col min="7692" max="7692" width="3.71875" style="55" hidden="1"/>
    <col min="7693" max="7693" width="3.38671875" style="55" hidden="1"/>
    <col min="7694" max="7695" width="4.38671875" style="55" hidden="1"/>
    <col min="7696" max="7696" width="3.71875" style="55" hidden="1"/>
    <col min="7697" max="7697" width="3.109375" style="55" hidden="1"/>
    <col min="7698" max="7698" width="5" style="55" hidden="1"/>
    <col min="7699" max="7699" width="2.38671875" style="55" hidden="1"/>
    <col min="7700" max="7701" width="3" style="55" hidden="1"/>
    <col min="7702" max="7703" width="2.109375" style="55" hidden="1"/>
    <col min="7704" max="7704" width="3.38671875" style="55" hidden="1"/>
    <col min="7705" max="7936" width="9" style="55" hidden="1"/>
    <col min="7937" max="7937" width="4.38671875" style="55" hidden="1"/>
    <col min="7938" max="7938" width="8.88671875" style="55" hidden="1"/>
    <col min="7939" max="7939" width="6.38671875" style="55" hidden="1"/>
    <col min="7940" max="7940" width="8.109375" style="55" hidden="1"/>
    <col min="7941" max="7941" width="7.71875" style="55" hidden="1"/>
    <col min="7942" max="7942" width="9" style="55" hidden="1"/>
    <col min="7943" max="7943" width="2.38671875" style="55" hidden="1"/>
    <col min="7944" max="7944" width="9" style="55" hidden="1"/>
    <col min="7945" max="7946" width="3.109375" style="55" hidden="1"/>
    <col min="7947" max="7947" width="4.27734375" style="55" hidden="1"/>
    <col min="7948" max="7948" width="3.71875" style="55" hidden="1"/>
    <col min="7949" max="7949" width="3.38671875" style="55" hidden="1"/>
    <col min="7950" max="7951" width="4.38671875" style="55" hidden="1"/>
    <col min="7952" max="7952" width="3.71875" style="55" hidden="1"/>
    <col min="7953" max="7953" width="3.109375" style="55" hidden="1"/>
    <col min="7954" max="7954" width="5" style="55" hidden="1"/>
    <col min="7955" max="7955" width="2.38671875" style="55" hidden="1"/>
    <col min="7956" max="7957" width="3" style="55" hidden="1"/>
    <col min="7958" max="7959" width="2.109375" style="55" hidden="1"/>
    <col min="7960" max="7960" width="3.38671875" style="55" hidden="1"/>
    <col min="7961" max="8192" width="9" style="55" hidden="1"/>
    <col min="8193" max="8193" width="4.38671875" style="55" hidden="1"/>
    <col min="8194" max="8194" width="8.88671875" style="55" hidden="1"/>
    <col min="8195" max="8195" width="6.38671875" style="55" hidden="1"/>
    <col min="8196" max="8196" width="8.109375" style="55" hidden="1"/>
    <col min="8197" max="8197" width="7.71875" style="55" hidden="1"/>
    <col min="8198" max="8198" width="9" style="55" hidden="1"/>
    <col min="8199" max="8199" width="2.38671875" style="55" hidden="1"/>
    <col min="8200" max="8200" width="9" style="55" hidden="1"/>
    <col min="8201" max="8202" width="3.109375" style="55" hidden="1"/>
    <col min="8203" max="8203" width="4.27734375" style="55" hidden="1"/>
    <col min="8204" max="8204" width="3.71875" style="55" hidden="1"/>
    <col min="8205" max="8205" width="3.38671875" style="55" hidden="1"/>
    <col min="8206" max="8207" width="4.38671875" style="55" hidden="1"/>
    <col min="8208" max="8208" width="3.71875" style="55" hidden="1"/>
    <col min="8209" max="8209" width="3.109375" style="55" hidden="1"/>
    <col min="8210" max="8210" width="5" style="55" hidden="1"/>
    <col min="8211" max="8211" width="2.38671875" style="55" hidden="1"/>
    <col min="8212" max="8213" width="3" style="55" hidden="1"/>
    <col min="8214" max="8215" width="2.109375" style="55" hidden="1"/>
    <col min="8216" max="8216" width="3.38671875" style="55" hidden="1"/>
    <col min="8217" max="8448" width="9" style="55" hidden="1"/>
    <col min="8449" max="8449" width="4.38671875" style="55" hidden="1"/>
    <col min="8450" max="8450" width="8.88671875" style="55" hidden="1"/>
    <col min="8451" max="8451" width="6.38671875" style="55" hidden="1"/>
    <col min="8452" max="8452" width="8.109375" style="55" hidden="1"/>
    <col min="8453" max="8453" width="7.71875" style="55" hidden="1"/>
    <col min="8454" max="8454" width="9" style="55" hidden="1"/>
    <col min="8455" max="8455" width="2.38671875" style="55" hidden="1"/>
    <col min="8456" max="8456" width="9" style="55" hidden="1"/>
    <col min="8457" max="8458" width="3.109375" style="55" hidden="1"/>
    <col min="8459" max="8459" width="4.27734375" style="55" hidden="1"/>
    <col min="8460" max="8460" width="3.71875" style="55" hidden="1"/>
    <col min="8461" max="8461" width="3.38671875" style="55" hidden="1"/>
    <col min="8462" max="8463" width="4.38671875" style="55" hidden="1"/>
    <col min="8464" max="8464" width="3.71875" style="55" hidden="1"/>
    <col min="8465" max="8465" width="3.109375" style="55" hidden="1"/>
    <col min="8466" max="8466" width="5" style="55" hidden="1"/>
    <col min="8467" max="8467" width="2.38671875" style="55" hidden="1"/>
    <col min="8468" max="8469" width="3" style="55" hidden="1"/>
    <col min="8470" max="8471" width="2.109375" style="55" hidden="1"/>
    <col min="8472" max="8472" width="3.38671875" style="55" hidden="1"/>
    <col min="8473" max="8704" width="9" style="55" hidden="1"/>
    <col min="8705" max="8705" width="4.38671875" style="55" hidden="1"/>
    <col min="8706" max="8706" width="8.88671875" style="55" hidden="1"/>
    <col min="8707" max="8707" width="6.38671875" style="55" hidden="1"/>
    <col min="8708" max="8708" width="8.109375" style="55" hidden="1"/>
    <col min="8709" max="8709" width="7.71875" style="55" hidden="1"/>
    <col min="8710" max="8710" width="9" style="55" hidden="1"/>
    <col min="8711" max="8711" width="2.38671875" style="55" hidden="1"/>
    <col min="8712" max="8712" width="9" style="55" hidden="1"/>
    <col min="8713" max="8714" width="3.109375" style="55" hidden="1"/>
    <col min="8715" max="8715" width="4.27734375" style="55" hidden="1"/>
    <col min="8716" max="8716" width="3.71875" style="55" hidden="1"/>
    <col min="8717" max="8717" width="3.38671875" style="55" hidden="1"/>
    <col min="8718" max="8719" width="4.38671875" style="55" hidden="1"/>
    <col min="8720" max="8720" width="3.71875" style="55" hidden="1"/>
    <col min="8721" max="8721" width="3.109375" style="55" hidden="1"/>
    <col min="8722" max="8722" width="5" style="55" hidden="1"/>
    <col min="8723" max="8723" width="2.38671875" style="55" hidden="1"/>
    <col min="8724" max="8725" width="3" style="55" hidden="1"/>
    <col min="8726" max="8727" width="2.109375" style="55" hidden="1"/>
    <col min="8728" max="8728" width="3.38671875" style="55" hidden="1"/>
    <col min="8729" max="8960" width="9" style="55" hidden="1"/>
    <col min="8961" max="8961" width="4.38671875" style="55" hidden="1"/>
    <col min="8962" max="8962" width="8.88671875" style="55" hidden="1"/>
    <col min="8963" max="8963" width="6.38671875" style="55" hidden="1"/>
    <col min="8964" max="8964" width="8.109375" style="55" hidden="1"/>
    <col min="8965" max="8965" width="7.71875" style="55" hidden="1"/>
    <col min="8966" max="8966" width="9" style="55" hidden="1"/>
    <col min="8967" max="8967" width="2.38671875" style="55" hidden="1"/>
    <col min="8968" max="8968" width="9" style="55" hidden="1"/>
    <col min="8969" max="8970" width="3.109375" style="55" hidden="1"/>
    <col min="8971" max="8971" width="4.27734375" style="55" hidden="1"/>
    <col min="8972" max="8972" width="3.71875" style="55" hidden="1"/>
    <col min="8973" max="8973" width="3.38671875" style="55" hidden="1"/>
    <col min="8974" max="8975" width="4.38671875" style="55" hidden="1"/>
    <col min="8976" max="8976" width="3.71875" style="55" hidden="1"/>
    <col min="8977" max="8977" width="3.109375" style="55" hidden="1"/>
    <col min="8978" max="8978" width="5" style="55" hidden="1"/>
    <col min="8979" max="8979" width="2.38671875" style="55" hidden="1"/>
    <col min="8980" max="8981" width="3" style="55" hidden="1"/>
    <col min="8982" max="8983" width="2.109375" style="55" hidden="1"/>
    <col min="8984" max="8984" width="3.38671875" style="55" hidden="1"/>
    <col min="8985" max="9216" width="9" style="55" hidden="1"/>
    <col min="9217" max="9217" width="4.38671875" style="55" hidden="1"/>
    <col min="9218" max="9218" width="8.88671875" style="55" hidden="1"/>
    <col min="9219" max="9219" width="6.38671875" style="55" hidden="1"/>
    <col min="9220" max="9220" width="8.109375" style="55" hidden="1"/>
    <col min="9221" max="9221" width="7.71875" style="55" hidden="1"/>
    <col min="9222" max="9222" width="9" style="55" hidden="1"/>
    <col min="9223" max="9223" width="2.38671875" style="55" hidden="1"/>
    <col min="9224" max="9224" width="9" style="55" hidden="1"/>
    <col min="9225" max="9226" width="3.109375" style="55" hidden="1"/>
    <col min="9227" max="9227" width="4.27734375" style="55" hidden="1"/>
    <col min="9228" max="9228" width="3.71875" style="55" hidden="1"/>
    <col min="9229" max="9229" width="3.38671875" style="55" hidden="1"/>
    <col min="9230" max="9231" width="4.38671875" style="55" hidden="1"/>
    <col min="9232" max="9232" width="3.71875" style="55" hidden="1"/>
    <col min="9233" max="9233" width="3.109375" style="55" hidden="1"/>
    <col min="9234" max="9234" width="5" style="55" hidden="1"/>
    <col min="9235" max="9235" width="2.38671875" style="55" hidden="1"/>
    <col min="9236" max="9237" width="3" style="55" hidden="1"/>
    <col min="9238" max="9239" width="2.109375" style="55" hidden="1"/>
    <col min="9240" max="9240" width="3.38671875" style="55" hidden="1"/>
    <col min="9241" max="9472" width="9" style="55" hidden="1"/>
    <col min="9473" max="9473" width="4.38671875" style="55" hidden="1"/>
    <col min="9474" max="9474" width="8.88671875" style="55" hidden="1"/>
    <col min="9475" max="9475" width="6.38671875" style="55" hidden="1"/>
    <col min="9476" max="9476" width="8.109375" style="55" hidden="1"/>
    <col min="9477" max="9477" width="7.71875" style="55" hidden="1"/>
    <col min="9478" max="9478" width="9" style="55" hidden="1"/>
    <col min="9479" max="9479" width="2.38671875" style="55" hidden="1"/>
    <col min="9480" max="9480" width="9" style="55" hidden="1"/>
    <col min="9481" max="9482" width="3.109375" style="55" hidden="1"/>
    <col min="9483" max="9483" width="4.27734375" style="55" hidden="1"/>
    <col min="9484" max="9484" width="3.71875" style="55" hidden="1"/>
    <col min="9485" max="9485" width="3.38671875" style="55" hidden="1"/>
    <col min="9486" max="9487" width="4.38671875" style="55" hidden="1"/>
    <col min="9488" max="9488" width="3.71875" style="55" hidden="1"/>
    <col min="9489" max="9489" width="3.109375" style="55" hidden="1"/>
    <col min="9490" max="9490" width="5" style="55" hidden="1"/>
    <col min="9491" max="9491" width="2.38671875" style="55" hidden="1"/>
    <col min="9492" max="9493" width="3" style="55" hidden="1"/>
    <col min="9494" max="9495" width="2.109375" style="55" hidden="1"/>
    <col min="9496" max="9496" width="3.38671875" style="55" hidden="1"/>
    <col min="9497" max="9728" width="9" style="55" hidden="1"/>
    <col min="9729" max="9729" width="4.38671875" style="55" hidden="1"/>
    <col min="9730" max="9730" width="8.88671875" style="55" hidden="1"/>
    <col min="9731" max="9731" width="6.38671875" style="55" hidden="1"/>
    <col min="9732" max="9732" width="8.109375" style="55" hidden="1"/>
    <col min="9733" max="9733" width="7.71875" style="55" hidden="1"/>
    <col min="9734" max="9734" width="9" style="55" hidden="1"/>
    <col min="9735" max="9735" width="2.38671875" style="55" hidden="1"/>
    <col min="9736" max="9736" width="9" style="55" hidden="1"/>
    <col min="9737" max="9738" width="3.109375" style="55" hidden="1"/>
    <col min="9739" max="9739" width="4.27734375" style="55" hidden="1"/>
    <col min="9740" max="9740" width="3.71875" style="55" hidden="1"/>
    <col min="9741" max="9741" width="3.38671875" style="55" hidden="1"/>
    <col min="9742" max="9743" width="4.38671875" style="55" hidden="1"/>
    <col min="9744" max="9744" width="3.71875" style="55" hidden="1"/>
    <col min="9745" max="9745" width="3.109375" style="55" hidden="1"/>
    <col min="9746" max="9746" width="5" style="55" hidden="1"/>
    <col min="9747" max="9747" width="2.38671875" style="55" hidden="1"/>
    <col min="9748" max="9749" width="3" style="55" hidden="1"/>
    <col min="9750" max="9751" width="2.109375" style="55" hidden="1"/>
    <col min="9752" max="9752" width="3.38671875" style="55" hidden="1"/>
    <col min="9753" max="9984" width="9" style="55" hidden="1"/>
    <col min="9985" max="9985" width="4.38671875" style="55" hidden="1"/>
    <col min="9986" max="9986" width="8.88671875" style="55" hidden="1"/>
    <col min="9987" max="9987" width="6.38671875" style="55" hidden="1"/>
    <col min="9988" max="9988" width="8.109375" style="55" hidden="1"/>
    <col min="9989" max="9989" width="7.71875" style="55" hidden="1"/>
    <col min="9990" max="9990" width="9" style="55" hidden="1"/>
    <col min="9991" max="9991" width="2.38671875" style="55" hidden="1"/>
    <col min="9992" max="9992" width="9" style="55" hidden="1"/>
    <col min="9993" max="9994" width="3.109375" style="55" hidden="1"/>
    <col min="9995" max="9995" width="4.27734375" style="55" hidden="1"/>
    <col min="9996" max="9996" width="3.71875" style="55" hidden="1"/>
    <col min="9997" max="9997" width="3.38671875" style="55" hidden="1"/>
    <col min="9998" max="9999" width="4.38671875" style="55" hidden="1"/>
    <col min="10000" max="10000" width="3.71875" style="55" hidden="1"/>
    <col min="10001" max="10001" width="3.109375" style="55" hidden="1"/>
    <col min="10002" max="10002" width="5" style="55" hidden="1"/>
    <col min="10003" max="10003" width="2.38671875" style="55" hidden="1"/>
    <col min="10004" max="10005" width="3" style="55" hidden="1"/>
    <col min="10006" max="10007" width="2.109375" style="55" hidden="1"/>
    <col min="10008" max="10008" width="3.38671875" style="55" hidden="1"/>
    <col min="10009" max="10240" width="9" style="55" hidden="1"/>
    <col min="10241" max="10241" width="4.38671875" style="55" hidden="1"/>
    <col min="10242" max="10242" width="8.88671875" style="55" hidden="1"/>
    <col min="10243" max="10243" width="6.38671875" style="55" hidden="1"/>
    <col min="10244" max="10244" width="8.109375" style="55" hidden="1"/>
    <col min="10245" max="10245" width="7.71875" style="55" hidden="1"/>
    <col min="10246" max="10246" width="9" style="55" hidden="1"/>
    <col min="10247" max="10247" width="2.38671875" style="55" hidden="1"/>
    <col min="10248" max="10248" width="9" style="55" hidden="1"/>
    <col min="10249" max="10250" width="3.109375" style="55" hidden="1"/>
    <col min="10251" max="10251" width="4.27734375" style="55" hidden="1"/>
    <col min="10252" max="10252" width="3.71875" style="55" hidden="1"/>
    <col min="10253" max="10253" width="3.38671875" style="55" hidden="1"/>
    <col min="10254" max="10255" width="4.38671875" style="55" hidden="1"/>
    <col min="10256" max="10256" width="3.71875" style="55" hidden="1"/>
    <col min="10257" max="10257" width="3.109375" style="55" hidden="1"/>
    <col min="10258" max="10258" width="5" style="55" hidden="1"/>
    <col min="10259" max="10259" width="2.38671875" style="55" hidden="1"/>
    <col min="10260" max="10261" width="3" style="55" hidden="1"/>
    <col min="10262" max="10263" width="2.109375" style="55" hidden="1"/>
    <col min="10264" max="10264" width="3.38671875" style="55" hidden="1"/>
    <col min="10265" max="10496" width="9" style="55" hidden="1"/>
    <col min="10497" max="10497" width="4.38671875" style="55" hidden="1"/>
    <col min="10498" max="10498" width="8.88671875" style="55" hidden="1"/>
    <col min="10499" max="10499" width="6.38671875" style="55" hidden="1"/>
    <col min="10500" max="10500" width="8.109375" style="55" hidden="1"/>
    <col min="10501" max="10501" width="7.71875" style="55" hidden="1"/>
    <col min="10502" max="10502" width="9" style="55" hidden="1"/>
    <col min="10503" max="10503" width="2.38671875" style="55" hidden="1"/>
    <col min="10504" max="10504" width="9" style="55" hidden="1"/>
    <col min="10505" max="10506" width="3.109375" style="55" hidden="1"/>
    <col min="10507" max="10507" width="4.27734375" style="55" hidden="1"/>
    <col min="10508" max="10508" width="3.71875" style="55" hidden="1"/>
    <col min="10509" max="10509" width="3.38671875" style="55" hidden="1"/>
    <col min="10510" max="10511" width="4.38671875" style="55" hidden="1"/>
    <col min="10512" max="10512" width="3.71875" style="55" hidden="1"/>
    <col min="10513" max="10513" width="3.109375" style="55" hidden="1"/>
    <col min="10514" max="10514" width="5" style="55" hidden="1"/>
    <col min="10515" max="10515" width="2.38671875" style="55" hidden="1"/>
    <col min="10516" max="10517" width="3" style="55" hidden="1"/>
    <col min="10518" max="10519" width="2.109375" style="55" hidden="1"/>
    <col min="10520" max="10520" width="3.38671875" style="55" hidden="1"/>
    <col min="10521" max="10752" width="9" style="55" hidden="1"/>
    <col min="10753" max="10753" width="4.38671875" style="55" hidden="1"/>
    <col min="10754" max="10754" width="8.88671875" style="55" hidden="1"/>
    <col min="10755" max="10755" width="6.38671875" style="55" hidden="1"/>
    <col min="10756" max="10756" width="8.109375" style="55" hidden="1"/>
    <col min="10757" max="10757" width="7.71875" style="55" hidden="1"/>
    <col min="10758" max="10758" width="9" style="55" hidden="1"/>
    <col min="10759" max="10759" width="2.38671875" style="55" hidden="1"/>
    <col min="10760" max="10760" width="9" style="55" hidden="1"/>
    <col min="10761" max="10762" width="3.109375" style="55" hidden="1"/>
    <col min="10763" max="10763" width="4.27734375" style="55" hidden="1"/>
    <col min="10764" max="10764" width="3.71875" style="55" hidden="1"/>
    <col min="10765" max="10765" width="3.38671875" style="55" hidden="1"/>
    <col min="10766" max="10767" width="4.38671875" style="55" hidden="1"/>
    <col min="10768" max="10768" width="3.71875" style="55" hidden="1"/>
    <col min="10769" max="10769" width="3.109375" style="55" hidden="1"/>
    <col min="10770" max="10770" width="5" style="55" hidden="1"/>
    <col min="10771" max="10771" width="2.38671875" style="55" hidden="1"/>
    <col min="10772" max="10773" width="3" style="55" hidden="1"/>
    <col min="10774" max="10775" width="2.109375" style="55" hidden="1"/>
    <col min="10776" max="10776" width="3.38671875" style="55" hidden="1"/>
    <col min="10777" max="11008" width="9" style="55" hidden="1"/>
    <col min="11009" max="11009" width="4.38671875" style="55" hidden="1"/>
    <col min="11010" max="11010" width="8.88671875" style="55" hidden="1"/>
    <col min="11011" max="11011" width="6.38671875" style="55" hidden="1"/>
    <col min="11012" max="11012" width="8.109375" style="55" hidden="1"/>
    <col min="11013" max="11013" width="7.71875" style="55" hidden="1"/>
    <col min="11014" max="11014" width="9" style="55" hidden="1"/>
    <col min="11015" max="11015" width="2.38671875" style="55" hidden="1"/>
    <col min="11016" max="11016" width="9" style="55" hidden="1"/>
    <col min="11017" max="11018" width="3.109375" style="55" hidden="1"/>
    <col min="11019" max="11019" width="4.27734375" style="55" hidden="1"/>
    <col min="11020" max="11020" width="3.71875" style="55" hidden="1"/>
    <col min="11021" max="11021" width="3.38671875" style="55" hidden="1"/>
    <col min="11022" max="11023" width="4.38671875" style="55" hidden="1"/>
    <col min="11024" max="11024" width="3.71875" style="55" hidden="1"/>
    <col min="11025" max="11025" width="3.109375" style="55" hidden="1"/>
    <col min="11026" max="11026" width="5" style="55" hidden="1"/>
    <col min="11027" max="11027" width="2.38671875" style="55" hidden="1"/>
    <col min="11028" max="11029" width="3" style="55" hidden="1"/>
    <col min="11030" max="11031" width="2.109375" style="55" hidden="1"/>
    <col min="11032" max="11032" width="3.38671875" style="55" hidden="1"/>
    <col min="11033" max="11264" width="9" style="55" hidden="1"/>
    <col min="11265" max="11265" width="4.38671875" style="55" hidden="1"/>
    <col min="11266" max="11266" width="8.88671875" style="55" hidden="1"/>
    <col min="11267" max="11267" width="6.38671875" style="55" hidden="1"/>
    <col min="11268" max="11268" width="8.109375" style="55" hidden="1"/>
    <col min="11269" max="11269" width="7.71875" style="55" hidden="1"/>
    <col min="11270" max="11270" width="9" style="55" hidden="1"/>
    <col min="11271" max="11271" width="2.38671875" style="55" hidden="1"/>
    <col min="11272" max="11272" width="9" style="55" hidden="1"/>
    <col min="11273" max="11274" width="3.109375" style="55" hidden="1"/>
    <col min="11275" max="11275" width="4.27734375" style="55" hidden="1"/>
    <col min="11276" max="11276" width="3.71875" style="55" hidden="1"/>
    <col min="11277" max="11277" width="3.38671875" style="55" hidden="1"/>
    <col min="11278" max="11279" width="4.38671875" style="55" hidden="1"/>
    <col min="11280" max="11280" width="3.71875" style="55" hidden="1"/>
    <col min="11281" max="11281" width="3.109375" style="55" hidden="1"/>
    <col min="11282" max="11282" width="5" style="55" hidden="1"/>
    <col min="11283" max="11283" width="2.38671875" style="55" hidden="1"/>
    <col min="11284" max="11285" width="3" style="55" hidden="1"/>
    <col min="11286" max="11287" width="2.109375" style="55" hidden="1"/>
    <col min="11288" max="11288" width="3.38671875" style="55" hidden="1"/>
    <col min="11289" max="11520" width="9" style="55" hidden="1"/>
    <col min="11521" max="11521" width="4.38671875" style="55" hidden="1"/>
    <col min="11522" max="11522" width="8.88671875" style="55" hidden="1"/>
    <col min="11523" max="11523" width="6.38671875" style="55" hidden="1"/>
    <col min="11524" max="11524" width="8.109375" style="55" hidden="1"/>
    <col min="11525" max="11525" width="7.71875" style="55" hidden="1"/>
    <col min="11526" max="11526" width="9" style="55" hidden="1"/>
    <col min="11527" max="11527" width="2.38671875" style="55" hidden="1"/>
    <col min="11528" max="11528" width="9" style="55" hidden="1"/>
    <col min="11529" max="11530" width="3.109375" style="55" hidden="1"/>
    <col min="11531" max="11531" width="4.27734375" style="55" hidden="1"/>
    <col min="11532" max="11532" width="3.71875" style="55" hidden="1"/>
    <col min="11533" max="11533" width="3.38671875" style="55" hidden="1"/>
    <col min="11534" max="11535" width="4.38671875" style="55" hidden="1"/>
    <col min="11536" max="11536" width="3.71875" style="55" hidden="1"/>
    <col min="11537" max="11537" width="3.109375" style="55" hidden="1"/>
    <col min="11538" max="11538" width="5" style="55" hidden="1"/>
    <col min="11539" max="11539" width="2.38671875" style="55" hidden="1"/>
    <col min="11540" max="11541" width="3" style="55" hidden="1"/>
    <col min="11542" max="11543" width="2.109375" style="55" hidden="1"/>
    <col min="11544" max="11544" width="3.38671875" style="55" hidden="1"/>
    <col min="11545" max="11776" width="9" style="55" hidden="1"/>
    <col min="11777" max="11777" width="4.38671875" style="55" hidden="1"/>
    <col min="11778" max="11778" width="8.88671875" style="55" hidden="1"/>
    <col min="11779" max="11779" width="6.38671875" style="55" hidden="1"/>
    <col min="11780" max="11780" width="8.109375" style="55" hidden="1"/>
    <col min="11781" max="11781" width="7.71875" style="55" hidden="1"/>
    <col min="11782" max="11782" width="9" style="55" hidden="1"/>
    <col min="11783" max="11783" width="2.38671875" style="55" hidden="1"/>
    <col min="11784" max="11784" width="9" style="55" hidden="1"/>
    <col min="11785" max="11786" width="3.109375" style="55" hidden="1"/>
    <col min="11787" max="11787" width="4.27734375" style="55" hidden="1"/>
    <col min="11788" max="11788" width="3.71875" style="55" hidden="1"/>
    <col min="11789" max="11789" width="3.38671875" style="55" hidden="1"/>
    <col min="11790" max="11791" width="4.38671875" style="55" hidden="1"/>
    <col min="11792" max="11792" width="3.71875" style="55" hidden="1"/>
    <col min="11793" max="11793" width="3.109375" style="55" hidden="1"/>
    <col min="11794" max="11794" width="5" style="55" hidden="1"/>
    <col min="11795" max="11795" width="2.38671875" style="55" hidden="1"/>
    <col min="11796" max="11797" width="3" style="55" hidden="1"/>
    <col min="11798" max="11799" width="2.109375" style="55" hidden="1"/>
    <col min="11800" max="11800" width="3.38671875" style="55" hidden="1"/>
    <col min="11801" max="12032" width="9" style="55" hidden="1"/>
    <col min="12033" max="12033" width="4.38671875" style="55" hidden="1"/>
    <col min="12034" max="12034" width="8.88671875" style="55" hidden="1"/>
    <col min="12035" max="12035" width="6.38671875" style="55" hidden="1"/>
    <col min="12036" max="12036" width="8.109375" style="55" hidden="1"/>
    <col min="12037" max="12037" width="7.71875" style="55" hidden="1"/>
    <col min="12038" max="12038" width="9" style="55" hidden="1"/>
    <col min="12039" max="12039" width="2.38671875" style="55" hidden="1"/>
    <col min="12040" max="12040" width="9" style="55" hidden="1"/>
    <col min="12041" max="12042" width="3.109375" style="55" hidden="1"/>
    <col min="12043" max="12043" width="4.27734375" style="55" hidden="1"/>
    <col min="12044" max="12044" width="3.71875" style="55" hidden="1"/>
    <col min="12045" max="12045" width="3.38671875" style="55" hidden="1"/>
    <col min="12046" max="12047" width="4.38671875" style="55" hidden="1"/>
    <col min="12048" max="12048" width="3.71875" style="55" hidden="1"/>
    <col min="12049" max="12049" width="3.109375" style="55" hidden="1"/>
    <col min="12050" max="12050" width="5" style="55" hidden="1"/>
    <col min="12051" max="12051" width="2.38671875" style="55" hidden="1"/>
    <col min="12052" max="12053" width="3" style="55" hidden="1"/>
    <col min="12054" max="12055" width="2.109375" style="55" hidden="1"/>
    <col min="12056" max="12056" width="3.38671875" style="55" hidden="1"/>
    <col min="12057" max="12288" width="9" style="55" hidden="1"/>
    <col min="12289" max="12289" width="4.38671875" style="55" hidden="1"/>
    <col min="12290" max="12290" width="8.88671875" style="55" hidden="1"/>
    <col min="12291" max="12291" width="6.38671875" style="55" hidden="1"/>
    <col min="12292" max="12292" width="8.109375" style="55" hidden="1"/>
    <col min="12293" max="12293" width="7.71875" style="55" hidden="1"/>
    <col min="12294" max="12294" width="9" style="55" hidden="1"/>
    <col min="12295" max="12295" width="2.38671875" style="55" hidden="1"/>
    <col min="12296" max="12296" width="9" style="55" hidden="1"/>
    <col min="12297" max="12298" width="3.109375" style="55" hidden="1"/>
    <col min="12299" max="12299" width="4.27734375" style="55" hidden="1"/>
    <col min="12300" max="12300" width="3.71875" style="55" hidden="1"/>
    <col min="12301" max="12301" width="3.38671875" style="55" hidden="1"/>
    <col min="12302" max="12303" width="4.38671875" style="55" hidden="1"/>
    <col min="12304" max="12304" width="3.71875" style="55" hidden="1"/>
    <col min="12305" max="12305" width="3.109375" style="55" hidden="1"/>
    <col min="12306" max="12306" width="5" style="55" hidden="1"/>
    <col min="12307" max="12307" width="2.38671875" style="55" hidden="1"/>
    <col min="12308" max="12309" width="3" style="55" hidden="1"/>
    <col min="12310" max="12311" width="2.109375" style="55" hidden="1"/>
    <col min="12312" max="12312" width="3.38671875" style="55" hidden="1"/>
    <col min="12313" max="12544" width="9" style="55" hidden="1"/>
    <col min="12545" max="12545" width="4.38671875" style="55" hidden="1"/>
    <col min="12546" max="12546" width="8.88671875" style="55" hidden="1"/>
    <col min="12547" max="12547" width="6.38671875" style="55" hidden="1"/>
    <col min="12548" max="12548" width="8.109375" style="55" hidden="1"/>
    <col min="12549" max="12549" width="7.71875" style="55" hidden="1"/>
    <col min="12550" max="12550" width="9" style="55" hidden="1"/>
    <col min="12551" max="12551" width="2.38671875" style="55" hidden="1"/>
    <col min="12552" max="12552" width="9" style="55" hidden="1"/>
    <col min="12553" max="12554" width="3.109375" style="55" hidden="1"/>
    <col min="12555" max="12555" width="4.27734375" style="55" hidden="1"/>
    <col min="12556" max="12556" width="3.71875" style="55" hidden="1"/>
    <col min="12557" max="12557" width="3.38671875" style="55" hidden="1"/>
    <col min="12558" max="12559" width="4.38671875" style="55" hidden="1"/>
    <col min="12560" max="12560" width="3.71875" style="55" hidden="1"/>
    <col min="12561" max="12561" width="3.109375" style="55" hidden="1"/>
    <col min="12562" max="12562" width="5" style="55" hidden="1"/>
    <col min="12563" max="12563" width="2.38671875" style="55" hidden="1"/>
    <col min="12564" max="12565" width="3" style="55" hidden="1"/>
    <col min="12566" max="12567" width="2.109375" style="55" hidden="1"/>
    <col min="12568" max="12568" width="3.38671875" style="55" hidden="1"/>
    <col min="12569" max="12800" width="9" style="55" hidden="1"/>
    <col min="12801" max="12801" width="4.38671875" style="55" hidden="1"/>
    <col min="12802" max="12802" width="8.88671875" style="55" hidden="1"/>
    <col min="12803" max="12803" width="6.38671875" style="55" hidden="1"/>
    <col min="12804" max="12804" width="8.109375" style="55" hidden="1"/>
    <col min="12805" max="12805" width="7.71875" style="55" hidden="1"/>
    <col min="12806" max="12806" width="9" style="55" hidden="1"/>
    <col min="12807" max="12807" width="2.38671875" style="55" hidden="1"/>
    <col min="12808" max="12808" width="9" style="55" hidden="1"/>
    <col min="12809" max="12810" width="3.109375" style="55" hidden="1"/>
    <col min="12811" max="12811" width="4.27734375" style="55" hidden="1"/>
    <col min="12812" max="12812" width="3.71875" style="55" hidden="1"/>
    <col min="12813" max="12813" width="3.38671875" style="55" hidden="1"/>
    <col min="12814" max="12815" width="4.38671875" style="55" hidden="1"/>
    <col min="12816" max="12816" width="3.71875" style="55" hidden="1"/>
    <col min="12817" max="12817" width="3.109375" style="55" hidden="1"/>
    <col min="12818" max="12818" width="5" style="55" hidden="1"/>
    <col min="12819" max="12819" width="2.38671875" style="55" hidden="1"/>
    <col min="12820" max="12821" width="3" style="55" hidden="1"/>
    <col min="12822" max="12823" width="2.109375" style="55" hidden="1"/>
    <col min="12824" max="12824" width="3.38671875" style="55" hidden="1"/>
    <col min="12825" max="13056" width="9" style="55" hidden="1"/>
    <col min="13057" max="13057" width="4.38671875" style="55" hidden="1"/>
    <col min="13058" max="13058" width="8.88671875" style="55" hidden="1"/>
    <col min="13059" max="13059" width="6.38671875" style="55" hidden="1"/>
    <col min="13060" max="13060" width="8.109375" style="55" hidden="1"/>
    <col min="13061" max="13061" width="7.71875" style="55" hidden="1"/>
    <col min="13062" max="13062" width="9" style="55" hidden="1"/>
    <col min="13063" max="13063" width="2.38671875" style="55" hidden="1"/>
    <col min="13064" max="13064" width="9" style="55" hidden="1"/>
    <col min="13065" max="13066" width="3.109375" style="55" hidden="1"/>
    <col min="13067" max="13067" width="4.27734375" style="55" hidden="1"/>
    <col min="13068" max="13068" width="3.71875" style="55" hidden="1"/>
    <col min="13069" max="13069" width="3.38671875" style="55" hidden="1"/>
    <col min="13070" max="13071" width="4.38671875" style="55" hidden="1"/>
    <col min="13072" max="13072" width="3.71875" style="55" hidden="1"/>
    <col min="13073" max="13073" width="3.109375" style="55" hidden="1"/>
    <col min="13074" max="13074" width="5" style="55" hidden="1"/>
    <col min="13075" max="13075" width="2.38671875" style="55" hidden="1"/>
    <col min="13076" max="13077" width="3" style="55" hidden="1"/>
    <col min="13078" max="13079" width="2.109375" style="55" hidden="1"/>
    <col min="13080" max="13080" width="3.38671875" style="55" hidden="1"/>
    <col min="13081" max="13312" width="9" style="55" hidden="1"/>
    <col min="13313" max="13313" width="4.38671875" style="55" hidden="1"/>
    <col min="13314" max="13314" width="8.88671875" style="55" hidden="1"/>
    <col min="13315" max="13315" width="6.38671875" style="55" hidden="1"/>
    <col min="13316" max="13316" width="8.109375" style="55" hidden="1"/>
    <col min="13317" max="13317" width="7.71875" style="55" hidden="1"/>
    <col min="13318" max="13318" width="9" style="55" hidden="1"/>
    <col min="13319" max="13319" width="2.38671875" style="55" hidden="1"/>
    <col min="13320" max="13320" width="9" style="55" hidden="1"/>
    <col min="13321" max="13322" width="3.109375" style="55" hidden="1"/>
    <col min="13323" max="13323" width="4.27734375" style="55" hidden="1"/>
    <col min="13324" max="13324" width="3.71875" style="55" hidden="1"/>
    <col min="13325" max="13325" width="3.38671875" style="55" hidden="1"/>
    <col min="13326" max="13327" width="4.38671875" style="55" hidden="1"/>
    <col min="13328" max="13328" width="3.71875" style="55" hidden="1"/>
    <col min="13329" max="13329" width="3.109375" style="55" hidden="1"/>
    <col min="13330" max="13330" width="5" style="55" hidden="1"/>
    <col min="13331" max="13331" width="2.38671875" style="55" hidden="1"/>
    <col min="13332" max="13333" width="3" style="55" hidden="1"/>
    <col min="13334" max="13335" width="2.109375" style="55" hidden="1"/>
    <col min="13336" max="13336" width="3.38671875" style="55" hidden="1"/>
    <col min="13337" max="13568" width="9" style="55" hidden="1"/>
    <col min="13569" max="13569" width="4.38671875" style="55" hidden="1"/>
    <col min="13570" max="13570" width="8.88671875" style="55" hidden="1"/>
    <col min="13571" max="13571" width="6.38671875" style="55" hidden="1"/>
    <col min="13572" max="13572" width="8.109375" style="55" hidden="1"/>
    <col min="13573" max="13573" width="7.71875" style="55" hidden="1"/>
    <col min="13574" max="13574" width="9" style="55" hidden="1"/>
    <col min="13575" max="13575" width="2.38671875" style="55" hidden="1"/>
    <col min="13576" max="13576" width="9" style="55" hidden="1"/>
    <col min="13577" max="13578" width="3.109375" style="55" hidden="1"/>
    <col min="13579" max="13579" width="4.27734375" style="55" hidden="1"/>
    <col min="13580" max="13580" width="3.71875" style="55" hidden="1"/>
    <col min="13581" max="13581" width="3.38671875" style="55" hidden="1"/>
    <col min="13582" max="13583" width="4.38671875" style="55" hidden="1"/>
    <col min="13584" max="13584" width="3.71875" style="55" hidden="1"/>
    <col min="13585" max="13585" width="3.109375" style="55" hidden="1"/>
    <col min="13586" max="13586" width="5" style="55" hidden="1"/>
    <col min="13587" max="13587" width="2.38671875" style="55" hidden="1"/>
    <col min="13588" max="13589" width="3" style="55" hidden="1"/>
    <col min="13590" max="13591" width="2.109375" style="55" hidden="1"/>
    <col min="13592" max="13592" width="3.38671875" style="55" hidden="1"/>
    <col min="13593" max="13824" width="9" style="55" hidden="1"/>
    <col min="13825" max="13825" width="4.38671875" style="55" hidden="1"/>
    <col min="13826" max="13826" width="8.88671875" style="55" hidden="1"/>
    <col min="13827" max="13827" width="6.38671875" style="55" hidden="1"/>
    <col min="13828" max="13828" width="8.109375" style="55" hidden="1"/>
    <col min="13829" max="13829" width="7.71875" style="55" hidden="1"/>
    <col min="13830" max="13830" width="9" style="55" hidden="1"/>
    <col min="13831" max="13831" width="2.38671875" style="55" hidden="1"/>
    <col min="13832" max="13832" width="9" style="55" hidden="1"/>
    <col min="13833" max="13834" width="3.109375" style="55" hidden="1"/>
    <col min="13835" max="13835" width="4.27734375" style="55" hidden="1"/>
    <col min="13836" max="13836" width="3.71875" style="55" hidden="1"/>
    <col min="13837" max="13837" width="3.38671875" style="55" hidden="1"/>
    <col min="13838" max="13839" width="4.38671875" style="55" hidden="1"/>
    <col min="13840" max="13840" width="3.71875" style="55" hidden="1"/>
    <col min="13841" max="13841" width="3.109375" style="55" hidden="1"/>
    <col min="13842" max="13842" width="5" style="55" hidden="1"/>
    <col min="13843" max="13843" width="2.38671875" style="55" hidden="1"/>
    <col min="13844" max="13845" width="3" style="55" hidden="1"/>
    <col min="13846" max="13847" width="2.109375" style="55" hidden="1"/>
    <col min="13848" max="13848" width="3.38671875" style="55" hidden="1"/>
    <col min="13849" max="14080" width="9" style="55" hidden="1"/>
    <col min="14081" max="14081" width="4.38671875" style="55" hidden="1"/>
    <col min="14082" max="14082" width="8.88671875" style="55" hidden="1"/>
    <col min="14083" max="14083" width="6.38671875" style="55" hidden="1"/>
    <col min="14084" max="14084" width="8.109375" style="55" hidden="1"/>
    <col min="14085" max="14085" width="7.71875" style="55" hidden="1"/>
    <col min="14086" max="14086" width="9" style="55" hidden="1"/>
    <col min="14087" max="14087" width="2.38671875" style="55" hidden="1"/>
    <col min="14088" max="14088" width="9" style="55" hidden="1"/>
    <col min="14089" max="14090" width="3.109375" style="55" hidden="1"/>
    <col min="14091" max="14091" width="4.27734375" style="55" hidden="1"/>
    <col min="14092" max="14092" width="3.71875" style="55" hidden="1"/>
    <col min="14093" max="14093" width="3.38671875" style="55" hidden="1"/>
    <col min="14094" max="14095" width="4.38671875" style="55" hidden="1"/>
    <col min="14096" max="14096" width="3.71875" style="55" hidden="1"/>
    <col min="14097" max="14097" width="3.109375" style="55" hidden="1"/>
    <col min="14098" max="14098" width="5" style="55" hidden="1"/>
    <col min="14099" max="14099" width="2.38671875" style="55" hidden="1"/>
    <col min="14100" max="14101" width="3" style="55" hidden="1"/>
    <col min="14102" max="14103" width="2.109375" style="55" hidden="1"/>
    <col min="14104" max="14104" width="3.38671875" style="55" hidden="1"/>
    <col min="14105" max="14336" width="9" style="55" hidden="1"/>
    <col min="14337" max="14337" width="4.38671875" style="55" hidden="1"/>
    <col min="14338" max="14338" width="8.88671875" style="55" hidden="1"/>
    <col min="14339" max="14339" width="6.38671875" style="55" hidden="1"/>
    <col min="14340" max="14340" width="8.109375" style="55" hidden="1"/>
    <col min="14341" max="14341" width="7.71875" style="55" hidden="1"/>
    <col min="14342" max="14342" width="9" style="55" hidden="1"/>
    <col min="14343" max="14343" width="2.38671875" style="55" hidden="1"/>
    <col min="14344" max="14344" width="9" style="55" hidden="1"/>
    <col min="14345" max="14346" width="3.109375" style="55" hidden="1"/>
    <col min="14347" max="14347" width="4.27734375" style="55" hidden="1"/>
    <col min="14348" max="14348" width="3.71875" style="55" hidden="1"/>
    <col min="14349" max="14349" width="3.38671875" style="55" hidden="1"/>
    <col min="14350" max="14351" width="4.38671875" style="55" hidden="1"/>
    <col min="14352" max="14352" width="3.71875" style="55" hidden="1"/>
    <col min="14353" max="14353" width="3.109375" style="55" hidden="1"/>
    <col min="14354" max="14354" width="5" style="55" hidden="1"/>
    <col min="14355" max="14355" width="2.38671875" style="55" hidden="1"/>
    <col min="14356" max="14357" width="3" style="55" hidden="1"/>
    <col min="14358" max="14359" width="2.109375" style="55" hidden="1"/>
    <col min="14360" max="14360" width="3.38671875" style="55" hidden="1"/>
    <col min="14361" max="14592" width="9" style="55" hidden="1"/>
    <col min="14593" max="14593" width="4.38671875" style="55" hidden="1"/>
    <col min="14594" max="14594" width="8.88671875" style="55" hidden="1"/>
    <col min="14595" max="14595" width="6.38671875" style="55" hidden="1"/>
    <col min="14596" max="14596" width="8.109375" style="55" hidden="1"/>
    <col min="14597" max="14597" width="7.71875" style="55" hidden="1"/>
    <col min="14598" max="14598" width="9" style="55" hidden="1"/>
    <col min="14599" max="14599" width="2.38671875" style="55" hidden="1"/>
    <col min="14600" max="14600" width="9" style="55" hidden="1"/>
    <col min="14601" max="14602" width="3.109375" style="55" hidden="1"/>
    <col min="14603" max="14603" width="4.27734375" style="55" hidden="1"/>
    <col min="14604" max="14604" width="3.71875" style="55" hidden="1"/>
    <col min="14605" max="14605" width="3.38671875" style="55" hidden="1"/>
    <col min="14606" max="14607" width="4.38671875" style="55" hidden="1"/>
    <col min="14608" max="14608" width="3.71875" style="55" hidden="1"/>
    <col min="14609" max="14609" width="3.109375" style="55" hidden="1"/>
    <col min="14610" max="14610" width="5" style="55" hidden="1"/>
    <col min="14611" max="14611" width="2.38671875" style="55" hidden="1"/>
    <col min="14612" max="14613" width="3" style="55" hidden="1"/>
    <col min="14614" max="14615" width="2.109375" style="55" hidden="1"/>
    <col min="14616" max="14616" width="3.38671875" style="55" hidden="1"/>
    <col min="14617" max="14848" width="9" style="55" hidden="1"/>
    <col min="14849" max="14849" width="4.38671875" style="55" hidden="1"/>
    <col min="14850" max="14850" width="8.88671875" style="55" hidden="1"/>
    <col min="14851" max="14851" width="6.38671875" style="55" hidden="1"/>
    <col min="14852" max="14852" width="8.109375" style="55" hidden="1"/>
    <col min="14853" max="14853" width="7.71875" style="55" hidden="1"/>
    <col min="14854" max="14854" width="9" style="55" hidden="1"/>
    <col min="14855" max="14855" width="2.38671875" style="55" hidden="1"/>
    <col min="14856" max="14856" width="9" style="55" hidden="1"/>
    <col min="14857" max="14858" width="3.109375" style="55" hidden="1"/>
    <col min="14859" max="14859" width="4.27734375" style="55" hidden="1"/>
    <col min="14860" max="14860" width="3.71875" style="55" hidden="1"/>
    <col min="14861" max="14861" width="3.38671875" style="55" hidden="1"/>
    <col min="14862" max="14863" width="4.38671875" style="55" hidden="1"/>
    <col min="14864" max="14864" width="3.71875" style="55" hidden="1"/>
    <col min="14865" max="14865" width="3.109375" style="55" hidden="1"/>
    <col min="14866" max="14866" width="5" style="55" hidden="1"/>
    <col min="14867" max="14867" width="2.38671875" style="55" hidden="1"/>
    <col min="14868" max="14869" width="3" style="55" hidden="1"/>
    <col min="14870" max="14871" width="2.109375" style="55" hidden="1"/>
    <col min="14872" max="14872" width="3.38671875" style="55" hidden="1"/>
    <col min="14873" max="15104" width="9" style="55" hidden="1"/>
    <col min="15105" max="15105" width="4.38671875" style="55" hidden="1"/>
    <col min="15106" max="15106" width="8.88671875" style="55" hidden="1"/>
    <col min="15107" max="15107" width="6.38671875" style="55" hidden="1"/>
    <col min="15108" max="15108" width="8.109375" style="55" hidden="1"/>
    <col min="15109" max="15109" width="7.71875" style="55" hidden="1"/>
    <col min="15110" max="15110" width="9" style="55" hidden="1"/>
    <col min="15111" max="15111" width="2.38671875" style="55" hidden="1"/>
    <col min="15112" max="15112" width="9" style="55" hidden="1"/>
    <col min="15113" max="15114" width="3.109375" style="55" hidden="1"/>
    <col min="15115" max="15115" width="4.27734375" style="55" hidden="1"/>
    <col min="15116" max="15116" width="3.71875" style="55" hidden="1"/>
    <col min="15117" max="15117" width="3.38671875" style="55" hidden="1"/>
    <col min="15118" max="15119" width="4.38671875" style="55" hidden="1"/>
    <col min="15120" max="15120" width="3.71875" style="55" hidden="1"/>
    <col min="15121" max="15121" width="3.109375" style="55" hidden="1"/>
    <col min="15122" max="15122" width="5" style="55" hidden="1"/>
    <col min="15123" max="15123" width="2.38671875" style="55" hidden="1"/>
    <col min="15124" max="15125" width="3" style="55" hidden="1"/>
    <col min="15126" max="15127" width="2.109375" style="55" hidden="1"/>
    <col min="15128" max="15128" width="3.38671875" style="55" hidden="1"/>
    <col min="15129" max="15360" width="9" style="55" hidden="1"/>
    <col min="15361" max="15361" width="4.38671875" style="55" hidden="1"/>
    <col min="15362" max="15362" width="8.88671875" style="55" hidden="1"/>
    <col min="15363" max="15363" width="6.38671875" style="55" hidden="1"/>
    <col min="15364" max="15364" width="8.109375" style="55" hidden="1"/>
    <col min="15365" max="15365" width="7.71875" style="55" hidden="1"/>
    <col min="15366" max="15366" width="9" style="55" hidden="1"/>
    <col min="15367" max="15367" width="2.38671875" style="55" hidden="1"/>
    <col min="15368" max="15368" width="9" style="55" hidden="1"/>
    <col min="15369" max="15370" width="3.109375" style="55" hidden="1"/>
    <col min="15371" max="15371" width="4.27734375" style="55" hidden="1"/>
    <col min="15372" max="15372" width="3.71875" style="55" hidden="1"/>
    <col min="15373" max="15373" width="3.38671875" style="55" hidden="1"/>
    <col min="15374" max="15375" width="4.38671875" style="55" hidden="1"/>
    <col min="15376" max="15376" width="3.71875" style="55" hidden="1"/>
    <col min="15377" max="15377" width="3.109375" style="55" hidden="1"/>
    <col min="15378" max="15378" width="5" style="55" hidden="1"/>
    <col min="15379" max="15379" width="2.38671875" style="55" hidden="1"/>
    <col min="15380" max="15381" width="3" style="55" hidden="1"/>
    <col min="15382" max="15383" width="2.109375" style="55" hidden="1"/>
    <col min="15384" max="15384" width="3.38671875" style="55" hidden="1"/>
    <col min="15385" max="15616" width="9" style="55" hidden="1"/>
    <col min="15617" max="15617" width="4.38671875" style="55" hidden="1"/>
    <col min="15618" max="15618" width="8.88671875" style="55" hidden="1"/>
    <col min="15619" max="15619" width="6.38671875" style="55" hidden="1"/>
    <col min="15620" max="15620" width="8.109375" style="55" hidden="1"/>
    <col min="15621" max="15621" width="7.71875" style="55" hidden="1"/>
    <col min="15622" max="15622" width="9" style="55" hidden="1"/>
    <col min="15623" max="15623" width="2.38671875" style="55" hidden="1"/>
    <col min="15624" max="15624" width="9" style="55" hidden="1"/>
    <col min="15625" max="15626" width="3.109375" style="55" hidden="1"/>
    <col min="15627" max="15627" width="4.27734375" style="55" hidden="1"/>
    <col min="15628" max="15628" width="3.71875" style="55" hidden="1"/>
    <col min="15629" max="15629" width="3.38671875" style="55" hidden="1"/>
    <col min="15630" max="15631" width="4.38671875" style="55" hidden="1"/>
    <col min="15632" max="15632" width="3.71875" style="55" hidden="1"/>
    <col min="15633" max="15633" width="3.109375" style="55" hidden="1"/>
    <col min="15634" max="15634" width="5" style="55" hidden="1"/>
    <col min="15635" max="15635" width="2.38671875" style="55" hidden="1"/>
    <col min="15636" max="15637" width="3" style="55" hidden="1"/>
    <col min="15638" max="15639" width="2.109375" style="55" hidden="1"/>
    <col min="15640" max="15640" width="3.38671875" style="55" hidden="1"/>
    <col min="15641" max="15872" width="9" style="55" hidden="1"/>
    <col min="15873" max="15873" width="4.38671875" style="55" hidden="1"/>
    <col min="15874" max="15874" width="8.88671875" style="55" hidden="1"/>
    <col min="15875" max="15875" width="6.38671875" style="55" hidden="1"/>
    <col min="15876" max="15876" width="8.109375" style="55" hidden="1"/>
    <col min="15877" max="15877" width="7.71875" style="55" hidden="1"/>
    <col min="15878" max="15878" width="9" style="55" hidden="1"/>
    <col min="15879" max="15879" width="2.38671875" style="55" hidden="1"/>
    <col min="15880" max="15880" width="9" style="55" hidden="1"/>
    <col min="15881" max="15882" width="3.109375" style="55" hidden="1"/>
    <col min="15883" max="15883" width="4.27734375" style="55" hidden="1"/>
    <col min="15884" max="15884" width="3.71875" style="55" hidden="1"/>
    <col min="15885" max="15885" width="3.38671875" style="55" hidden="1"/>
    <col min="15886" max="15887" width="4.38671875" style="55" hidden="1"/>
    <col min="15888" max="15888" width="3.71875" style="55" hidden="1"/>
    <col min="15889" max="15889" width="3.109375" style="55" hidden="1"/>
    <col min="15890" max="15890" width="5" style="55" hidden="1"/>
    <col min="15891" max="15891" width="2.38671875" style="55" hidden="1"/>
    <col min="15892" max="15893" width="3" style="55" hidden="1"/>
    <col min="15894" max="15895" width="2.109375" style="55" hidden="1"/>
    <col min="15896" max="15896" width="3.38671875" style="55" hidden="1"/>
    <col min="15897" max="16128" width="9" style="55" hidden="1"/>
    <col min="16129" max="16129" width="4.38671875" style="55" hidden="1"/>
    <col min="16130" max="16130" width="8.88671875" style="55" hidden="1"/>
    <col min="16131" max="16131" width="6.38671875" style="55" hidden="1"/>
    <col min="16132" max="16132" width="8.109375" style="55" hidden="1"/>
    <col min="16133" max="16133" width="7.71875" style="55" hidden="1"/>
    <col min="16134" max="16134" width="9" style="55" hidden="1"/>
    <col min="16135" max="16135" width="2.38671875" style="55" hidden="1"/>
    <col min="16136" max="16136" width="9" style="55" hidden="1"/>
    <col min="16137" max="16138" width="3.109375" style="55" hidden="1"/>
    <col min="16139" max="16139" width="4.27734375" style="55" hidden="1"/>
    <col min="16140" max="16140" width="3.71875" style="55" hidden="1"/>
    <col min="16141" max="16141" width="3.38671875" style="55" hidden="1"/>
    <col min="16142" max="16143" width="4.38671875" style="55" hidden="1"/>
    <col min="16144" max="16144" width="3.71875" style="55" hidden="1"/>
    <col min="16145" max="16145" width="3.109375" style="55" hidden="1"/>
    <col min="16146" max="16146" width="5" style="55" hidden="1"/>
    <col min="16147" max="16147" width="2.38671875" style="55" hidden="1"/>
    <col min="16148" max="16149" width="3" style="55" hidden="1"/>
    <col min="16150" max="16151" width="2.109375" style="55" hidden="1"/>
    <col min="16152" max="16152" width="3.38671875" style="55" hidden="1"/>
    <col min="16153" max="16384" width="9" style="55" hidden="1"/>
  </cols>
  <sheetData>
    <row r="1" spans="1:25" ht="24.75" customHeight="1">
      <c r="A1" s="2083"/>
      <c r="B1" s="2083"/>
      <c r="C1" s="2083"/>
      <c r="D1" s="2084" t="s">
        <v>844</v>
      </c>
      <c r="E1" s="2085"/>
      <c r="F1" s="2085"/>
      <c r="G1" s="2085"/>
      <c r="H1" s="2085"/>
      <c r="I1" s="2085"/>
      <c r="J1" s="2085"/>
      <c r="K1" s="2085"/>
      <c r="L1" s="2085"/>
      <c r="M1" s="2085"/>
      <c r="N1" s="2085"/>
      <c r="O1" s="2085"/>
      <c r="P1" s="2085"/>
      <c r="Q1" s="2086"/>
      <c r="R1" s="2087" t="s">
        <v>1127</v>
      </c>
      <c r="S1" s="2087"/>
      <c r="T1" s="2087"/>
      <c r="U1" s="2087"/>
      <c r="V1" s="2087"/>
      <c r="W1" s="2087"/>
      <c r="X1" s="2087"/>
      <c r="Y1" s="321"/>
    </row>
    <row r="2" spans="1:25" ht="17.25" customHeight="1">
      <c r="A2" s="2083"/>
      <c r="B2" s="2083"/>
      <c r="C2" s="2083"/>
      <c r="D2" s="2088" t="s">
        <v>845</v>
      </c>
      <c r="E2" s="2089"/>
      <c r="F2" s="2089"/>
      <c r="G2" s="2089"/>
      <c r="H2" s="2089"/>
      <c r="I2" s="2089"/>
      <c r="J2" s="2089"/>
      <c r="K2" s="2089"/>
      <c r="L2" s="2089"/>
      <c r="M2" s="2089"/>
      <c r="N2" s="2089"/>
      <c r="O2" s="2089"/>
      <c r="P2" s="2089"/>
      <c r="Q2" s="2090"/>
      <c r="R2" s="2091" t="s">
        <v>1128</v>
      </c>
      <c r="S2" s="2092"/>
      <c r="T2" s="2092"/>
      <c r="U2" s="2092"/>
      <c r="V2" s="2092"/>
      <c r="W2" s="2092"/>
      <c r="X2" s="2093"/>
      <c r="Y2" s="321"/>
    </row>
    <row r="3" spans="1:25" ht="26.25" customHeight="1">
      <c r="A3" s="2083"/>
      <c r="B3" s="2083"/>
      <c r="C3" s="2083"/>
      <c r="D3" s="2094" t="s">
        <v>846</v>
      </c>
      <c r="E3" s="2094"/>
      <c r="F3" s="2094"/>
      <c r="G3" s="2094"/>
      <c r="H3" s="2094"/>
      <c r="I3" s="2094"/>
      <c r="J3" s="2094"/>
      <c r="K3" s="2094"/>
      <c r="L3" s="2094"/>
      <c r="M3" s="2094"/>
      <c r="N3" s="2094"/>
      <c r="O3" s="2094"/>
      <c r="P3" s="2094"/>
      <c r="Q3" s="2094"/>
      <c r="R3" s="2095" t="s">
        <v>1129</v>
      </c>
      <c r="S3" s="2096"/>
      <c r="T3" s="2096"/>
      <c r="U3" s="2096"/>
      <c r="V3" s="2096"/>
      <c r="W3" s="2096"/>
      <c r="X3" s="2097"/>
      <c r="Y3" s="322"/>
    </row>
    <row r="4" spans="1:25" ht="15.75" customHeight="1">
      <c r="A4" s="2083"/>
      <c r="B4" s="2083"/>
      <c r="C4" s="2083"/>
      <c r="D4" s="2094" t="s">
        <v>847</v>
      </c>
      <c r="E4" s="2094"/>
      <c r="F4" s="2094"/>
      <c r="G4" s="2094"/>
      <c r="H4" s="2094"/>
      <c r="I4" s="2094"/>
      <c r="J4" s="2094"/>
      <c r="K4" s="2094"/>
      <c r="L4" s="2094"/>
      <c r="M4" s="2094"/>
      <c r="N4" s="2094"/>
      <c r="O4" s="2094"/>
      <c r="P4" s="2094"/>
      <c r="Q4" s="2094"/>
      <c r="R4" s="2098" t="s">
        <v>1094</v>
      </c>
      <c r="S4" s="2098"/>
      <c r="T4" s="2098"/>
      <c r="U4" s="2098"/>
      <c r="V4" s="2098"/>
      <c r="W4" s="2098"/>
      <c r="X4" s="2098"/>
      <c r="Y4" s="319"/>
    </row>
    <row r="5" spans="1:25" ht="17.25" customHeight="1">
      <c r="A5" s="2083"/>
      <c r="B5" s="2083"/>
      <c r="C5" s="2083"/>
      <c r="D5" s="2099" t="s">
        <v>849</v>
      </c>
      <c r="E5" s="2099"/>
      <c r="F5" s="2099"/>
      <c r="G5" s="2099"/>
      <c r="H5" s="2099"/>
      <c r="I5" s="2099"/>
      <c r="J5" s="2099"/>
      <c r="K5" s="2099"/>
      <c r="L5" s="2099"/>
      <c r="M5" s="2099"/>
      <c r="N5" s="2099"/>
      <c r="O5" s="2099"/>
      <c r="P5" s="2099"/>
      <c r="Q5" s="2099"/>
      <c r="R5" s="2074" t="s">
        <v>1095</v>
      </c>
      <c r="S5" s="2075"/>
      <c r="T5" s="2075"/>
      <c r="U5" s="2075"/>
      <c r="V5" s="2075"/>
      <c r="W5" s="2075"/>
      <c r="X5" s="2076"/>
      <c r="Y5" s="323"/>
    </row>
    <row r="6" spans="1:25" ht="15" customHeight="1">
      <c r="A6" s="2077" t="s">
        <v>1096</v>
      </c>
      <c r="B6" s="2078"/>
      <c r="C6" s="2078"/>
      <c r="D6" s="2078"/>
      <c r="E6" s="2078"/>
      <c r="F6" s="2078"/>
      <c r="G6" s="2078"/>
      <c r="H6" s="2078"/>
      <c r="I6" s="2078"/>
      <c r="J6" s="2079"/>
      <c r="K6" s="2077" t="s">
        <v>1097</v>
      </c>
      <c r="L6" s="2078"/>
      <c r="M6" s="2078"/>
      <c r="N6" s="2078"/>
      <c r="O6" s="2078"/>
      <c r="P6" s="2078"/>
      <c r="Q6" s="2078"/>
      <c r="R6" s="2078"/>
      <c r="S6" s="2078"/>
      <c r="T6" s="2078"/>
      <c r="U6" s="2078"/>
      <c r="V6" s="2078"/>
      <c r="W6" s="2078"/>
      <c r="X6" s="2079"/>
    </row>
    <row r="7" spans="1:25" ht="13.8" customHeight="1">
      <c r="A7" s="2057"/>
      <c r="B7" s="2058"/>
      <c r="C7" s="2058"/>
      <c r="D7" s="2058"/>
      <c r="E7" s="2058"/>
      <c r="F7" s="2058"/>
      <c r="G7" s="2058"/>
      <c r="H7" s="2058"/>
      <c r="I7" s="2058"/>
      <c r="J7" s="2059"/>
      <c r="K7" s="2071" t="s">
        <v>1130</v>
      </c>
      <c r="L7" s="2072"/>
      <c r="M7" s="2072"/>
      <c r="N7" s="2072"/>
      <c r="O7" s="2072"/>
      <c r="P7" s="2072"/>
      <c r="Q7" s="2072"/>
      <c r="R7" s="2072"/>
      <c r="S7" s="2072"/>
      <c r="T7" s="2072"/>
      <c r="U7" s="2072"/>
      <c r="V7" s="2072"/>
      <c r="W7" s="2072"/>
      <c r="X7" s="2073"/>
    </row>
    <row r="8" spans="1:25" ht="15" customHeight="1">
      <c r="A8" s="2080" t="s">
        <v>900</v>
      </c>
      <c r="B8" s="2081"/>
      <c r="C8" s="2081"/>
      <c r="D8" s="2081"/>
      <c r="E8" s="2081"/>
      <c r="F8" s="2081"/>
      <c r="G8" s="2081"/>
      <c r="H8" s="2081"/>
      <c r="I8" s="2081"/>
      <c r="J8" s="2082"/>
      <c r="K8" s="2077" t="s">
        <v>1027</v>
      </c>
      <c r="L8" s="2078"/>
      <c r="M8" s="2078"/>
      <c r="N8" s="2078"/>
      <c r="O8" s="2078"/>
      <c r="P8" s="2078"/>
      <c r="Q8" s="2078"/>
      <c r="R8" s="2078"/>
      <c r="S8" s="2078"/>
      <c r="T8" s="2078"/>
      <c r="U8" s="2078"/>
      <c r="V8" s="2078"/>
      <c r="W8" s="2078"/>
      <c r="X8" s="2079"/>
    </row>
    <row r="9" spans="1:25" ht="15" customHeight="1">
      <c r="A9" s="2060"/>
      <c r="B9" s="2061"/>
      <c r="C9" s="2061"/>
      <c r="D9" s="2061"/>
      <c r="E9" s="2061"/>
      <c r="F9" s="2061"/>
      <c r="G9" s="2061"/>
      <c r="H9" s="2061"/>
      <c r="I9" s="2061"/>
      <c r="J9" s="2062"/>
      <c r="K9" s="2063" t="s">
        <v>1131</v>
      </c>
      <c r="L9" s="2064"/>
      <c r="M9" s="2064"/>
      <c r="N9" s="2064"/>
      <c r="O9" s="2064"/>
      <c r="P9" s="2064"/>
      <c r="Q9" s="2064"/>
      <c r="R9" s="2064"/>
      <c r="S9" s="2064"/>
      <c r="T9" s="2064"/>
      <c r="U9" s="2064"/>
      <c r="V9" s="2064"/>
      <c r="W9" s="2064"/>
      <c r="X9" s="2065"/>
    </row>
    <row r="10" spans="1:25" ht="15.75" customHeight="1">
      <c r="A10" s="2066" t="s">
        <v>1098</v>
      </c>
      <c r="B10" s="2066"/>
      <c r="C10" s="2066"/>
      <c r="D10" s="2066"/>
      <c r="E10" s="2066"/>
      <c r="F10" s="2066"/>
      <c r="G10" s="2066"/>
      <c r="H10" s="2066"/>
      <c r="I10" s="2066"/>
      <c r="J10" s="2066"/>
      <c r="K10" s="2066" t="s">
        <v>1099</v>
      </c>
      <c r="L10" s="2066"/>
      <c r="M10" s="2066"/>
      <c r="N10" s="2066"/>
      <c r="O10" s="2066"/>
      <c r="P10" s="2066"/>
      <c r="Q10" s="2066"/>
      <c r="R10" s="2066"/>
      <c r="S10" s="2066"/>
      <c r="T10" s="2066"/>
      <c r="U10" s="2066"/>
      <c r="V10" s="2066"/>
      <c r="W10" s="2066"/>
      <c r="X10" s="2066"/>
    </row>
    <row r="11" spans="1:25" ht="16.05" customHeight="1">
      <c r="A11" s="1768" t="s">
        <v>1008</v>
      </c>
      <c r="B11" s="1769"/>
      <c r="C11" s="1769"/>
      <c r="D11" s="1769"/>
      <c r="E11" s="1769"/>
      <c r="F11" s="1769"/>
      <c r="G11" s="1769"/>
      <c r="H11" s="1769"/>
      <c r="I11" s="1769"/>
      <c r="J11" s="1770"/>
      <c r="K11" s="2067" t="s">
        <v>1135</v>
      </c>
      <c r="L11" s="2067"/>
      <c r="M11" s="2067"/>
      <c r="N11" s="2067"/>
      <c r="O11" s="2067"/>
      <c r="P11" s="2067"/>
      <c r="Q11" s="2067"/>
      <c r="R11" s="2067"/>
      <c r="S11" s="2067"/>
      <c r="T11" s="2067"/>
      <c r="U11" s="2067"/>
      <c r="V11" s="2067"/>
      <c r="W11" s="2067"/>
      <c r="X11" s="2067"/>
    </row>
    <row r="12" spans="1:25" ht="15.75" customHeight="1">
      <c r="A12" s="2066" t="s">
        <v>1100</v>
      </c>
      <c r="B12" s="2066"/>
      <c r="C12" s="2066"/>
      <c r="D12" s="2066"/>
      <c r="E12" s="2066"/>
      <c r="F12" s="2066"/>
      <c r="G12" s="2066"/>
      <c r="H12" s="2066"/>
      <c r="I12" s="2066"/>
      <c r="J12" s="2066"/>
      <c r="K12" s="2066" t="s">
        <v>1101</v>
      </c>
      <c r="L12" s="2066"/>
      <c r="M12" s="2066"/>
      <c r="N12" s="2066"/>
      <c r="O12" s="2066"/>
      <c r="P12" s="2066"/>
      <c r="Q12" s="2066"/>
      <c r="R12" s="2066"/>
      <c r="S12" s="2066"/>
      <c r="T12" s="2066"/>
      <c r="U12" s="2066"/>
      <c r="V12" s="2066"/>
      <c r="W12" s="2066"/>
      <c r="X12" s="2066"/>
    </row>
    <row r="13" spans="1:25" ht="15.75" customHeight="1">
      <c r="A13" s="2068" t="s">
        <v>852</v>
      </c>
      <c r="B13" s="2069"/>
      <c r="C13" s="2069"/>
      <c r="D13" s="2069"/>
      <c r="E13" s="2069"/>
      <c r="F13" s="2069"/>
      <c r="G13" s="2069"/>
      <c r="H13" s="2069"/>
      <c r="I13" s="2069"/>
      <c r="J13" s="2070"/>
      <c r="K13" s="2071" t="s">
        <v>1083</v>
      </c>
      <c r="L13" s="2072"/>
      <c r="M13" s="2072"/>
      <c r="N13" s="2072"/>
      <c r="O13" s="2072"/>
      <c r="P13" s="2072"/>
      <c r="Q13" s="2072"/>
      <c r="R13" s="2072"/>
      <c r="S13" s="2072"/>
      <c r="T13" s="2072"/>
      <c r="U13" s="2072"/>
      <c r="V13" s="2072"/>
      <c r="W13" s="2072"/>
      <c r="X13" s="2073"/>
    </row>
    <row r="14" spans="1:25" ht="15.75" customHeight="1">
      <c r="A14" s="2040" t="s">
        <v>1133</v>
      </c>
      <c r="B14" s="2041"/>
      <c r="C14" s="2041"/>
      <c r="D14" s="2042" t="s">
        <v>1132</v>
      </c>
      <c r="E14" s="2042"/>
      <c r="F14" s="2042"/>
      <c r="G14" s="2042"/>
      <c r="H14" s="2042"/>
      <c r="I14" s="2042"/>
      <c r="J14" s="2043"/>
      <c r="K14" s="1789" t="s">
        <v>1136</v>
      </c>
      <c r="L14" s="1790"/>
      <c r="M14" s="1790"/>
      <c r="N14" s="1790"/>
      <c r="O14" s="1790"/>
      <c r="P14" s="1790"/>
      <c r="Q14" s="1790"/>
      <c r="R14" s="1790"/>
      <c r="S14" s="1790"/>
      <c r="T14" s="1790"/>
      <c r="U14" s="1790"/>
      <c r="V14" s="1790"/>
      <c r="W14" s="1790"/>
      <c r="X14" s="1791"/>
    </row>
    <row r="15" spans="1:25" ht="15.75" customHeight="1">
      <c r="A15" s="1777" t="s">
        <v>1009</v>
      </c>
      <c r="B15" s="1778"/>
      <c r="C15" s="1778"/>
      <c r="D15" s="1778"/>
      <c r="E15" s="1778"/>
      <c r="F15" s="1778"/>
      <c r="G15" s="1778"/>
      <c r="H15" s="1778"/>
      <c r="I15" s="1778"/>
      <c r="J15" s="1779"/>
      <c r="K15" s="2057"/>
      <c r="L15" s="2058"/>
      <c r="M15" s="2058"/>
      <c r="N15" s="2058"/>
      <c r="O15" s="2058"/>
      <c r="P15" s="2058"/>
      <c r="Q15" s="2058"/>
      <c r="R15" s="2058"/>
      <c r="S15" s="2058"/>
      <c r="T15" s="2058"/>
      <c r="U15" s="2058"/>
      <c r="V15" s="2058"/>
      <c r="W15" s="2058"/>
      <c r="X15" s="2059"/>
    </row>
    <row r="16" spans="1:25" ht="17.100000000000001" customHeight="1">
      <c r="A16" s="2054" t="s">
        <v>480</v>
      </c>
      <c r="B16" s="2055"/>
      <c r="C16" s="2055"/>
      <c r="D16" s="2055"/>
      <c r="E16" s="2055"/>
      <c r="F16" s="2055"/>
      <c r="G16" s="2055"/>
      <c r="H16" s="2055"/>
      <c r="I16" s="2055"/>
      <c r="J16" s="2056"/>
      <c r="K16" s="354"/>
      <c r="L16" s="355"/>
      <c r="M16" s="355"/>
      <c r="N16" s="355"/>
      <c r="O16" s="355"/>
      <c r="P16" s="355"/>
      <c r="Q16" s="355"/>
      <c r="R16" s="355"/>
      <c r="S16" s="355"/>
      <c r="T16" s="355"/>
      <c r="U16" s="355"/>
      <c r="V16" s="355"/>
      <c r="W16" s="355"/>
      <c r="X16" s="356"/>
    </row>
    <row r="17" spans="1:24" s="304" customFormat="1" ht="39" customHeight="1">
      <c r="A17" s="2044" t="s">
        <v>853</v>
      </c>
      <c r="B17" s="1723" t="s">
        <v>854</v>
      </c>
      <c r="C17" s="1723"/>
      <c r="D17" s="2045" t="s">
        <v>855</v>
      </c>
      <c r="E17" s="2047" t="s">
        <v>1134</v>
      </c>
      <c r="F17" s="2048"/>
      <c r="G17" s="2048"/>
      <c r="H17" s="2048"/>
      <c r="I17" s="2048"/>
      <c r="J17" s="2048"/>
      <c r="K17" s="2048"/>
      <c r="L17" s="2048"/>
      <c r="M17" s="2048"/>
      <c r="N17" s="2048"/>
      <c r="O17" s="2048"/>
      <c r="P17" s="2048"/>
      <c r="Q17" s="2048"/>
      <c r="R17" s="2048"/>
      <c r="S17" s="2048"/>
      <c r="T17" s="2048"/>
      <c r="U17" s="2048"/>
      <c r="V17" s="2048"/>
      <c r="W17" s="2048"/>
      <c r="X17" s="2049"/>
    </row>
    <row r="18" spans="1:24" s="304" customFormat="1" ht="20.25" customHeight="1">
      <c r="A18" s="2044"/>
      <c r="B18" s="1723"/>
      <c r="C18" s="1723"/>
      <c r="D18" s="2046"/>
      <c r="E18" s="299" t="s">
        <v>551</v>
      </c>
      <c r="F18" s="299"/>
      <c r="G18" s="2050" t="s">
        <v>1137</v>
      </c>
      <c r="H18" s="2051"/>
      <c r="I18" s="2051"/>
      <c r="J18" s="2052"/>
      <c r="K18" s="2050" t="s">
        <v>1138</v>
      </c>
      <c r="L18" s="2052"/>
      <c r="M18" s="2050" t="s">
        <v>1139</v>
      </c>
      <c r="N18" s="2052"/>
      <c r="O18" s="2050" t="s">
        <v>1087</v>
      </c>
      <c r="P18" s="2052"/>
      <c r="Q18" s="2050" t="s">
        <v>1140</v>
      </c>
      <c r="R18" s="2052"/>
      <c r="S18" s="2053" t="s">
        <v>1141</v>
      </c>
      <c r="T18" s="2053"/>
      <c r="U18" s="2053"/>
      <c r="V18" s="2053" t="s">
        <v>1142</v>
      </c>
      <c r="W18" s="2053"/>
      <c r="X18" s="2053"/>
    </row>
    <row r="19" spans="1:24" s="315" customFormat="1" ht="20.100000000000001" customHeight="1">
      <c r="A19" s="324"/>
      <c r="B19" s="2034"/>
      <c r="C19" s="2035"/>
      <c r="D19" s="475"/>
      <c r="E19" s="325"/>
      <c r="F19" s="476"/>
      <c r="G19" s="2036"/>
      <c r="H19" s="2037"/>
      <c r="I19" s="2037"/>
      <c r="J19" s="2038"/>
      <c r="K19" s="2036"/>
      <c r="L19" s="2038"/>
      <c r="M19" s="2036"/>
      <c r="N19" s="2038"/>
      <c r="O19" s="2036"/>
      <c r="P19" s="2038"/>
      <c r="Q19" s="2034"/>
      <c r="R19" s="2035"/>
      <c r="S19" s="2034"/>
      <c r="T19" s="2039"/>
      <c r="U19" s="2035"/>
      <c r="V19" s="2034"/>
      <c r="W19" s="2039"/>
      <c r="X19" s="2035"/>
    </row>
    <row r="20" spans="1:24" s="315" customFormat="1" ht="20.100000000000001" customHeight="1">
      <c r="A20" s="326"/>
      <c r="B20" s="327"/>
      <c r="C20" s="328"/>
      <c r="D20" s="477"/>
      <c r="E20" s="478"/>
      <c r="F20" s="478"/>
      <c r="G20" s="2025"/>
      <c r="H20" s="2026"/>
      <c r="I20" s="2026"/>
      <c r="J20" s="2027"/>
      <c r="K20" s="2028"/>
      <c r="L20" s="2029"/>
      <c r="M20" s="2028"/>
      <c r="N20" s="2029"/>
      <c r="O20" s="2028"/>
      <c r="P20" s="2029"/>
      <c r="Q20" s="2030"/>
      <c r="R20" s="2031"/>
      <c r="S20" s="2030"/>
      <c r="T20" s="2032"/>
      <c r="U20" s="2031"/>
      <c r="V20" s="2030"/>
      <c r="W20" s="2032"/>
      <c r="X20" s="2031"/>
    </row>
    <row r="21" spans="1:24" s="315" customFormat="1" ht="20.100000000000001" customHeight="1">
      <c r="A21" s="326"/>
      <c r="B21" s="2030"/>
      <c r="C21" s="2031"/>
      <c r="D21" s="477"/>
      <c r="E21" s="479"/>
      <c r="F21" s="478"/>
      <c r="G21" s="2025"/>
      <c r="H21" s="2026"/>
      <c r="I21" s="2026"/>
      <c r="J21" s="2027"/>
      <c r="K21" s="2025"/>
      <c r="L21" s="2027"/>
      <c r="M21" s="2028"/>
      <c r="N21" s="2029"/>
      <c r="O21" s="2025"/>
      <c r="P21" s="2027"/>
      <c r="Q21" s="2030"/>
      <c r="R21" s="2031"/>
      <c r="S21" s="2030"/>
      <c r="T21" s="2032"/>
      <c r="U21" s="2031"/>
      <c r="V21" s="2030"/>
      <c r="W21" s="2032"/>
      <c r="X21" s="2031"/>
    </row>
    <row r="22" spans="1:24" s="315" customFormat="1" ht="20.100000000000001" customHeight="1">
      <c r="A22" s="326"/>
      <c r="B22" s="2030"/>
      <c r="C22" s="2031"/>
      <c r="D22" s="477"/>
      <c r="E22" s="479"/>
      <c r="F22" s="478"/>
      <c r="G22" s="2025"/>
      <c r="H22" s="2026"/>
      <c r="I22" s="2026"/>
      <c r="J22" s="2027"/>
      <c r="K22" s="2025"/>
      <c r="L22" s="2027"/>
      <c r="M22" s="2028"/>
      <c r="N22" s="2029"/>
      <c r="O22" s="2025"/>
      <c r="P22" s="2027"/>
      <c r="Q22" s="2030"/>
      <c r="R22" s="2031"/>
      <c r="S22" s="2030"/>
      <c r="T22" s="2032"/>
      <c r="U22" s="2031"/>
      <c r="V22" s="2030"/>
      <c r="W22" s="2032"/>
      <c r="X22" s="2031"/>
    </row>
    <row r="23" spans="1:24" s="315" customFormat="1" ht="20.100000000000001" customHeight="1">
      <c r="A23" s="326"/>
      <c r="B23" s="2030"/>
      <c r="C23" s="2031"/>
      <c r="D23" s="477"/>
      <c r="E23" s="479"/>
      <c r="F23" s="478"/>
      <c r="G23" s="2028"/>
      <c r="H23" s="2033"/>
      <c r="I23" s="2033"/>
      <c r="J23" s="2029"/>
      <c r="K23" s="2025"/>
      <c r="L23" s="2027"/>
      <c r="M23" s="2025"/>
      <c r="N23" s="2027"/>
      <c r="O23" s="2025"/>
      <c r="P23" s="2027"/>
      <c r="Q23" s="2030"/>
      <c r="R23" s="2031"/>
      <c r="S23" s="2030"/>
      <c r="T23" s="2032"/>
      <c r="U23" s="2031"/>
      <c r="V23" s="2030"/>
      <c r="W23" s="2032"/>
      <c r="X23" s="2031"/>
    </row>
    <row r="24" spans="1:24" s="315" customFormat="1" ht="20.100000000000001" customHeight="1">
      <c r="A24" s="326"/>
      <c r="B24" s="2030"/>
      <c r="C24" s="2031"/>
      <c r="D24" s="477"/>
      <c r="E24" s="478"/>
      <c r="F24" s="478"/>
      <c r="G24" s="2028"/>
      <c r="H24" s="2033"/>
      <c r="I24" s="2033"/>
      <c r="J24" s="2029"/>
      <c r="K24" s="2028"/>
      <c r="L24" s="2029"/>
      <c r="M24" s="2028"/>
      <c r="N24" s="2029"/>
      <c r="O24" s="2028"/>
      <c r="P24" s="2029"/>
      <c r="Q24" s="2030"/>
      <c r="R24" s="2031"/>
      <c r="S24" s="2030"/>
      <c r="T24" s="2032"/>
      <c r="U24" s="2031"/>
      <c r="V24" s="2030"/>
      <c r="W24" s="2032"/>
      <c r="X24" s="2031"/>
    </row>
    <row r="25" spans="1:24" ht="20.100000000000001" customHeight="1">
      <c r="A25" s="329"/>
      <c r="B25" s="2030"/>
      <c r="C25" s="2031"/>
      <c r="D25" s="330"/>
      <c r="E25" s="478"/>
      <c r="F25" s="478"/>
      <c r="G25" s="2025"/>
      <c r="H25" s="2026"/>
      <c r="I25" s="2026"/>
      <c r="J25" s="2027"/>
      <c r="K25" s="2028"/>
      <c r="L25" s="2029"/>
      <c r="M25" s="2028"/>
      <c r="N25" s="2029"/>
      <c r="O25" s="2028"/>
      <c r="P25" s="2029"/>
      <c r="Q25" s="2030"/>
      <c r="R25" s="2031"/>
      <c r="S25" s="2030"/>
      <c r="T25" s="2032"/>
      <c r="U25" s="2031"/>
      <c r="V25" s="2030"/>
      <c r="W25" s="2032"/>
      <c r="X25" s="2031"/>
    </row>
    <row r="26" spans="1:24" ht="20.100000000000001" customHeight="1">
      <c r="A26" s="329"/>
      <c r="B26" s="331"/>
      <c r="C26" s="332"/>
      <c r="D26" s="480"/>
      <c r="E26" s="478"/>
      <c r="F26" s="478"/>
      <c r="G26" s="2025"/>
      <c r="H26" s="2026"/>
      <c r="I26" s="2026"/>
      <c r="J26" s="2027"/>
      <c r="K26" s="2028"/>
      <c r="L26" s="2029"/>
      <c r="M26" s="2028"/>
      <c r="N26" s="2029"/>
      <c r="O26" s="2028"/>
      <c r="P26" s="2029"/>
      <c r="Q26" s="2010"/>
      <c r="R26" s="2012"/>
      <c r="S26" s="2010"/>
      <c r="T26" s="2011"/>
      <c r="U26" s="2012"/>
      <c r="V26" s="2010"/>
      <c r="W26" s="2011"/>
      <c r="X26" s="2012"/>
    </row>
    <row r="27" spans="1:24" ht="20.100000000000001" customHeight="1">
      <c r="A27" s="329"/>
      <c r="B27" s="2013"/>
      <c r="C27" s="2014"/>
      <c r="D27" s="480"/>
      <c r="E27" s="478"/>
      <c r="F27" s="478"/>
      <c r="G27" s="2025"/>
      <c r="H27" s="2026"/>
      <c r="I27" s="2026"/>
      <c r="J27" s="2027"/>
      <c r="K27" s="2028"/>
      <c r="L27" s="2029"/>
      <c r="M27" s="2028"/>
      <c r="N27" s="2029"/>
      <c r="O27" s="2025"/>
      <c r="P27" s="2027"/>
      <c r="Q27" s="2010"/>
      <c r="R27" s="2012"/>
      <c r="S27" s="2010"/>
      <c r="T27" s="2011"/>
      <c r="U27" s="2012"/>
      <c r="V27" s="2010"/>
      <c r="W27" s="2011"/>
      <c r="X27" s="2012"/>
    </row>
    <row r="28" spans="1:24" ht="20.100000000000001" customHeight="1">
      <c r="A28" s="329"/>
      <c r="B28" s="2013"/>
      <c r="C28" s="2014"/>
      <c r="D28" s="480"/>
      <c r="E28" s="478"/>
      <c r="F28" s="478"/>
      <c r="G28" s="2025"/>
      <c r="H28" s="2026"/>
      <c r="I28" s="2026"/>
      <c r="J28" s="2027"/>
      <c r="K28" s="2028"/>
      <c r="L28" s="2029"/>
      <c r="M28" s="2025"/>
      <c r="N28" s="2027"/>
      <c r="O28" s="2028"/>
      <c r="P28" s="2029"/>
      <c r="Q28" s="2010"/>
      <c r="R28" s="2012"/>
      <c r="S28" s="2010"/>
      <c r="T28" s="2011"/>
      <c r="U28" s="2012"/>
      <c r="V28" s="2010"/>
      <c r="W28" s="2011"/>
      <c r="X28" s="2012"/>
    </row>
    <row r="29" spans="1:24" ht="20.100000000000001" customHeight="1">
      <c r="A29" s="329"/>
      <c r="B29" s="2013"/>
      <c r="C29" s="2014"/>
      <c r="D29" s="480"/>
      <c r="E29" s="478"/>
      <c r="F29" s="478"/>
      <c r="G29" s="2025"/>
      <c r="H29" s="2026"/>
      <c r="I29" s="2026"/>
      <c r="J29" s="2027"/>
      <c r="K29" s="2028"/>
      <c r="L29" s="2029"/>
      <c r="M29" s="2028"/>
      <c r="N29" s="2029"/>
      <c r="O29" s="2025"/>
      <c r="P29" s="2027"/>
      <c r="Q29" s="2010"/>
      <c r="R29" s="2012"/>
      <c r="S29" s="2010"/>
      <c r="T29" s="2011"/>
      <c r="U29" s="2012"/>
      <c r="V29" s="2010"/>
      <c r="W29" s="2011"/>
      <c r="X29" s="2012"/>
    </row>
    <row r="30" spans="1:24" ht="20.100000000000001" customHeight="1">
      <c r="A30" s="329"/>
      <c r="B30" s="2013"/>
      <c r="C30" s="2014"/>
      <c r="D30" s="480"/>
      <c r="E30" s="480"/>
      <c r="F30" s="480"/>
      <c r="G30" s="2013"/>
      <c r="H30" s="2015"/>
      <c r="I30" s="2015"/>
      <c r="J30" s="2014"/>
      <c r="K30" s="2010"/>
      <c r="L30" s="2012"/>
      <c r="M30" s="2013"/>
      <c r="N30" s="2014"/>
      <c r="O30" s="2010"/>
      <c r="P30" s="2012"/>
      <c r="Q30" s="2010"/>
      <c r="R30" s="2012"/>
      <c r="S30" s="2010"/>
      <c r="T30" s="2011"/>
      <c r="U30" s="2012"/>
      <c r="V30" s="2010"/>
      <c r="W30" s="2011"/>
      <c r="X30" s="2012"/>
    </row>
    <row r="31" spans="1:24" ht="20.100000000000001" customHeight="1">
      <c r="A31" s="329"/>
      <c r="B31" s="2013"/>
      <c r="C31" s="2014"/>
      <c r="D31" s="480"/>
      <c r="E31" s="480"/>
      <c r="F31" s="480"/>
      <c r="G31" s="2013"/>
      <c r="H31" s="2015"/>
      <c r="I31" s="2015"/>
      <c r="J31" s="2014"/>
      <c r="K31" s="2010"/>
      <c r="L31" s="2012"/>
      <c r="M31" s="2013"/>
      <c r="N31" s="2014"/>
      <c r="O31" s="2010"/>
      <c r="P31" s="2012"/>
      <c r="Q31" s="2010"/>
      <c r="R31" s="2012"/>
      <c r="S31" s="2010"/>
      <c r="T31" s="2011"/>
      <c r="U31" s="2012"/>
      <c r="V31" s="2010"/>
      <c r="W31" s="2011"/>
      <c r="X31" s="2012"/>
    </row>
    <row r="32" spans="1:24" ht="20.100000000000001" customHeight="1">
      <c r="A32" s="329"/>
      <c r="B32" s="2013"/>
      <c r="C32" s="2014"/>
      <c r="D32" s="480"/>
      <c r="E32" s="480"/>
      <c r="F32" s="480"/>
      <c r="G32" s="2013"/>
      <c r="H32" s="2015"/>
      <c r="I32" s="2015"/>
      <c r="J32" s="2014"/>
      <c r="K32" s="2010"/>
      <c r="L32" s="2012"/>
      <c r="M32" s="2013"/>
      <c r="N32" s="2014"/>
      <c r="O32" s="2010"/>
      <c r="P32" s="2012"/>
      <c r="Q32" s="2010"/>
      <c r="R32" s="2012"/>
      <c r="S32" s="2010"/>
      <c r="T32" s="2011"/>
      <c r="U32" s="2012"/>
      <c r="V32" s="2010"/>
      <c r="W32" s="2011"/>
      <c r="X32" s="2012"/>
    </row>
    <row r="33" spans="1:29" ht="20.100000000000001" customHeight="1">
      <c r="A33" s="329"/>
      <c r="B33" s="2013"/>
      <c r="C33" s="2014"/>
      <c r="D33" s="480"/>
      <c r="E33" s="480"/>
      <c r="F33" s="480"/>
      <c r="G33" s="2013"/>
      <c r="H33" s="2015"/>
      <c r="I33" s="2015"/>
      <c r="J33" s="2014"/>
      <c r="K33" s="2010"/>
      <c r="L33" s="2012"/>
      <c r="M33" s="2013"/>
      <c r="N33" s="2014"/>
      <c r="O33" s="2010"/>
      <c r="P33" s="2012"/>
      <c r="Q33" s="2010"/>
      <c r="R33" s="2012"/>
      <c r="S33" s="2010"/>
      <c r="T33" s="2011"/>
      <c r="U33" s="2012"/>
      <c r="V33" s="2010"/>
      <c r="W33" s="2011"/>
      <c r="X33" s="2012"/>
    </row>
    <row r="34" spans="1:29" ht="20.100000000000001" customHeight="1">
      <c r="A34" s="329"/>
      <c r="B34" s="2013"/>
      <c r="C34" s="2014"/>
      <c r="D34" s="480"/>
      <c r="E34" s="480"/>
      <c r="F34" s="480"/>
      <c r="G34" s="2013"/>
      <c r="H34" s="2015"/>
      <c r="I34" s="2015"/>
      <c r="J34" s="2014"/>
      <c r="K34" s="2010"/>
      <c r="L34" s="2012"/>
      <c r="M34" s="2013"/>
      <c r="N34" s="2014"/>
      <c r="O34" s="2010"/>
      <c r="P34" s="2012"/>
      <c r="Q34" s="2010"/>
      <c r="R34" s="2012"/>
      <c r="S34" s="2010"/>
      <c r="T34" s="2011"/>
      <c r="U34" s="2012"/>
      <c r="V34" s="2010"/>
      <c r="W34" s="2011"/>
      <c r="X34" s="2012"/>
    </row>
    <row r="35" spans="1:29" ht="20.100000000000001" customHeight="1">
      <c r="A35" s="329"/>
      <c r="B35" s="2013"/>
      <c r="C35" s="2014"/>
      <c r="D35" s="480"/>
      <c r="E35" s="480"/>
      <c r="F35" s="480"/>
      <c r="G35" s="2013"/>
      <c r="H35" s="2015"/>
      <c r="I35" s="2015"/>
      <c r="J35" s="2014"/>
      <c r="K35" s="2010"/>
      <c r="L35" s="2012"/>
      <c r="M35" s="2013"/>
      <c r="N35" s="2014"/>
      <c r="O35" s="2010"/>
      <c r="P35" s="2012"/>
      <c r="Q35" s="2010"/>
      <c r="R35" s="2012"/>
      <c r="S35" s="2010"/>
      <c r="T35" s="2011"/>
      <c r="U35" s="2012"/>
      <c r="V35" s="2010"/>
      <c r="W35" s="2011"/>
      <c r="X35" s="2012"/>
    </row>
    <row r="36" spans="1:29" s="312" customFormat="1" ht="24" customHeight="1">
      <c r="A36" s="2017" t="s">
        <v>856</v>
      </c>
      <c r="B36" s="2018"/>
      <c r="C36" s="2018"/>
      <c r="D36" s="2018"/>
      <c r="E36" s="2018"/>
      <c r="F36" s="2018"/>
      <c r="G36" s="2018"/>
      <c r="H36" s="2018"/>
      <c r="I36" s="2018"/>
      <c r="J36" s="2018"/>
      <c r="K36" s="2018"/>
      <c r="L36" s="2018"/>
      <c r="M36" s="2018"/>
      <c r="N36" s="2018"/>
      <c r="O36" s="2018"/>
      <c r="P36" s="2018"/>
      <c r="Q36" s="2018"/>
      <c r="R36" s="2018"/>
      <c r="S36" s="2018"/>
      <c r="T36" s="2018"/>
      <c r="U36" s="2018"/>
      <c r="V36" s="2018"/>
      <c r="W36" s="2018"/>
      <c r="X36" s="2019"/>
    </row>
    <row r="37" spans="1:29" ht="14.25" customHeight="1">
      <c r="A37" s="2020" t="s">
        <v>894</v>
      </c>
      <c r="B37" s="2020"/>
      <c r="C37" s="2020"/>
      <c r="D37" s="2020"/>
      <c r="E37" s="2020"/>
      <c r="F37" s="333"/>
      <c r="G37" s="2020" t="s">
        <v>199</v>
      </c>
      <c r="H37" s="2020"/>
      <c r="I37" s="2020"/>
      <c r="J37" s="2020"/>
      <c r="K37" s="2020"/>
      <c r="L37" s="2020"/>
      <c r="M37" s="2020"/>
      <c r="N37" s="2020"/>
      <c r="O37" s="2020"/>
      <c r="P37" s="1691" t="s">
        <v>200</v>
      </c>
      <c r="Q37" s="1692"/>
      <c r="R37" s="1692"/>
      <c r="S37" s="1692"/>
      <c r="T37" s="1692"/>
      <c r="U37" s="1692"/>
      <c r="V37" s="1692"/>
      <c r="W37" s="1692"/>
      <c r="X37" s="1693"/>
      <c r="Y37" s="334"/>
      <c r="Z37" s="334"/>
      <c r="AA37" s="334"/>
      <c r="AB37" s="334"/>
      <c r="AC37" s="334"/>
    </row>
    <row r="38" spans="1:29" s="315" customFormat="1" ht="13.5" customHeight="1">
      <c r="A38" s="2016" t="s">
        <v>201</v>
      </c>
      <c r="B38" s="2016"/>
      <c r="C38" s="2016"/>
      <c r="D38" s="2016"/>
      <c r="E38" s="2016"/>
      <c r="F38" s="335"/>
      <c r="G38" s="2016" t="s">
        <v>202</v>
      </c>
      <c r="H38" s="2016"/>
      <c r="I38" s="2016"/>
      <c r="J38" s="2016"/>
      <c r="K38" s="2016"/>
      <c r="L38" s="2016"/>
      <c r="M38" s="2016"/>
      <c r="N38" s="2016"/>
      <c r="O38" s="2016"/>
      <c r="P38" s="1673" t="s">
        <v>203</v>
      </c>
      <c r="Q38" s="1674"/>
      <c r="R38" s="1674"/>
      <c r="S38" s="1674"/>
      <c r="T38" s="1674"/>
      <c r="U38" s="1674"/>
      <c r="V38" s="1674"/>
      <c r="W38" s="1674"/>
      <c r="X38" s="1675"/>
      <c r="Y38" s="336"/>
      <c r="Z38" s="336"/>
      <c r="AA38" s="336"/>
      <c r="AB38" s="336"/>
      <c r="AC38" s="336"/>
    </row>
    <row r="39" spans="1:29" s="315" customFormat="1" ht="15" customHeight="1">
      <c r="A39" s="2016" t="s">
        <v>857</v>
      </c>
      <c r="B39" s="2016"/>
      <c r="C39" s="2016"/>
      <c r="D39" s="2016"/>
      <c r="E39" s="2016"/>
      <c r="F39" s="335"/>
      <c r="G39" s="2016" t="s">
        <v>204</v>
      </c>
      <c r="H39" s="2016" t="s">
        <v>204</v>
      </c>
      <c r="I39" s="2016"/>
      <c r="J39" s="2016"/>
      <c r="K39" s="2016"/>
      <c r="L39" s="2016"/>
      <c r="M39" s="2016"/>
      <c r="N39" s="2016"/>
      <c r="O39" s="2016"/>
      <c r="P39" s="1673" t="s">
        <v>204</v>
      </c>
      <c r="Q39" s="1674"/>
      <c r="R39" s="1674"/>
      <c r="S39" s="1674"/>
      <c r="T39" s="1674"/>
      <c r="U39" s="1674"/>
      <c r="V39" s="1674"/>
      <c r="W39" s="1674"/>
      <c r="X39" s="1675"/>
      <c r="Y39" s="336"/>
      <c r="Z39" s="336"/>
      <c r="AA39" s="336"/>
      <c r="AB39" s="336"/>
      <c r="AC39" s="336"/>
    </row>
    <row r="40" spans="1:29" s="315" customFormat="1" ht="16.5" customHeight="1">
      <c r="A40" s="2016" t="s">
        <v>205</v>
      </c>
      <c r="B40" s="2016"/>
      <c r="C40" s="2016"/>
      <c r="D40" s="2016"/>
      <c r="E40" s="2016"/>
      <c r="F40" s="335"/>
      <c r="G40" s="2016" t="s">
        <v>205</v>
      </c>
      <c r="H40" s="2016" t="s">
        <v>205</v>
      </c>
      <c r="I40" s="2016"/>
      <c r="J40" s="2016"/>
      <c r="K40" s="2016"/>
      <c r="L40" s="2016"/>
      <c r="M40" s="2016"/>
      <c r="N40" s="2016"/>
      <c r="O40" s="2016"/>
      <c r="P40" s="1673" t="s">
        <v>205</v>
      </c>
      <c r="Q40" s="1674"/>
      <c r="R40" s="1674"/>
      <c r="S40" s="1674"/>
      <c r="T40" s="1674"/>
      <c r="U40" s="1674"/>
      <c r="V40" s="1674"/>
      <c r="W40" s="1674"/>
      <c r="X40" s="1675"/>
      <c r="Y40" s="336"/>
      <c r="Z40" s="336"/>
      <c r="AA40" s="336"/>
      <c r="AB40" s="336"/>
      <c r="AC40" s="336"/>
    </row>
    <row r="41" spans="1:29" s="315" customFormat="1" ht="16.5" customHeight="1">
      <c r="A41" s="2016"/>
      <c r="B41" s="2016"/>
      <c r="C41" s="2016"/>
      <c r="D41" s="2016"/>
      <c r="E41" s="2016"/>
      <c r="F41" s="335"/>
      <c r="G41" s="2016"/>
      <c r="H41" s="2016"/>
      <c r="I41" s="2016"/>
      <c r="J41" s="2016"/>
      <c r="K41" s="2016"/>
      <c r="L41" s="2016"/>
      <c r="M41" s="2016"/>
      <c r="N41" s="2016"/>
      <c r="O41" s="2016"/>
      <c r="P41" s="1673"/>
      <c r="Q41" s="1674"/>
      <c r="R41" s="1674"/>
      <c r="S41" s="1674"/>
      <c r="T41" s="1674"/>
      <c r="U41" s="1674"/>
      <c r="V41" s="1674"/>
      <c r="W41" s="1674"/>
      <c r="X41" s="1675"/>
      <c r="Y41" s="336"/>
      <c r="Z41" s="336"/>
      <c r="AA41" s="336"/>
      <c r="AB41" s="336"/>
      <c r="AC41" s="336"/>
    </row>
    <row r="42" spans="1:29" s="315" customFormat="1" ht="15.9" customHeight="1">
      <c r="A42" s="2021" t="s">
        <v>858</v>
      </c>
      <c r="B42" s="2021"/>
      <c r="C42" s="2021"/>
      <c r="D42" s="2021"/>
      <c r="E42" s="2021"/>
      <c r="F42" s="420"/>
      <c r="G42" s="2021" t="s">
        <v>206</v>
      </c>
      <c r="H42" s="2021" t="s">
        <v>206</v>
      </c>
      <c r="I42" s="2021"/>
      <c r="J42" s="2021"/>
      <c r="K42" s="2021"/>
      <c r="L42" s="2021"/>
      <c r="M42" s="2021"/>
      <c r="N42" s="2021"/>
      <c r="O42" s="2021"/>
      <c r="P42" s="2022" t="s">
        <v>206</v>
      </c>
      <c r="Q42" s="2023"/>
      <c r="R42" s="2023"/>
      <c r="S42" s="2023"/>
      <c r="T42" s="2023"/>
      <c r="U42" s="2023"/>
      <c r="V42" s="2023"/>
      <c r="W42" s="2023"/>
      <c r="X42" s="2024"/>
      <c r="Y42" s="337"/>
      <c r="Z42" s="337"/>
      <c r="AA42" s="337"/>
      <c r="AB42" s="337"/>
      <c r="AC42" s="337"/>
    </row>
    <row r="43" spans="1:29" hidden="1">
      <c r="A43" s="319"/>
      <c r="B43" s="319"/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482"/>
    </row>
    <row r="48" spans="1:29"/>
    <row r="1766" ht="93.75" hidden="1" customHeight="1"/>
  </sheetData>
  <mergeCells count="196">
    <mergeCell ref="R5:X5"/>
    <mergeCell ref="A6:J6"/>
    <mergeCell ref="K6:X6"/>
    <mergeCell ref="A7:J7"/>
    <mergeCell ref="K7:X7"/>
    <mergeCell ref="A8:J8"/>
    <mergeCell ref="K8:X8"/>
    <mergeCell ref="A1:C5"/>
    <mergeCell ref="D1:Q1"/>
    <mergeCell ref="R1:X1"/>
    <mergeCell ref="D2:Q2"/>
    <mergeCell ref="R2:X2"/>
    <mergeCell ref="D3:Q3"/>
    <mergeCell ref="R3:X3"/>
    <mergeCell ref="D4:Q4"/>
    <mergeCell ref="R4:X4"/>
    <mergeCell ref="D5:Q5"/>
    <mergeCell ref="A9:J9"/>
    <mergeCell ref="K9:X9"/>
    <mergeCell ref="A10:J10"/>
    <mergeCell ref="K10:X10"/>
    <mergeCell ref="A11:J11"/>
    <mergeCell ref="K11:X11"/>
    <mergeCell ref="A12:J12"/>
    <mergeCell ref="K12:X12"/>
    <mergeCell ref="A13:J13"/>
    <mergeCell ref="K13:X13"/>
    <mergeCell ref="B19:C19"/>
    <mergeCell ref="G19:J19"/>
    <mergeCell ref="K19:L19"/>
    <mergeCell ref="M19:N19"/>
    <mergeCell ref="O19:P19"/>
    <mergeCell ref="Q19:R19"/>
    <mergeCell ref="S19:U19"/>
    <mergeCell ref="V19:X19"/>
    <mergeCell ref="A14:C14"/>
    <mergeCell ref="D14:J14"/>
    <mergeCell ref="A17:A18"/>
    <mergeCell ref="B17:C18"/>
    <mergeCell ref="D17:D18"/>
    <mergeCell ref="E17:X17"/>
    <mergeCell ref="G18:J18"/>
    <mergeCell ref="K18:L18"/>
    <mergeCell ref="M18:N18"/>
    <mergeCell ref="O18:P18"/>
    <mergeCell ref="Q18:R18"/>
    <mergeCell ref="S18:U18"/>
    <mergeCell ref="V18:X18"/>
    <mergeCell ref="A16:J16"/>
    <mergeCell ref="K14:X15"/>
    <mergeCell ref="A15:J15"/>
    <mergeCell ref="V20:X20"/>
    <mergeCell ref="G20:J20"/>
    <mergeCell ref="K20:L20"/>
    <mergeCell ref="M20:N20"/>
    <mergeCell ref="O20:P20"/>
    <mergeCell ref="Q20:R20"/>
    <mergeCell ref="S20:U20"/>
    <mergeCell ref="S21:U21"/>
    <mergeCell ref="V21:X21"/>
    <mergeCell ref="B22:C22"/>
    <mergeCell ref="G22:J22"/>
    <mergeCell ref="K22:L22"/>
    <mergeCell ref="M22:N22"/>
    <mergeCell ref="O22:P22"/>
    <mergeCell ref="Q22:R22"/>
    <mergeCell ref="S22:U22"/>
    <mergeCell ref="V22:X22"/>
    <mergeCell ref="B21:C21"/>
    <mergeCell ref="G21:J21"/>
    <mergeCell ref="K21:L21"/>
    <mergeCell ref="M21:N21"/>
    <mergeCell ref="O21:P21"/>
    <mergeCell ref="Q21:R21"/>
    <mergeCell ref="B25:C25"/>
    <mergeCell ref="G25:J25"/>
    <mergeCell ref="K25:L25"/>
    <mergeCell ref="M25:N25"/>
    <mergeCell ref="O25:P25"/>
    <mergeCell ref="Q25:R25"/>
    <mergeCell ref="S23:U23"/>
    <mergeCell ref="V23:X23"/>
    <mergeCell ref="B24:C24"/>
    <mergeCell ref="G24:J24"/>
    <mergeCell ref="K24:L24"/>
    <mergeCell ref="M24:N24"/>
    <mergeCell ref="O24:P24"/>
    <mergeCell ref="Q24:R24"/>
    <mergeCell ref="S24:U24"/>
    <mergeCell ref="V24:X24"/>
    <mergeCell ref="B23:C23"/>
    <mergeCell ref="G23:J23"/>
    <mergeCell ref="K23:L23"/>
    <mergeCell ref="M23:N23"/>
    <mergeCell ref="O23:P23"/>
    <mergeCell ref="Q23:R23"/>
    <mergeCell ref="S25:U25"/>
    <mergeCell ref="V25:X25"/>
    <mergeCell ref="G26:J26"/>
    <mergeCell ref="K26:L26"/>
    <mergeCell ref="M26:N26"/>
    <mergeCell ref="O26:P26"/>
    <mergeCell ref="Q26:R26"/>
    <mergeCell ref="S26:U26"/>
    <mergeCell ref="V26:X26"/>
    <mergeCell ref="S27:U27"/>
    <mergeCell ref="V27:X27"/>
    <mergeCell ref="B28:C28"/>
    <mergeCell ref="G28:J28"/>
    <mergeCell ref="K28:L28"/>
    <mergeCell ref="M28:N28"/>
    <mergeCell ref="O28:P28"/>
    <mergeCell ref="Q28:R28"/>
    <mergeCell ref="S28:U28"/>
    <mergeCell ref="V28:X28"/>
    <mergeCell ref="B27:C27"/>
    <mergeCell ref="G27:J27"/>
    <mergeCell ref="K27:L27"/>
    <mergeCell ref="M27:N27"/>
    <mergeCell ref="O27:P27"/>
    <mergeCell ref="Q27:R27"/>
    <mergeCell ref="S33:U33"/>
    <mergeCell ref="V33:X33"/>
    <mergeCell ref="S29:U29"/>
    <mergeCell ref="V29:X29"/>
    <mergeCell ref="B30:C30"/>
    <mergeCell ref="G30:J30"/>
    <mergeCell ref="K30:L30"/>
    <mergeCell ref="M30:N30"/>
    <mergeCell ref="O30:P30"/>
    <mergeCell ref="Q30:R30"/>
    <mergeCell ref="S30:U30"/>
    <mergeCell ref="V30:X30"/>
    <mergeCell ref="B29:C29"/>
    <mergeCell ref="G29:J29"/>
    <mergeCell ref="K29:L29"/>
    <mergeCell ref="M29:N29"/>
    <mergeCell ref="O29:P29"/>
    <mergeCell ref="Q29:R29"/>
    <mergeCell ref="O35:P35"/>
    <mergeCell ref="Q35:R35"/>
    <mergeCell ref="S31:U31"/>
    <mergeCell ref="V31:X31"/>
    <mergeCell ref="B34:C34"/>
    <mergeCell ref="G34:J34"/>
    <mergeCell ref="K34:L34"/>
    <mergeCell ref="M34:N34"/>
    <mergeCell ref="O34:P34"/>
    <mergeCell ref="Q34:R34"/>
    <mergeCell ref="S34:U34"/>
    <mergeCell ref="V34:X34"/>
    <mergeCell ref="B31:C31"/>
    <mergeCell ref="G31:J31"/>
    <mergeCell ref="K31:L31"/>
    <mergeCell ref="M31:N31"/>
    <mergeCell ref="O31:P31"/>
    <mergeCell ref="Q31:R31"/>
    <mergeCell ref="B33:C33"/>
    <mergeCell ref="G33:J33"/>
    <mergeCell ref="K33:L33"/>
    <mergeCell ref="M33:N33"/>
    <mergeCell ref="O33:P33"/>
    <mergeCell ref="Q33:R33"/>
    <mergeCell ref="A42:E42"/>
    <mergeCell ref="G42:O42"/>
    <mergeCell ref="P42:X42"/>
    <mergeCell ref="A39:E39"/>
    <mergeCell ref="G39:O39"/>
    <mergeCell ref="P39:X39"/>
    <mergeCell ref="A40:E40"/>
    <mergeCell ref="G40:O40"/>
    <mergeCell ref="P40:X40"/>
    <mergeCell ref="S32:U32"/>
    <mergeCell ref="V32:X32"/>
    <mergeCell ref="B32:C32"/>
    <mergeCell ref="G32:J32"/>
    <mergeCell ref="K32:L32"/>
    <mergeCell ref="M32:N32"/>
    <mergeCell ref="O32:P32"/>
    <mergeCell ref="Q32:R32"/>
    <mergeCell ref="A41:E41"/>
    <mergeCell ref="G41:O41"/>
    <mergeCell ref="P41:X41"/>
    <mergeCell ref="A36:X36"/>
    <mergeCell ref="A37:E37"/>
    <mergeCell ref="G37:O37"/>
    <mergeCell ref="P37:X37"/>
    <mergeCell ref="A38:E38"/>
    <mergeCell ref="G38:O38"/>
    <mergeCell ref="P38:X38"/>
    <mergeCell ref="S35:U35"/>
    <mergeCell ref="V35:X35"/>
    <mergeCell ref="B35:C35"/>
    <mergeCell ref="G35:J35"/>
    <mergeCell ref="K35:L35"/>
    <mergeCell ref="M35:N35"/>
  </mergeCells>
  <pageMargins left="0.6692913385826772" right="0.15748031496062992" top="0.39370078740157483" bottom="0.19685039370078741" header="0.15748031496062992" footer="0"/>
  <pageSetup paperSize="9" orientation="portrait" r:id="rId1"/>
  <headerFooter alignWithMargins="0">
    <oddFooter>&amp;R&amp;"VNI-Times,Normal"&amp;9    &amp;"Arial,Regular"&amp;8Take effect from/Áp dụng từ ngày 06.08.2016</oddFooter>
  </headerFooter>
  <drawing r:id="rId2"/>
  <legacyDrawing r:id="rId3"/>
  <oleObjects>
    <mc:AlternateContent xmlns:mc="http://schemas.openxmlformats.org/markup-compatibility/2006">
      <mc:Choice Requires="x14">
        <oleObject progId="PBrush" shapeId="14470147" r:id="rId4">
          <objectPr defaultSize="0" autoPict="0" altText="" r:id="rId5">
            <anchor moveWithCells="1" sizeWithCells="1">
              <from>
                <xdr:col>0</xdr:col>
                <xdr:colOff>144780</xdr:colOff>
                <xdr:row>0</xdr:row>
                <xdr:rowOff>297180</xdr:rowOff>
              </from>
              <to>
                <xdr:col>2</xdr:col>
                <xdr:colOff>278130</xdr:colOff>
                <xdr:row>3</xdr:row>
                <xdr:rowOff>182880</xdr:rowOff>
              </to>
            </anchor>
          </objectPr>
        </oleObject>
      </mc:Choice>
      <mc:Fallback>
        <oleObject progId="PBrush" shapeId="14470147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70145" r:id="rId6" name="Check Box 1">
              <controlPr defaultSize="0" autoPict="0">
                <anchor moveWithCells="1">
                  <from>
                    <xdr:col>10</xdr:col>
                    <xdr:colOff>278130</xdr:colOff>
                    <xdr:row>13</xdr:row>
                    <xdr:rowOff>171450</xdr:rowOff>
                  </from>
                  <to>
                    <xdr:col>11</xdr:col>
                    <xdr:colOff>213360</xdr:colOff>
                    <xdr:row>14</xdr:row>
                    <xdr:rowOff>163830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0146" r:id="rId7" name="Check Box 2">
              <controlPr defaultSize="0" autoPict="0">
                <anchor moveWithCells="1">
                  <from>
                    <xdr:col>15</xdr:col>
                    <xdr:colOff>209550</xdr:colOff>
                    <xdr:row>13</xdr:row>
                    <xdr:rowOff>167640</xdr:rowOff>
                  </from>
                  <to>
                    <xdr:col>16</xdr:col>
                    <xdr:colOff>80010</xdr:colOff>
                    <xdr:row>14</xdr:row>
                    <xdr:rowOff>148590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9">
    <tabColor theme="0"/>
  </sheetPr>
  <dimension ref="A1:S43"/>
  <sheetViews>
    <sheetView showGridLines="0" topLeftCell="B17" zoomScaleNormal="100" workbookViewId="0">
      <selection activeCell="V25" sqref="V25"/>
    </sheetView>
  </sheetViews>
  <sheetFormatPr defaultColWidth="9.27734375" defaultRowHeight="12.3" zeroHeight="1"/>
  <cols>
    <col min="1" max="1" width="5.71875" style="55" customWidth="1"/>
    <col min="2" max="2" width="8.71875" style="55" customWidth="1"/>
    <col min="3" max="3" width="9.38671875" style="55" customWidth="1"/>
    <col min="4" max="4" width="7.38671875" style="55" customWidth="1"/>
    <col min="5" max="5" width="0.38671875" style="55" hidden="1" customWidth="1"/>
    <col min="6" max="6" width="2.38671875" style="55" customWidth="1"/>
    <col min="7" max="7" width="3.27734375" style="55" hidden="1" customWidth="1"/>
    <col min="8" max="10" width="4.38671875" style="55" customWidth="1"/>
    <col min="11" max="11" width="8.77734375" style="55" customWidth="1"/>
    <col min="12" max="12" width="3.27734375" style="55" customWidth="1"/>
    <col min="13" max="13" width="5.88671875" style="55" customWidth="1"/>
    <col min="14" max="14" width="2.38671875" style="55" customWidth="1"/>
    <col min="15" max="15" width="3" style="55" customWidth="1"/>
    <col min="16" max="16" width="1.71875" style="55" customWidth="1"/>
    <col min="17" max="17" width="2.38671875" style="55" customWidth="1"/>
    <col min="18" max="18" width="9.44140625" style="55" customWidth="1"/>
    <col min="19" max="19" width="10.0546875" style="483" customWidth="1"/>
    <col min="20" max="16384" width="9.27734375" style="55"/>
  </cols>
  <sheetData>
    <row r="1" spans="1:19" ht="34.5" customHeight="1">
      <c r="A1" s="2155"/>
      <c r="B1" s="2156"/>
      <c r="C1" s="2084" t="s">
        <v>859</v>
      </c>
      <c r="D1" s="2085"/>
      <c r="E1" s="2085"/>
      <c r="F1" s="2085"/>
      <c r="G1" s="2085"/>
      <c r="H1" s="2085"/>
      <c r="I1" s="2085"/>
      <c r="J1" s="2085"/>
      <c r="K1" s="2085"/>
      <c r="L1" s="2085"/>
      <c r="M1" s="2085"/>
      <c r="N1" s="2085"/>
      <c r="O1" s="2085"/>
      <c r="P1" s="2085"/>
      <c r="Q1" s="2085"/>
      <c r="R1" s="2077" t="s">
        <v>860</v>
      </c>
      <c r="S1" s="2079"/>
    </row>
    <row r="2" spans="1:19" ht="14.25" customHeight="1">
      <c r="A2" s="2157"/>
      <c r="B2" s="2158"/>
      <c r="C2" s="1802" t="s">
        <v>861</v>
      </c>
      <c r="D2" s="1803"/>
      <c r="E2" s="1803"/>
      <c r="F2" s="1803"/>
      <c r="G2" s="1803"/>
      <c r="H2" s="1803"/>
      <c r="I2" s="1803"/>
      <c r="J2" s="1803"/>
      <c r="K2" s="1803"/>
      <c r="L2" s="1803"/>
      <c r="M2" s="1803"/>
      <c r="N2" s="1803"/>
      <c r="O2" s="1803"/>
      <c r="P2" s="1803"/>
      <c r="Q2" s="1803"/>
      <c r="R2" s="2161" t="s">
        <v>862</v>
      </c>
      <c r="S2" s="2162"/>
    </row>
    <row r="3" spans="1:19" ht="26.25" customHeight="1">
      <c r="A3" s="2157"/>
      <c r="B3" s="2158"/>
      <c r="C3" s="2163" t="s">
        <v>863</v>
      </c>
      <c r="D3" s="2164"/>
      <c r="E3" s="2164"/>
      <c r="F3" s="2164"/>
      <c r="G3" s="2164"/>
      <c r="H3" s="2164"/>
      <c r="I3" s="2164"/>
      <c r="J3" s="2164"/>
      <c r="K3" s="2164"/>
      <c r="L3" s="2164"/>
      <c r="M3" s="2164"/>
      <c r="N3" s="2164"/>
      <c r="O3" s="2164"/>
      <c r="P3" s="2164"/>
      <c r="Q3" s="2165"/>
      <c r="R3" s="1814" t="s">
        <v>1038</v>
      </c>
      <c r="S3" s="1813"/>
    </row>
    <row r="4" spans="1:19" ht="14.25" customHeight="1">
      <c r="A4" s="2157"/>
      <c r="B4" s="2158"/>
      <c r="C4" s="2166" t="s">
        <v>864</v>
      </c>
      <c r="D4" s="2167"/>
      <c r="E4" s="2167"/>
      <c r="F4" s="2167"/>
      <c r="G4" s="2167"/>
      <c r="H4" s="2167"/>
      <c r="I4" s="2167"/>
      <c r="J4" s="2167"/>
      <c r="K4" s="2167"/>
      <c r="L4" s="2167"/>
      <c r="M4" s="2167"/>
      <c r="N4" s="2167"/>
      <c r="O4" s="2167"/>
      <c r="P4" s="2167"/>
      <c r="Q4" s="2168"/>
      <c r="R4" s="1814" t="s">
        <v>865</v>
      </c>
      <c r="S4" s="1813"/>
    </row>
    <row r="5" spans="1:19" ht="14.25" customHeight="1">
      <c r="A5" s="2159"/>
      <c r="B5" s="2160"/>
      <c r="C5" s="2169"/>
      <c r="D5" s="2170"/>
      <c r="E5" s="2170"/>
      <c r="F5" s="2170"/>
      <c r="G5" s="2170"/>
      <c r="H5" s="2170"/>
      <c r="I5" s="2170"/>
      <c r="J5" s="2170"/>
      <c r="K5" s="2170"/>
      <c r="L5" s="2170"/>
      <c r="M5" s="2170"/>
      <c r="N5" s="2170"/>
      <c r="O5" s="2170"/>
      <c r="P5" s="2170"/>
      <c r="Q5" s="2171"/>
      <c r="R5" s="2172">
        <v>43194</v>
      </c>
      <c r="S5" s="2173"/>
    </row>
    <row r="6" spans="1:19" ht="15" customHeight="1">
      <c r="A6" s="1774" t="s">
        <v>866</v>
      </c>
      <c r="B6" s="1775"/>
      <c r="C6" s="1775"/>
      <c r="D6" s="1775"/>
      <c r="E6" s="1775"/>
      <c r="F6" s="1775"/>
      <c r="G6" s="1775"/>
      <c r="H6" s="1776"/>
      <c r="I6" s="1774" t="s">
        <v>850</v>
      </c>
      <c r="J6" s="1775"/>
      <c r="K6" s="1775"/>
      <c r="L6" s="1775"/>
      <c r="M6" s="1775"/>
      <c r="N6" s="1775"/>
      <c r="O6" s="1775"/>
      <c r="P6" s="1775"/>
      <c r="Q6" s="1775"/>
      <c r="R6" s="1775"/>
      <c r="S6" s="1776"/>
    </row>
    <row r="7" spans="1:19" ht="12.75" customHeight="1">
      <c r="A7" s="1768" t="s">
        <v>701</v>
      </c>
      <c r="B7" s="1769"/>
      <c r="C7" s="1769"/>
      <c r="D7" s="1769"/>
      <c r="E7" s="1769"/>
      <c r="F7" s="1769"/>
      <c r="G7" s="1769"/>
      <c r="H7" s="1770"/>
      <c r="I7" s="2068" t="s">
        <v>867</v>
      </c>
      <c r="J7" s="2069"/>
      <c r="K7" s="2069"/>
      <c r="L7" s="2069"/>
      <c r="M7" s="2069"/>
      <c r="N7" s="2069"/>
      <c r="O7" s="2069"/>
      <c r="P7" s="2069"/>
      <c r="Q7" s="2069"/>
      <c r="R7" s="2069"/>
      <c r="S7" s="2070"/>
    </row>
    <row r="8" spans="1:19" ht="15" customHeight="1">
      <c r="A8" s="1774" t="s">
        <v>868</v>
      </c>
      <c r="B8" s="1775"/>
      <c r="C8" s="1775"/>
      <c r="D8" s="1775"/>
      <c r="E8" s="1775"/>
      <c r="F8" s="1775"/>
      <c r="G8" s="1775"/>
      <c r="H8" s="1776"/>
      <c r="I8" s="1774" t="s">
        <v>869</v>
      </c>
      <c r="J8" s="1775"/>
      <c r="K8" s="1775"/>
      <c r="L8" s="1775"/>
      <c r="M8" s="1775"/>
      <c r="N8" s="1775"/>
      <c r="O8" s="1775"/>
      <c r="P8" s="1775"/>
      <c r="Q8" s="1775"/>
      <c r="R8" s="1775"/>
      <c r="S8" s="1776"/>
    </row>
    <row r="9" spans="1:19" ht="13.5" customHeight="1">
      <c r="A9" s="2138" t="s">
        <v>870</v>
      </c>
      <c r="B9" s="2139"/>
      <c r="C9" s="2139"/>
      <c r="D9" s="2139"/>
      <c r="E9" s="2139"/>
      <c r="F9" s="2139"/>
      <c r="G9" s="2139"/>
      <c r="H9" s="2140"/>
      <c r="I9" s="2141" t="s">
        <v>871</v>
      </c>
      <c r="J9" s="2142"/>
      <c r="K9" s="2142"/>
      <c r="L9" s="2142"/>
      <c r="M9" s="2142"/>
      <c r="N9" s="2142"/>
      <c r="O9" s="2142"/>
      <c r="P9" s="2142"/>
      <c r="Q9" s="2142"/>
      <c r="R9" s="2142"/>
      <c r="S9" s="2143"/>
    </row>
    <row r="10" spans="1:19" ht="12" customHeight="1">
      <c r="A10" s="2068" t="s">
        <v>1004</v>
      </c>
      <c r="B10" s="2069"/>
      <c r="C10" s="2069"/>
      <c r="D10" s="2069"/>
      <c r="E10" s="2069"/>
      <c r="F10" s="2069"/>
      <c r="G10" s="2069"/>
      <c r="H10" s="2070"/>
      <c r="I10" s="2144"/>
      <c r="J10" s="2145"/>
      <c r="K10" s="2145"/>
      <c r="L10" s="2145"/>
      <c r="M10" s="2145"/>
      <c r="N10" s="2145"/>
      <c r="O10" s="2145"/>
      <c r="P10" s="2145"/>
      <c r="Q10" s="2145"/>
      <c r="R10" s="2145"/>
      <c r="S10" s="2146"/>
    </row>
    <row r="11" spans="1:19" ht="16.5" customHeight="1">
      <c r="A11" s="1789" t="s">
        <v>851</v>
      </c>
      <c r="B11" s="1790"/>
      <c r="C11" s="1790"/>
      <c r="D11" s="1790"/>
      <c r="E11" s="338"/>
      <c r="F11" s="339" t="s">
        <v>872</v>
      </c>
      <c r="G11" s="340"/>
      <c r="H11" s="340"/>
      <c r="I11" s="340"/>
      <c r="J11" s="340"/>
      <c r="K11" s="340"/>
      <c r="L11" s="340"/>
      <c r="M11" s="341"/>
      <c r="N11" s="1774" t="s">
        <v>873</v>
      </c>
      <c r="O11" s="2147"/>
      <c r="P11" s="2147"/>
      <c r="Q11" s="2147"/>
      <c r="R11" s="2147"/>
      <c r="S11" s="2148"/>
    </row>
    <row r="12" spans="1:19" ht="15" customHeight="1">
      <c r="A12" s="2149" t="s">
        <v>874</v>
      </c>
      <c r="B12" s="2150"/>
      <c r="C12" s="2150"/>
      <c r="D12" s="2150"/>
      <c r="E12" s="342"/>
      <c r="F12" s="2151" t="s">
        <v>611</v>
      </c>
      <c r="G12" s="2107"/>
      <c r="H12" s="2107"/>
      <c r="I12" s="2107"/>
      <c r="J12" s="2107"/>
      <c r="K12" s="2107"/>
      <c r="L12" s="2107"/>
      <c r="M12" s="2108"/>
      <c r="N12" s="2152" t="s">
        <v>482</v>
      </c>
      <c r="O12" s="2153"/>
      <c r="P12" s="2153"/>
      <c r="Q12" s="2153"/>
      <c r="R12" s="2153"/>
      <c r="S12" s="2154"/>
    </row>
    <row r="13" spans="1:19" ht="12.75" customHeight="1">
      <c r="A13" s="2124" t="s">
        <v>875</v>
      </c>
      <c r="B13" s="2125"/>
      <c r="C13" s="2125"/>
      <c r="D13" s="2125"/>
      <c r="E13" s="343"/>
      <c r="F13" s="2126" t="s">
        <v>876</v>
      </c>
      <c r="G13" s="2127"/>
      <c r="H13" s="2127"/>
      <c r="I13" s="2127"/>
      <c r="J13" s="2127"/>
      <c r="K13" s="2127"/>
      <c r="L13" s="2127"/>
      <c r="M13" s="2128"/>
      <c r="N13" s="2129" t="s">
        <v>877</v>
      </c>
      <c r="O13" s="2130"/>
      <c r="P13" s="2130"/>
      <c r="Q13" s="2130"/>
      <c r="R13" s="2130"/>
      <c r="S13" s="2131"/>
    </row>
    <row r="14" spans="1:19" ht="15" customHeight="1">
      <c r="A14" s="2054"/>
      <c r="B14" s="2055"/>
      <c r="C14" s="2055"/>
      <c r="D14" s="2055"/>
      <c r="E14" s="344"/>
      <c r="F14" s="2132" t="s">
        <v>878</v>
      </c>
      <c r="G14" s="2133"/>
      <c r="H14" s="2133"/>
      <c r="I14" s="2133"/>
      <c r="J14" s="2133"/>
      <c r="K14" s="2133"/>
      <c r="L14" s="2133"/>
      <c r="M14" s="2134"/>
      <c r="N14" s="2135" t="s">
        <v>1006</v>
      </c>
      <c r="O14" s="2136"/>
      <c r="P14" s="2136"/>
      <c r="Q14" s="2136"/>
      <c r="R14" s="2136"/>
      <c r="S14" s="2137"/>
    </row>
    <row r="15" spans="1:19" ht="18" customHeight="1">
      <c r="A15" s="2118" t="s">
        <v>879</v>
      </c>
      <c r="B15" s="2119"/>
      <c r="C15" s="2119"/>
      <c r="D15" s="2119"/>
      <c r="E15" s="345"/>
      <c r="F15" s="2077" t="s">
        <v>880</v>
      </c>
      <c r="G15" s="2078"/>
      <c r="H15" s="2078"/>
      <c r="I15" s="2078"/>
      <c r="J15" s="2078"/>
      <c r="K15" s="2078"/>
      <c r="L15" s="2078"/>
      <c r="M15" s="2079"/>
      <c r="N15" s="2078" t="s">
        <v>881</v>
      </c>
      <c r="O15" s="2078"/>
      <c r="P15" s="2078"/>
      <c r="Q15" s="2078"/>
      <c r="R15" s="2078"/>
      <c r="S15" s="2079"/>
    </row>
    <row r="16" spans="1:19" ht="18" customHeight="1">
      <c r="A16" s="2120" t="s">
        <v>882</v>
      </c>
      <c r="B16" s="2121"/>
      <c r="C16" s="2121"/>
      <c r="D16" s="2121"/>
      <c r="E16" s="346"/>
      <c r="F16" s="1768" t="s">
        <v>177</v>
      </c>
      <c r="G16" s="1769"/>
      <c r="H16" s="1769"/>
      <c r="I16" s="1769"/>
      <c r="J16" s="1769"/>
      <c r="K16" s="1769"/>
      <c r="L16" s="1769"/>
      <c r="M16" s="1770"/>
      <c r="N16" s="2122" t="s">
        <v>1005</v>
      </c>
      <c r="O16" s="2122"/>
      <c r="P16" s="2122"/>
      <c r="Q16" s="2122"/>
      <c r="R16" s="2122"/>
      <c r="S16" s="2123"/>
    </row>
    <row r="17" spans="1:19" s="304" customFormat="1" ht="70.5" customHeight="1">
      <c r="A17" s="302" t="s">
        <v>883</v>
      </c>
      <c r="B17" s="2047" t="s">
        <v>509</v>
      </c>
      <c r="C17" s="2115"/>
      <c r="D17" s="2115"/>
      <c r="E17" s="2116"/>
      <c r="F17" s="2117" t="s">
        <v>884</v>
      </c>
      <c r="G17" s="2115"/>
      <c r="H17" s="2115"/>
      <c r="I17" s="2116"/>
      <c r="J17" s="2047" t="s">
        <v>885</v>
      </c>
      <c r="K17" s="2116"/>
      <c r="L17" s="2047" t="s">
        <v>886</v>
      </c>
      <c r="M17" s="2048"/>
      <c r="N17" s="2047" t="s">
        <v>887</v>
      </c>
      <c r="O17" s="2048"/>
      <c r="P17" s="2048"/>
      <c r="Q17" s="2049"/>
      <c r="R17" s="303" t="s">
        <v>888</v>
      </c>
      <c r="S17" s="303" t="s">
        <v>889</v>
      </c>
    </row>
    <row r="18" spans="1:19" s="349" customFormat="1" ht="20.100000000000001" customHeight="1">
      <c r="A18" s="347">
        <v>1</v>
      </c>
      <c r="B18" s="2113" t="s">
        <v>890</v>
      </c>
      <c r="C18" s="2113"/>
      <c r="D18" s="2113"/>
      <c r="E18" s="2113"/>
      <c r="F18" s="2113">
        <v>5</v>
      </c>
      <c r="G18" s="2113"/>
      <c r="H18" s="2113"/>
      <c r="I18" s="2113"/>
      <c r="J18" s="2113" t="s">
        <v>891</v>
      </c>
      <c r="K18" s="2113"/>
      <c r="L18" s="2113" t="s">
        <v>195</v>
      </c>
      <c r="M18" s="2113"/>
      <c r="N18" s="2114" t="s">
        <v>195</v>
      </c>
      <c r="O18" s="2114"/>
      <c r="P18" s="2114"/>
      <c r="Q18" s="2114"/>
      <c r="R18" s="348" t="s">
        <v>154</v>
      </c>
      <c r="S18" s="348"/>
    </row>
    <row r="19" spans="1:19" s="349" customFormat="1" ht="20.100000000000001" customHeight="1">
      <c r="A19" s="347" t="s">
        <v>163</v>
      </c>
      <c r="B19" s="2113" t="s">
        <v>892</v>
      </c>
      <c r="C19" s="2113"/>
      <c r="D19" s="2113"/>
      <c r="E19" s="2113"/>
      <c r="F19" s="2113">
        <v>6</v>
      </c>
      <c r="G19" s="2113"/>
      <c r="H19" s="2113"/>
      <c r="I19" s="2113"/>
      <c r="J19" s="2113" t="s">
        <v>891</v>
      </c>
      <c r="K19" s="2113"/>
      <c r="L19" s="2113" t="s">
        <v>195</v>
      </c>
      <c r="M19" s="2113"/>
      <c r="N19" s="2114" t="s">
        <v>195</v>
      </c>
      <c r="O19" s="2114"/>
      <c r="P19" s="2114"/>
      <c r="Q19" s="2114"/>
      <c r="R19" s="348" t="s">
        <v>154</v>
      </c>
      <c r="S19" s="348"/>
    </row>
    <row r="20" spans="1:19" s="349" customFormat="1" ht="20.100000000000001" customHeight="1">
      <c r="A20" s="347" t="s">
        <v>164</v>
      </c>
      <c r="B20" s="2113" t="s">
        <v>892</v>
      </c>
      <c r="C20" s="2113"/>
      <c r="D20" s="2113"/>
      <c r="E20" s="2113"/>
      <c r="F20" s="2113">
        <v>7</v>
      </c>
      <c r="G20" s="2113"/>
      <c r="H20" s="2113"/>
      <c r="I20" s="2113"/>
      <c r="J20" s="2113" t="s">
        <v>891</v>
      </c>
      <c r="K20" s="2113"/>
      <c r="L20" s="2113" t="s">
        <v>195</v>
      </c>
      <c r="M20" s="2113"/>
      <c r="N20" s="2114" t="s">
        <v>195</v>
      </c>
      <c r="O20" s="2114"/>
      <c r="P20" s="2114"/>
      <c r="Q20" s="2114"/>
      <c r="R20" s="348" t="s">
        <v>154</v>
      </c>
      <c r="S20" s="348"/>
    </row>
    <row r="21" spans="1:19" s="349" customFormat="1" ht="20.100000000000001" customHeight="1">
      <c r="A21" s="347" t="s">
        <v>338</v>
      </c>
      <c r="B21" s="2113" t="s">
        <v>892</v>
      </c>
      <c r="C21" s="2113"/>
      <c r="D21" s="2113"/>
      <c r="E21" s="2113"/>
      <c r="F21" s="2113">
        <v>8</v>
      </c>
      <c r="G21" s="2113"/>
      <c r="H21" s="2113"/>
      <c r="I21" s="2113"/>
      <c r="J21" s="2113" t="s">
        <v>891</v>
      </c>
      <c r="K21" s="2113"/>
      <c r="L21" s="2113" t="s">
        <v>195</v>
      </c>
      <c r="M21" s="2113"/>
      <c r="N21" s="2114" t="s">
        <v>195</v>
      </c>
      <c r="O21" s="2114"/>
      <c r="P21" s="2114"/>
      <c r="Q21" s="2114"/>
      <c r="R21" s="348" t="s">
        <v>154</v>
      </c>
      <c r="S21" s="348"/>
    </row>
    <row r="22" spans="1:19" s="349" customFormat="1" ht="20.100000000000001" customHeight="1">
      <c r="A22" s="347"/>
      <c r="B22" s="2113"/>
      <c r="C22" s="2113"/>
      <c r="D22" s="2113"/>
      <c r="E22" s="2113"/>
      <c r="F22" s="2113"/>
      <c r="G22" s="2113"/>
      <c r="H22" s="2113"/>
      <c r="I22" s="2113"/>
      <c r="J22" s="2113"/>
      <c r="K22" s="2113"/>
      <c r="L22" s="2113"/>
      <c r="M22" s="2113"/>
      <c r="N22" s="2114"/>
      <c r="O22" s="2114"/>
      <c r="P22" s="2114"/>
      <c r="Q22" s="2114"/>
      <c r="R22" s="348"/>
      <c r="S22" s="348"/>
    </row>
    <row r="23" spans="1:19" s="349" customFormat="1" ht="20.100000000000001" customHeight="1">
      <c r="A23" s="347"/>
      <c r="B23" s="2113"/>
      <c r="C23" s="2113"/>
      <c r="D23" s="2113"/>
      <c r="E23" s="2113"/>
      <c r="F23" s="2113"/>
      <c r="G23" s="2113"/>
      <c r="H23" s="2113"/>
      <c r="I23" s="2113"/>
      <c r="J23" s="2113"/>
      <c r="K23" s="2113"/>
      <c r="L23" s="2113"/>
      <c r="M23" s="2113"/>
      <c r="N23" s="2114"/>
      <c r="O23" s="2114"/>
      <c r="P23" s="2114"/>
      <c r="Q23" s="2114"/>
      <c r="R23" s="348"/>
      <c r="S23" s="348"/>
    </row>
    <row r="24" spans="1:19" s="349" customFormat="1" ht="20.100000000000001" customHeight="1">
      <c r="A24" s="347"/>
      <c r="B24" s="2113"/>
      <c r="C24" s="2113"/>
      <c r="D24" s="2113"/>
      <c r="E24" s="2113"/>
      <c r="F24" s="2113"/>
      <c r="G24" s="2113"/>
      <c r="H24" s="2113"/>
      <c r="I24" s="2113"/>
      <c r="J24" s="2113"/>
      <c r="K24" s="2113"/>
      <c r="L24" s="2113"/>
      <c r="M24" s="2113"/>
      <c r="N24" s="2114"/>
      <c r="O24" s="2114"/>
      <c r="P24" s="2114"/>
      <c r="Q24" s="2114"/>
      <c r="R24" s="348"/>
      <c r="S24" s="348"/>
    </row>
    <row r="25" spans="1:19" s="349" customFormat="1" ht="20.100000000000001" customHeight="1">
      <c r="A25" s="347"/>
      <c r="B25" s="2113"/>
      <c r="C25" s="2113"/>
      <c r="D25" s="2113"/>
      <c r="E25" s="2113"/>
      <c r="F25" s="2113"/>
      <c r="G25" s="2113"/>
      <c r="H25" s="2113"/>
      <c r="I25" s="2113"/>
      <c r="J25" s="2113"/>
      <c r="K25" s="2113"/>
      <c r="L25" s="2113"/>
      <c r="M25" s="2113"/>
      <c r="N25" s="2114"/>
      <c r="O25" s="2114"/>
      <c r="P25" s="2114"/>
      <c r="Q25" s="2114"/>
      <c r="R25" s="348"/>
      <c r="S25" s="348"/>
    </row>
    <row r="26" spans="1:19" s="349" customFormat="1" ht="20.100000000000001" customHeight="1">
      <c r="A26" s="347"/>
      <c r="B26" s="2113"/>
      <c r="C26" s="2113"/>
      <c r="D26" s="2113"/>
      <c r="E26" s="2113"/>
      <c r="F26" s="2113"/>
      <c r="G26" s="2113"/>
      <c r="H26" s="2113"/>
      <c r="I26" s="2113"/>
      <c r="J26" s="2113"/>
      <c r="K26" s="2113"/>
      <c r="L26" s="2113"/>
      <c r="M26" s="2113"/>
      <c r="N26" s="2114"/>
      <c r="O26" s="2114"/>
      <c r="P26" s="2114"/>
      <c r="Q26" s="2114"/>
      <c r="R26" s="348"/>
      <c r="S26" s="348"/>
    </row>
    <row r="27" spans="1:19" s="349" customFormat="1" ht="20.100000000000001" customHeight="1">
      <c r="A27" s="347"/>
      <c r="B27" s="2113"/>
      <c r="C27" s="2113"/>
      <c r="D27" s="2113"/>
      <c r="E27" s="2113"/>
      <c r="F27" s="2113"/>
      <c r="G27" s="2113"/>
      <c r="H27" s="2113"/>
      <c r="I27" s="2113"/>
      <c r="J27" s="2113"/>
      <c r="K27" s="2113"/>
      <c r="L27" s="2113"/>
      <c r="M27" s="2113"/>
      <c r="N27" s="2114"/>
      <c r="O27" s="2114"/>
      <c r="P27" s="2114"/>
      <c r="Q27" s="2114"/>
      <c r="R27" s="348"/>
      <c r="S27" s="348"/>
    </row>
    <row r="28" spans="1:19" s="349" customFormat="1" ht="20.100000000000001" customHeight="1">
      <c r="A28" s="347"/>
      <c r="B28" s="2113"/>
      <c r="C28" s="2113"/>
      <c r="D28" s="2113"/>
      <c r="E28" s="2113"/>
      <c r="F28" s="2113"/>
      <c r="G28" s="2113"/>
      <c r="H28" s="2113"/>
      <c r="I28" s="2113"/>
      <c r="J28" s="2113"/>
      <c r="K28" s="2113"/>
      <c r="L28" s="2113"/>
      <c r="M28" s="2113"/>
      <c r="N28" s="2114"/>
      <c r="O28" s="2114"/>
      <c r="P28" s="2114"/>
      <c r="Q28" s="2114"/>
      <c r="R28" s="348"/>
      <c r="S28" s="350"/>
    </row>
    <row r="29" spans="1:19" s="349" customFormat="1" ht="20.100000000000001" customHeight="1">
      <c r="A29" s="351"/>
      <c r="B29" s="2111"/>
      <c r="C29" s="2111"/>
      <c r="D29" s="2111"/>
      <c r="E29" s="2111"/>
      <c r="F29" s="2111"/>
      <c r="G29" s="2111"/>
      <c r="H29" s="2111"/>
      <c r="I29" s="2111"/>
      <c r="J29" s="2111"/>
      <c r="K29" s="2111"/>
      <c r="L29" s="2111"/>
      <c r="M29" s="2111"/>
      <c r="N29" s="2112"/>
      <c r="O29" s="2112"/>
      <c r="P29" s="2112"/>
      <c r="Q29" s="2112"/>
      <c r="R29" s="350"/>
      <c r="S29" s="350"/>
    </row>
    <row r="30" spans="1:19" s="349" customFormat="1" ht="20.100000000000001" customHeight="1">
      <c r="A30" s="351"/>
      <c r="B30" s="2111"/>
      <c r="C30" s="2111"/>
      <c r="D30" s="2111"/>
      <c r="E30" s="2111"/>
      <c r="F30" s="2111"/>
      <c r="G30" s="2111"/>
      <c r="H30" s="2111"/>
      <c r="I30" s="2111"/>
      <c r="J30" s="2111"/>
      <c r="K30" s="2111"/>
      <c r="L30" s="2111"/>
      <c r="M30" s="2111"/>
      <c r="N30" s="2112"/>
      <c r="O30" s="2112"/>
      <c r="P30" s="2112"/>
      <c r="Q30" s="2112"/>
      <c r="R30" s="350"/>
      <c r="S30" s="350"/>
    </row>
    <row r="31" spans="1:19" s="349" customFormat="1" ht="20.100000000000001" customHeight="1">
      <c r="A31" s="351"/>
      <c r="B31" s="2111"/>
      <c r="C31" s="2111"/>
      <c r="D31" s="2111"/>
      <c r="E31" s="2111"/>
      <c r="F31" s="2111"/>
      <c r="G31" s="2111"/>
      <c r="H31" s="2111"/>
      <c r="I31" s="2111"/>
      <c r="J31" s="2111"/>
      <c r="K31" s="2111"/>
      <c r="L31" s="2111"/>
      <c r="M31" s="2111"/>
      <c r="N31" s="2112"/>
      <c r="O31" s="2112"/>
      <c r="P31" s="2112"/>
      <c r="Q31" s="2112"/>
      <c r="R31" s="350"/>
      <c r="S31" s="350"/>
    </row>
    <row r="32" spans="1:19" s="349" customFormat="1" ht="20.100000000000001" customHeight="1">
      <c r="A32" s="351"/>
      <c r="B32" s="2111"/>
      <c r="C32" s="2111"/>
      <c r="D32" s="2111"/>
      <c r="E32" s="2111"/>
      <c r="F32" s="2111"/>
      <c r="G32" s="2111"/>
      <c r="H32" s="2111"/>
      <c r="I32" s="2111"/>
      <c r="J32" s="2111"/>
      <c r="K32" s="2111"/>
      <c r="L32" s="2111"/>
      <c r="M32" s="2111"/>
      <c r="N32" s="2112"/>
      <c r="O32" s="2112"/>
      <c r="P32" s="2112"/>
      <c r="Q32" s="2112"/>
      <c r="R32" s="350"/>
      <c r="S32" s="350"/>
    </row>
    <row r="33" spans="1:19" s="349" customFormat="1" ht="20.100000000000001" customHeight="1">
      <c r="A33" s="351"/>
      <c r="B33" s="2111"/>
      <c r="C33" s="2111"/>
      <c r="D33" s="2111"/>
      <c r="E33" s="2111"/>
      <c r="F33" s="2111"/>
      <c r="G33" s="2111"/>
      <c r="H33" s="2111"/>
      <c r="I33" s="2111"/>
      <c r="J33" s="2111"/>
      <c r="K33" s="2111"/>
      <c r="L33" s="2111"/>
      <c r="M33" s="2111"/>
      <c r="N33" s="2112"/>
      <c r="O33" s="2112"/>
      <c r="P33" s="2112"/>
      <c r="Q33" s="2112"/>
      <c r="R33" s="350"/>
      <c r="S33" s="350"/>
    </row>
    <row r="34" spans="1:19" s="312" customFormat="1" ht="29.65" customHeight="1">
      <c r="A34" s="1685" t="s">
        <v>893</v>
      </c>
      <c r="B34" s="1686"/>
      <c r="C34" s="1686"/>
      <c r="D34" s="1686"/>
      <c r="E34" s="1686"/>
      <c r="F34" s="1686"/>
      <c r="G34" s="1686"/>
      <c r="H34" s="1686"/>
      <c r="I34" s="1686"/>
      <c r="J34" s="1686"/>
      <c r="K34" s="1686"/>
      <c r="L34" s="1686"/>
      <c r="M34" s="1686"/>
      <c r="N34" s="1686"/>
      <c r="O34" s="1686"/>
      <c r="P34" s="1686"/>
      <c r="Q34" s="1686"/>
      <c r="R34" s="1686"/>
      <c r="S34" s="1687"/>
    </row>
    <row r="35" spans="1:19" ht="14.25" customHeight="1">
      <c r="A35" s="1691" t="s">
        <v>894</v>
      </c>
      <c r="B35" s="1692"/>
      <c r="C35" s="1692"/>
      <c r="D35" s="1692"/>
      <c r="E35" s="1692"/>
      <c r="F35" s="1693"/>
      <c r="G35" s="313" t="s">
        <v>895</v>
      </c>
      <c r="H35" s="1692" t="s">
        <v>199</v>
      </c>
      <c r="I35" s="1692"/>
      <c r="J35" s="1692"/>
      <c r="K35" s="1692"/>
      <c r="L35" s="1692"/>
      <c r="M35" s="1693"/>
      <c r="N35" s="1691" t="s">
        <v>200</v>
      </c>
      <c r="O35" s="1692"/>
      <c r="P35" s="1692"/>
      <c r="Q35" s="1692"/>
      <c r="R35" s="1692"/>
      <c r="S35" s="1693"/>
    </row>
    <row r="36" spans="1:19" s="315" customFormat="1" ht="13.5" customHeight="1">
      <c r="A36" s="1673" t="s">
        <v>201</v>
      </c>
      <c r="B36" s="1674"/>
      <c r="C36" s="1674"/>
      <c r="D36" s="1674"/>
      <c r="E36" s="1674"/>
      <c r="F36" s="1675"/>
      <c r="G36" s="314" t="s">
        <v>838</v>
      </c>
      <c r="H36" s="1674" t="s">
        <v>896</v>
      </c>
      <c r="I36" s="1674"/>
      <c r="J36" s="1674"/>
      <c r="K36" s="1674"/>
      <c r="L36" s="1674"/>
      <c r="M36" s="1675"/>
      <c r="N36" s="1673" t="s">
        <v>203</v>
      </c>
      <c r="O36" s="1674"/>
      <c r="P36" s="1674"/>
      <c r="Q36" s="1674"/>
      <c r="R36" s="1674"/>
      <c r="S36" s="1675"/>
    </row>
    <row r="37" spans="1:19" s="315" customFormat="1" ht="15" customHeight="1">
      <c r="A37" s="2105" t="s">
        <v>897</v>
      </c>
      <c r="B37" s="2106"/>
      <c r="C37" s="2107" t="s">
        <v>1007</v>
      </c>
      <c r="D37" s="2107"/>
      <c r="E37" s="2107"/>
      <c r="F37" s="2108"/>
      <c r="G37" s="314" t="s">
        <v>204</v>
      </c>
      <c r="H37" s="1673" t="s">
        <v>898</v>
      </c>
      <c r="I37" s="1674"/>
      <c r="J37" s="1674"/>
      <c r="K37" s="1674"/>
      <c r="L37" s="1674"/>
      <c r="M37" s="1675"/>
      <c r="N37" s="1673" t="s">
        <v>204</v>
      </c>
      <c r="O37" s="1674"/>
      <c r="P37" s="1674"/>
      <c r="Q37" s="1674"/>
      <c r="R37" s="1674"/>
      <c r="S37" s="1675"/>
    </row>
    <row r="38" spans="1:19" s="315" customFormat="1" ht="16.5" customHeight="1">
      <c r="A38" s="1673" t="s">
        <v>205</v>
      </c>
      <c r="B38" s="1674"/>
      <c r="C38" s="1674"/>
      <c r="D38" s="1674"/>
      <c r="E38" s="1674"/>
      <c r="F38" s="1675"/>
      <c r="G38" s="314" t="s">
        <v>205</v>
      </c>
      <c r="H38" s="1673" t="s">
        <v>205</v>
      </c>
      <c r="I38" s="1674"/>
      <c r="J38" s="1674"/>
      <c r="K38" s="1674"/>
      <c r="L38" s="1674"/>
      <c r="M38" s="1675"/>
      <c r="N38" s="1673" t="s">
        <v>205</v>
      </c>
      <c r="O38" s="1674"/>
      <c r="P38" s="1674"/>
      <c r="Q38" s="1674"/>
      <c r="R38" s="1674"/>
      <c r="S38" s="1675"/>
    </row>
    <row r="39" spans="1:19" s="315" customFormat="1" ht="21" customHeight="1">
      <c r="A39" s="2100"/>
      <c r="B39" s="2101"/>
      <c r="C39" s="2101"/>
      <c r="D39" s="2101"/>
      <c r="E39" s="2101"/>
      <c r="F39" s="2102"/>
      <c r="G39" s="314"/>
      <c r="H39" s="1673"/>
      <c r="I39" s="1674"/>
      <c r="J39" s="1674"/>
      <c r="K39" s="1674"/>
      <c r="L39" s="1674"/>
      <c r="M39" s="1675"/>
      <c r="N39" s="1673"/>
      <c r="O39" s="1674"/>
      <c r="P39" s="1674"/>
      <c r="Q39" s="1674"/>
      <c r="R39" s="1674"/>
      <c r="S39" s="1675"/>
    </row>
    <row r="40" spans="1:19" s="315" customFormat="1" ht="18" customHeight="1">
      <c r="A40" s="352" t="s">
        <v>899</v>
      </c>
      <c r="B40" s="353"/>
      <c r="C40" s="2103">
        <f>$R$5</f>
        <v>43194</v>
      </c>
      <c r="D40" s="2103"/>
      <c r="E40" s="2103"/>
      <c r="F40" s="2104"/>
      <c r="G40" s="316" t="s">
        <v>206</v>
      </c>
      <c r="H40" s="2109" t="s">
        <v>206</v>
      </c>
      <c r="I40" s="2110"/>
      <c r="J40" s="2110"/>
      <c r="K40" s="2103">
        <f>$R$5</f>
        <v>43194</v>
      </c>
      <c r="L40" s="1754"/>
      <c r="M40" s="1755"/>
      <c r="N40" s="2022" t="s">
        <v>206</v>
      </c>
      <c r="O40" s="2023"/>
      <c r="P40" s="2023"/>
      <c r="Q40" s="2023"/>
      <c r="R40" s="2023"/>
      <c r="S40" s="2024"/>
    </row>
    <row r="41" spans="1:19" hidden="1">
      <c r="A41" s="319"/>
      <c r="B41" s="319"/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482"/>
    </row>
    <row r="42" spans="1:19" hidden="1">
      <c r="A42" s="320"/>
    </row>
    <row r="43" spans="1:19"/>
  </sheetData>
  <mergeCells count="142">
    <mergeCell ref="A1:B5"/>
    <mergeCell ref="C1:Q1"/>
    <mergeCell ref="R1:S1"/>
    <mergeCell ref="C2:Q2"/>
    <mergeCell ref="R2:S2"/>
    <mergeCell ref="C3:Q3"/>
    <mergeCell ref="R3:S3"/>
    <mergeCell ref="C4:Q5"/>
    <mergeCell ref="R4:S4"/>
    <mergeCell ref="R5:S5"/>
    <mergeCell ref="A9:H9"/>
    <mergeCell ref="I9:S10"/>
    <mergeCell ref="A10:H10"/>
    <mergeCell ref="A11:D11"/>
    <mergeCell ref="N11:S11"/>
    <mergeCell ref="A12:D12"/>
    <mergeCell ref="F12:M12"/>
    <mergeCell ref="N12:S12"/>
    <mergeCell ref="A6:H6"/>
    <mergeCell ref="I6:S6"/>
    <mergeCell ref="A7:H7"/>
    <mergeCell ref="I7:S7"/>
    <mergeCell ref="A8:H8"/>
    <mergeCell ref="I8:S8"/>
    <mergeCell ref="A15:D15"/>
    <mergeCell ref="F15:M15"/>
    <mergeCell ref="N15:S15"/>
    <mergeCell ref="A16:D16"/>
    <mergeCell ref="F16:M16"/>
    <mergeCell ref="N16:S16"/>
    <mergeCell ref="A13:D13"/>
    <mergeCell ref="F13:M13"/>
    <mergeCell ref="N13:S13"/>
    <mergeCell ref="A14:D14"/>
    <mergeCell ref="F14:M14"/>
    <mergeCell ref="N14:S14"/>
    <mergeCell ref="B17:E17"/>
    <mergeCell ref="F17:I17"/>
    <mergeCell ref="J17:K17"/>
    <mergeCell ref="L17:M17"/>
    <mergeCell ref="N17:Q17"/>
    <mergeCell ref="B18:E18"/>
    <mergeCell ref="F18:I18"/>
    <mergeCell ref="J18:K18"/>
    <mergeCell ref="L18:M18"/>
    <mergeCell ref="N18:Q18"/>
    <mergeCell ref="B19:E19"/>
    <mergeCell ref="F19:I19"/>
    <mergeCell ref="J19:K19"/>
    <mergeCell ref="L19:M19"/>
    <mergeCell ref="N19:Q19"/>
    <mergeCell ref="B20:E20"/>
    <mergeCell ref="F20:I20"/>
    <mergeCell ref="J20:K20"/>
    <mergeCell ref="L20:M20"/>
    <mergeCell ref="N20:Q20"/>
    <mergeCell ref="B21:E21"/>
    <mergeCell ref="F21:I21"/>
    <mergeCell ref="J21:K21"/>
    <mergeCell ref="L21:M21"/>
    <mergeCell ref="N21:Q21"/>
    <mergeCell ref="B22:E22"/>
    <mergeCell ref="F22:I22"/>
    <mergeCell ref="J22:K22"/>
    <mergeCell ref="L22:M22"/>
    <mergeCell ref="N22:Q22"/>
    <mergeCell ref="B23:E23"/>
    <mergeCell ref="F23:I23"/>
    <mergeCell ref="J23:K23"/>
    <mergeCell ref="L23:M23"/>
    <mergeCell ref="N23:Q23"/>
    <mergeCell ref="B24:E24"/>
    <mergeCell ref="F24:I24"/>
    <mergeCell ref="J24:K24"/>
    <mergeCell ref="L24:M24"/>
    <mergeCell ref="N24:Q24"/>
    <mergeCell ref="N32:Q32"/>
    <mergeCell ref="B25:E25"/>
    <mergeCell ref="F25:I25"/>
    <mergeCell ref="J25:K25"/>
    <mergeCell ref="L25:M25"/>
    <mergeCell ref="N25:Q25"/>
    <mergeCell ref="B26:E26"/>
    <mergeCell ref="F26:I26"/>
    <mergeCell ref="J26:K26"/>
    <mergeCell ref="L26:M26"/>
    <mergeCell ref="N26:Q26"/>
    <mergeCell ref="B27:E27"/>
    <mergeCell ref="F27:I27"/>
    <mergeCell ref="J27:K27"/>
    <mergeCell ref="L27:M27"/>
    <mergeCell ref="N27:Q27"/>
    <mergeCell ref="B28:E28"/>
    <mergeCell ref="F28:I28"/>
    <mergeCell ref="J28:K28"/>
    <mergeCell ref="L28:M28"/>
    <mergeCell ref="N28:Q28"/>
    <mergeCell ref="B33:E33"/>
    <mergeCell ref="F33:I33"/>
    <mergeCell ref="J33:K33"/>
    <mergeCell ref="L33:M33"/>
    <mergeCell ref="N33:Q33"/>
    <mergeCell ref="B29:E29"/>
    <mergeCell ref="F29:I29"/>
    <mergeCell ref="J29:K29"/>
    <mergeCell ref="L29:M29"/>
    <mergeCell ref="N29:Q29"/>
    <mergeCell ref="B30:E30"/>
    <mergeCell ref="F30:I30"/>
    <mergeCell ref="J30:K30"/>
    <mergeCell ref="L30:M30"/>
    <mergeCell ref="N30:Q30"/>
    <mergeCell ref="B31:E31"/>
    <mergeCell ref="F31:I31"/>
    <mergeCell ref="J31:K31"/>
    <mergeCell ref="L31:M31"/>
    <mergeCell ref="N31:Q31"/>
    <mergeCell ref="B32:E32"/>
    <mergeCell ref="F32:I32"/>
    <mergeCell ref="J32:K32"/>
    <mergeCell ref="L32:M32"/>
    <mergeCell ref="C40:F40"/>
    <mergeCell ref="N40:S40"/>
    <mergeCell ref="A37:B37"/>
    <mergeCell ref="C37:F37"/>
    <mergeCell ref="H37:M37"/>
    <mergeCell ref="N37:S37"/>
    <mergeCell ref="A38:F38"/>
    <mergeCell ref="H38:M38"/>
    <mergeCell ref="N38:S38"/>
    <mergeCell ref="H40:J40"/>
    <mergeCell ref="K40:M40"/>
    <mergeCell ref="A35:F35"/>
    <mergeCell ref="H35:M35"/>
    <mergeCell ref="N35:S35"/>
    <mergeCell ref="A36:F36"/>
    <mergeCell ref="H36:M36"/>
    <mergeCell ref="N36:S36"/>
    <mergeCell ref="A34:S34"/>
    <mergeCell ref="A39:F39"/>
    <mergeCell ref="H39:M39"/>
    <mergeCell ref="N39:S39"/>
  </mergeCells>
  <conditionalFormatting sqref="B18:J33 L18:L33 R18:S33">
    <cfRule type="cellIs" dxfId="0" priority="1" stopIfTrue="1" operator="equal">
      <formula>#N/A</formula>
    </cfRule>
  </conditionalFormatting>
  <pageMargins left="0.6692913385826772" right="0.19685039370078741" top="0.39370078740157483" bottom="0.19685039370078741" header="0.15748031496062992" footer="0"/>
  <pageSetup paperSize="9" orientation="portrait" r:id="rId1"/>
  <headerFooter>
    <oddFooter>&amp;RTake effect from/Áp dụng từ ngày 06.08.2016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C1765"/>
  <sheetViews>
    <sheetView showGridLines="0" topLeftCell="A31" zoomScale="85" zoomScaleNormal="85" zoomScaleSheetLayoutView="100" zoomScalePageLayoutView="85" workbookViewId="0">
      <selection activeCell="AC41" sqref="AC41"/>
    </sheetView>
  </sheetViews>
  <sheetFormatPr defaultRowHeight="12.3"/>
  <cols>
    <col min="1" max="1" width="4.44140625" style="463" customWidth="1"/>
    <col min="2" max="2" width="8.88671875" style="463" customWidth="1"/>
    <col min="3" max="3" width="6.44140625" style="463" customWidth="1"/>
    <col min="4" max="4" width="7" style="463" customWidth="1"/>
    <col min="5" max="5" width="7.27734375" style="463" customWidth="1"/>
    <col min="6" max="6" width="2.38671875" style="463" customWidth="1"/>
    <col min="7" max="7" width="1.88671875" style="463" customWidth="1"/>
    <col min="8" max="8" width="5.6640625" style="463" hidden="1" customWidth="1"/>
    <col min="9" max="9" width="2.71875" style="463" customWidth="1"/>
    <col min="10" max="10" width="6.71875" style="463" customWidth="1"/>
    <col min="11" max="11" width="4.6640625" style="463" customWidth="1"/>
    <col min="12" max="12" width="3" style="463" customWidth="1"/>
    <col min="13" max="13" width="7.38671875" style="463" customWidth="1"/>
    <col min="14" max="14" width="3.21875" style="463" customWidth="1"/>
    <col min="15" max="15" width="3.88671875" style="463" customWidth="1"/>
    <col min="16" max="16" width="7" style="463" customWidth="1"/>
    <col min="17" max="17" width="3.33203125" style="463" customWidth="1"/>
    <col min="18" max="18" width="4.27734375" style="463" customWidth="1"/>
    <col min="19" max="19" width="2.5546875" style="463" customWidth="1"/>
    <col min="20" max="20" width="1.38671875" style="463" customWidth="1"/>
    <col min="21" max="21" width="2.21875" style="463" customWidth="1"/>
    <col min="22" max="23" width="2.109375" style="463" customWidth="1"/>
    <col min="24" max="24" width="1.88671875" style="463" customWidth="1"/>
    <col min="25" max="256" width="9.0546875" style="463"/>
    <col min="257" max="257" width="4.44140625" style="463" customWidth="1"/>
    <col min="258" max="258" width="8.88671875" style="463" customWidth="1"/>
    <col min="259" max="259" width="6.44140625" style="463" customWidth="1"/>
    <col min="260" max="260" width="8.109375" style="463" customWidth="1"/>
    <col min="261" max="261" width="7.6640625" style="463" customWidth="1"/>
    <col min="262" max="262" width="0" style="463" hidden="1" customWidth="1"/>
    <col min="263" max="263" width="2.44140625" style="463" customWidth="1"/>
    <col min="264" max="264" width="0" style="463" hidden="1" customWidth="1"/>
    <col min="265" max="266" width="3.109375" style="463" customWidth="1"/>
    <col min="267" max="267" width="4.33203125" style="463" customWidth="1"/>
    <col min="268" max="268" width="3.6640625" style="463" customWidth="1"/>
    <col min="269" max="269" width="3.5546875" style="463" customWidth="1"/>
    <col min="270" max="271" width="4.44140625" style="463" customWidth="1"/>
    <col min="272" max="272" width="3.6640625" style="463" customWidth="1"/>
    <col min="273" max="273" width="3.109375" style="463" customWidth="1"/>
    <col min="274" max="274" width="5" style="463" customWidth="1"/>
    <col min="275" max="275" width="2.5546875" style="463" customWidth="1"/>
    <col min="276" max="277" width="3" style="463" customWidth="1"/>
    <col min="278" max="279" width="2.109375" style="463" customWidth="1"/>
    <col min="280" max="280" width="3.5546875" style="463" customWidth="1"/>
    <col min="281" max="512" width="9.0546875" style="463"/>
    <col min="513" max="513" width="4.44140625" style="463" customWidth="1"/>
    <col min="514" max="514" width="8.88671875" style="463" customWidth="1"/>
    <col min="515" max="515" width="6.44140625" style="463" customWidth="1"/>
    <col min="516" max="516" width="8.109375" style="463" customWidth="1"/>
    <col min="517" max="517" width="7.6640625" style="463" customWidth="1"/>
    <col min="518" max="518" width="0" style="463" hidden="1" customWidth="1"/>
    <col min="519" max="519" width="2.44140625" style="463" customWidth="1"/>
    <col min="520" max="520" width="0" style="463" hidden="1" customWidth="1"/>
    <col min="521" max="522" width="3.109375" style="463" customWidth="1"/>
    <col min="523" max="523" width="4.33203125" style="463" customWidth="1"/>
    <col min="524" max="524" width="3.6640625" style="463" customWidth="1"/>
    <col min="525" max="525" width="3.5546875" style="463" customWidth="1"/>
    <col min="526" max="527" width="4.44140625" style="463" customWidth="1"/>
    <col min="528" max="528" width="3.6640625" style="463" customWidth="1"/>
    <col min="529" max="529" width="3.109375" style="463" customWidth="1"/>
    <col min="530" max="530" width="5" style="463" customWidth="1"/>
    <col min="531" max="531" width="2.5546875" style="463" customWidth="1"/>
    <col min="532" max="533" width="3" style="463" customWidth="1"/>
    <col min="534" max="535" width="2.109375" style="463" customWidth="1"/>
    <col min="536" max="536" width="3.5546875" style="463" customWidth="1"/>
    <col min="537" max="768" width="9.0546875" style="463"/>
    <col min="769" max="769" width="4.44140625" style="463" customWidth="1"/>
    <col min="770" max="770" width="8.88671875" style="463" customWidth="1"/>
    <col min="771" max="771" width="6.44140625" style="463" customWidth="1"/>
    <col min="772" max="772" width="8.109375" style="463" customWidth="1"/>
    <col min="773" max="773" width="7.6640625" style="463" customWidth="1"/>
    <col min="774" max="774" width="0" style="463" hidden="1" customWidth="1"/>
    <col min="775" max="775" width="2.44140625" style="463" customWidth="1"/>
    <col min="776" max="776" width="0" style="463" hidden="1" customWidth="1"/>
    <col min="777" max="778" width="3.109375" style="463" customWidth="1"/>
    <col min="779" max="779" width="4.33203125" style="463" customWidth="1"/>
    <col min="780" max="780" width="3.6640625" style="463" customWidth="1"/>
    <col min="781" max="781" width="3.5546875" style="463" customWidth="1"/>
    <col min="782" max="783" width="4.44140625" style="463" customWidth="1"/>
    <col min="784" max="784" width="3.6640625" style="463" customWidth="1"/>
    <col min="785" max="785" width="3.109375" style="463" customWidth="1"/>
    <col min="786" max="786" width="5" style="463" customWidth="1"/>
    <col min="787" max="787" width="2.5546875" style="463" customWidth="1"/>
    <col min="788" max="789" width="3" style="463" customWidth="1"/>
    <col min="790" max="791" width="2.109375" style="463" customWidth="1"/>
    <col min="792" max="792" width="3.5546875" style="463" customWidth="1"/>
    <col min="793" max="1024" width="9.0546875" style="463"/>
    <col min="1025" max="1025" width="4.44140625" style="463" customWidth="1"/>
    <col min="1026" max="1026" width="8.88671875" style="463" customWidth="1"/>
    <col min="1027" max="1027" width="6.44140625" style="463" customWidth="1"/>
    <col min="1028" max="1028" width="8.109375" style="463" customWidth="1"/>
    <col min="1029" max="1029" width="7.6640625" style="463" customWidth="1"/>
    <col min="1030" max="1030" width="0" style="463" hidden="1" customWidth="1"/>
    <col min="1031" max="1031" width="2.44140625" style="463" customWidth="1"/>
    <col min="1032" max="1032" width="0" style="463" hidden="1" customWidth="1"/>
    <col min="1033" max="1034" width="3.109375" style="463" customWidth="1"/>
    <col min="1035" max="1035" width="4.33203125" style="463" customWidth="1"/>
    <col min="1036" max="1036" width="3.6640625" style="463" customWidth="1"/>
    <col min="1037" max="1037" width="3.5546875" style="463" customWidth="1"/>
    <col min="1038" max="1039" width="4.44140625" style="463" customWidth="1"/>
    <col min="1040" max="1040" width="3.6640625" style="463" customWidth="1"/>
    <col min="1041" max="1041" width="3.109375" style="463" customWidth="1"/>
    <col min="1042" max="1042" width="5" style="463" customWidth="1"/>
    <col min="1043" max="1043" width="2.5546875" style="463" customWidth="1"/>
    <col min="1044" max="1045" width="3" style="463" customWidth="1"/>
    <col min="1046" max="1047" width="2.109375" style="463" customWidth="1"/>
    <col min="1048" max="1048" width="3.5546875" style="463" customWidth="1"/>
    <col min="1049" max="1280" width="9.0546875" style="463"/>
    <col min="1281" max="1281" width="4.44140625" style="463" customWidth="1"/>
    <col min="1282" max="1282" width="8.88671875" style="463" customWidth="1"/>
    <col min="1283" max="1283" width="6.44140625" style="463" customWidth="1"/>
    <col min="1284" max="1284" width="8.109375" style="463" customWidth="1"/>
    <col min="1285" max="1285" width="7.6640625" style="463" customWidth="1"/>
    <col min="1286" max="1286" width="0" style="463" hidden="1" customWidth="1"/>
    <col min="1287" max="1287" width="2.44140625" style="463" customWidth="1"/>
    <col min="1288" max="1288" width="0" style="463" hidden="1" customWidth="1"/>
    <col min="1289" max="1290" width="3.109375" style="463" customWidth="1"/>
    <col min="1291" max="1291" width="4.33203125" style="463" customWidth="1"/>
    <col min="1292" max="1292" width="3.6640625" style="463" customWidth="1"/>
    <col min="1293" max="1293" width="3.5546875" style="463" customWidth="1"/>
    <col min="1294" max="1295" width="4.44140625" style="463" customWidth="1"/>
    <col min="1296" max="1296" width="3.6640625" style="463" customWidth="1"/>
    <col min="1297" max="1297" width="3.109375" style="463" customWidth="1"/>
    <col min="1298" max="1298" width="5" style="463" customWidth="1"/>
    <col min="1299" max="1299" width="2.5546875" style="463" customWidth="1"/>
    <col min="1300" max="1301" width="3" style="463" customWidth="1"/>
    <col min="1302" max="1303" width="2.109375" style="463" customWidth="1"/>
    <col min="1304" max="1304" width="3.5546875" style="463" customWidth="1"/>
    <col min="1305" max="1536" width="9.0546875" style="463"/>
    <col min="1537" max="1537" width="4.44140625" style="463" customWidth="1"/>
    <col min="1538" max="1538" width="8.88671875" style="463" customWidth="1"/>
    <col min="1539" max="1539" width="6.44140625" style="463" customWidth="1"/>
    <col min="1540" max="1540" width="8.109375" style="463" customWidth="1"/>
    <col min="1541" max="1541" width="7.6640625" style="463" customWidth="1"/>
    <col min="1542" max="1542" width="0" style="463" hidden="1" customWidth="1"/>
    <col min="1543" max="1543" width="2.44140625" style="463" customWidth="1"/>
    <col min="1544" max="1544" width="0" style="463" hidden="1" customWidth="1"/>
    <col min="1545" max="1546" width="3.109375" style="463" customWidth="1"/>
    <col min="1547" max="1547" width="4.33203125" style="463" customWidth="1"/>
    <col min="1548" max="1548" width="3.6640625" style="463" customWidth="1"/>
    <col min="1549" max="1549" width="3.5546875" style="463" customWidth="1"/>
    <col min="1550" max="1551" width="4.44140625" style="463" customWidth="1"/>
    <col min="1552" max="1552" width="3.6640625" style="463" customWidth="1"/>
    <col min="1553" max="1553" width="3.109375" style="463" customWidth="1"/>
    <col min="1554" max="1554" width="5" style="463" customWidth="1"/>
    <col min="1555" max="1555" width="2.5546875" style="463" customWidth="1"/>
    <col min="1556" max="1557" width="3" style="463" customWidth="1"/>
    <col min="1558" max="1559" width="2.109375" style="463" customWidth="1"/>
    <col min="1560" max="1560" width="3.5546875" style="463" customWidth="1"/>
    <col min="1561" max="1792" width="9.0546875" style="463"/>
    <col min="1793" max="1793" width="4.44140625" style="463" customWidth="1"/>
    <col min="1794" max="1794" width="8.88671875" style="463" customWidth="1"/>
    <col min="1795" max="1795" width="6.44140625" style="463" customWidth="1"/>
    <col min="1796" max="1796" width="8.109375" style="463" customWidth="1"/>
    <col min="1797" max="1797" width="7.6640625" style="463" customWidth="1"/>
    <col min="1798" max="1798" width="0" style="463" hidden="1" customWidth="1"/>
    <col min="1799" max="1799" width="2.44140625" style="463" customWidth="1"/>
    <col min="1800" max="1800" width="0" style="463" hidden="1" customWidth="1"/>
    <col min="1801" max="1802" width="3.109375" style="463" customWidth="1"/>
    <col min="1803" max="1803" width="4.33203125" style="463" customWidth="1"/>
    <col min="1804" max="1804" width="3.6640625" style="463" customWidth="1"/>
    <col min="1805" max="1805" width="3.5546875" style="463" customWidth="1"/>
    <col min="1806" max="1807" width="4.44140625" style="463" customWidth="1"/>
    <col min="1808" max="1808" width="3.6640625" style="463" customWidth="1"/>
    <col min="1809" max="1809" width="3.109375" style="463" customWidth="1"/>
    <col min="1810" max="1810" width="5" style="463" customWidth="1"/>
    <col min="1811" max="1811" width="2.5546875" style="463" customWidth="1"/>
    <col min="1812" max="1813" width="3" style="463" customWidth="1"/>
    <col min="1814" max="1815" width="2.109375" style="463" customWidth="1"/>
    <col min="1816" max="1816" width="3.5546875" style="463" customWidth="1"/>
    <col min="1817" max="2048" width="9.0546875" style="463"/>
    <col min="2049" max="2049" width="4.44140625" style="463" customWidth="1"/>
    <col min="2050" max="2050" width="8.88671875" style="463" customWidth="1"/>
    <col min="2051" max="2051" width="6.44140625" style="463" customWidth="1"/>
    <col min="2052" max="2052" width="8.109375" style="463" customWidth="1"/>
    <col min="2053" max="2053" width="7.6640625" style="463" customWidth="1"/>
    <col min="2054" max="2054" width="0" style="463" hidden="1" customWidth="1"/>
    <col min="2055" max="2055" width="2.44140625" style="463" customWidth="1"/>
    <col min="2056" max="2056" width="0" style="463" hidden="1" customWidth="1"/>
    <col min="2057" max="2058" width="3.109375" style="463" customWidth="1"/>
    <col min="2059" max="2059" width="4.33203125" style="463" customWidth="1"/>
    <col min="2060" max="2060" width="3.6640625" style="463" customWidth="1"/>
    <col min="2061" max="2061" width="3.5546875" style="463" customWidth="1"/>
    <col min="2062" max="2063" width="4.44140625" style="463" customWidth="1"/>
    <col min="2064" max="2064" width="3.6640625" style="463" customWidth="1"/>
    <col min="2065" max="2065" width="3.109375" style="463" customWidth="1"/>
    <col min="2066" max="2066" width="5" style="463" customWidth="1"/>
    <col min="2067" max="2067" width="2.5546875" style="463" customWidth="1"/>
    <col min="2068" max="2069" width="3" style="463" customWidth="1"/>
    <col min="2070" max="2071" width="2.109375" style="463" customWidth="1"/>
    <col min="2072" max="2072" width="3.5546875" style="463" customWidth="1"/>
    <col min="2073" max="2304" width="9.0546875" style="463"/>
    <col min="2305" max="2305" width="4.44140625" style="463" customWidth="1"/>
    <col min="2306" max="2306" width="8.88671875" style="463" customWidth="1"/>
    <col min="2307" max="2307" width="6.44140625" style="463" customWidth="1"/>
    <col min="2308" max="2308" width="8.109375" style="463" customWidth="1"/>
    <col min="2309" max="2309" width="7.6640625" style="463" customWidth="1"/>
    <col min="2310" max="2310" width="0" style="463" hidden="1" customWidth="1"/>
    <col min="2311" max="2311" width="2.44140625" style="463" customWidth="1"/>
    <col min="2312" max="2312" width="0" style="463" hidden="1" customWidth="1"/>
    <col min="2313" max="2314" width="3.109375" style="463" customWidth="1"/>
    <col min="2315" max="2315" width="4.33203125" style="463" customWidth="1"/>
    <col min="2316" max="2316" width="3.6640625" style="463" customWidth="1"/>
    <col min="2317" max="2317" width="3.5546875" style="463" customWidth="1"/>
    <col min="2318" max="2319" width="4.44140625" style="463" customWidth="1"/>
    <col min="2320" max="2320" width="3.6640625" style="463" customWidth="1"/>
    <col min="2321" max="2321" width="3.109375" style="463" customWidth="1"/>
    <col min="2322" max="2322" width="5" style="463" customWidth="1"/>
    <col min="2323" max="2323" width="2.5546875" style="463" customWidth="1"/>
    <col min="2324" max="2325" width="3" style="463" customWidth="1"/>
    <col min="2326" max="2327" width="2.109375" style="463" customWidth="1"/>
    <col min="2328" max="2328" width="3.5546875" style="463" customWidth="1"/>
    <col min="2329" max="2560" width="9.0546875" style="463"/>
    <col min="2561" max="2561" width="4.44140625" style="463" customWidth="1"/>
    <col min="2562" max="2562" width="8.88671875" style="463" customWidth="1"/>
    <col min="2563" max="2563" width="6.44140625" style="463" customWidth="1"/>
    <col min="2564" max="2564" width="8.109375" style="463" customWidth="1"/>
    <col min="2565" max="2565" width="7.6640625" style="463" customWidth="1"/>
    <col min="2566" max="2566" width="0" style="463" hidden="1" customWidth="1"/>
    <col min="2567" max="2567" width="2.44140625" style="463" customWidth="1"/>
    <col min="2568" max="2568" width="0" style="463" hidden="1" customWidth="1"/>
    <col min="2569" max="2570" width="3.109375" style="463" customWidth="1"/>
    <col min="2571" max="2571" width="4.33203125" style="463" customWidth="1"/>
    <col min="2572" max="2572" width="3.6640625" style="463" customWidth="1"/>
    <col min="2573" max="2573" width="3.5546875" style="463" customWidth="1"/>
    <col min="2574" max="2575" width="4.44140625" style="463" customWidth="1"/>
    <col min="2576" max="2576" width="3.6640625" style="463" customWidth="1"/>
    <col min="2577" max="2577" width="3.109375" style="463" customWidth="1"/>
    <col min="2578" max="2578" width="5" style="463" customWidth="1"/>
    <col min="2579" max="2579" width="2.5546875" style="463" customWidth="1"/>
    <col min="2580" max="2581" width="3" style="463" customWidth="1"/>
    <col min="2582" max="2583" width="2.109375" style="463" customWidth="1"/>
    <col min="2584" max="2584" width="3.5546875" style="463" customWidth="1"/>
    <col min="2585" max="2816" width="9.0546875" style="463"/>
    <col min="2817" max="2817" width="4.44140625" style="463" customWidth="1"/>
    <col min="2818" max="2818" width="8.88671875" style="463" customWidth="1"/>
    <col min="2819" max="2819" width="6.44140625" style="463" customWidth="1"/>
    <col min="2820" max="2820" width="8.109375" style="463" customWidth="1"/>
    <col min="2821" max="2821" width="7.6640625" style="463" customWidth="1"/>
    <col min="2822" max="2822" width="0" style="463" hidden="1" customWidth="1"/>
    <col min="2823" max="2823" width="2.44140625" style="463" customWidth="1"/>
    <col min="2824" max="2824" width="0" style="463" hidden="1" customWidth="1"/>
    <col min="2825" max="2826" width="3.109375" style="463" customWidth="1"/>
    <col min="2827" max="2827" width="4.33203125" style="463" customWidth="1"/>
    <col min="2828" max="2828" width="3.6640625" style="463" customWidth="1"/>
    <col min="2829" max="2829" width="3.5546875" style="463" customWidth="1"/>
    <col min="2830" max="2831" width="4.44140625" style="463" customWidth="1"/>
    <col min="2832" max="2832" width="3.6640625" style="463" customWidth="1"/>
    <col min="2833" max="2833" width="3.109375" style="463" customWidth="1"/>
    <col min="2834" max="2834" width="5" style="463" customWidth="1"/>
    <col min="2835" max="2835" width="2.5546875" style="463" customWidth="1"/>
    <col min="2836" max="2837" width="3" style="463" customWidth="1"/>
    <col min="2838" max="2839" width="2.109375" style="463" customWidth="1"/>
    <col min="2840" max="2840" width="3.5546875" style="463" customWidth="1"/>
    <col min="2841" max="3072" width="9.0546875" style="463"/>
    <col min="3073" max="3073" width="4.44140625" style="463" customWidth="1"/>
    <col min="3074" max="3074" width="8.88671875" style="463" customWidth="1"/>
    <col min="3075" max="3075" width="6.44140625" style="463" customWidth="1"/>
    <col min="3076" max="3076" width="8.109375" style="463" customWidth="1"/>
    <col min="3077" max="3077" width="7.6640625" style="463" customWidth="1"/>
    <col min="3078" max="3078" width="0" style="463" hidden="1" customWidth="1"/>
    <col min="3079" max="3079" width="2.44140625" style="463" customWidth="1"/>
    <col min="3080" max="3080" width="0" style="463" hidden="1" customWidth="1"/>
    <col min="3081" max="3082" width="3.109375" style="463" customWidth="1"/>
    <col min="3083" max="3083" width="4.33203125" style="463" customWidth="1"/>
    <col min="3084" max="3084" width="3.6640625" style="463" customWidth="1"/>
    <col min="3085" max="3085" width="3.5546875" style="463" customWidth="1"/>
    <col min="3086" max="3087" width="4.44140625" style="463" customWidth="1"/>
    <col min="3088" max="3088" width="3.6640625" style="463" customWidth="1"/>
    <col min="3089" max="3089" width="3.109375" style="463" customWidth="1"/>
    <col min="3090" max="3090" width="5" style="463" customWidth="1"/>
    <col min="3091" max="3091" width="2.5546875" style="463" customWidth="1"/>
    <col min="3092" max="3093" width="3" style="463" customWidth="1"/>
    <col min="3094" max="3095" width="2.109375" style="463" customWidth="1"/>
    <col min="3096" max="3096" width="3.5546875" style="463" customWidth="1"/>
    <col min="3097" max="3328" width="9.0546875" style="463"/>
    <col min="3329" max="3329" width="4.44140625" style="463" customWidth="1"/>
    <col min="3330" max="3330" width="8.88671875" style="463" customWidth="1"/>
    <col min="3331" max="3331" width="6.44140625" style="463" customWidth="1"/>
    <col min="3332" max="3332" width="8.109375" style="463" customWidth="1"/>
    <col min="3333" max="3333" width="7.6640625" style="463" customWidth="1"/>
    <col min="3334" max="3334" width="0" style="463" hidden="1" customWidth="1"/>
    <col min="3335" max="3335" width="2.44140625" style="463" customWidth="1"/>
    <col min="3336" max="3336" width="0" style="463" hidden="1" customWidth="1"/>
    <col min="3337" max="3338" width="3.109375" style="463" customWidth="1"/>
    <col min="3339" max="3339" width="4.33203125" style="463" customWidth="1"/>
    <col min="3340" max="3340" width="3.6640625" style="463" customWidth="1"/>
    <col min="3341" max="3341" width="3.5546875" style="463" customWidth="1"/>
    <col min="3342" max="3343" width="4.44140625" style="463" customWidth="1"/>
    <col min="3344" max="3344" width="3.6640625" style="463" customWidth="1"/>
    <col min="3345" max="3345" width="3.109375" style="463" customWidth="1"/>
    <col min="3346" max="3346" width="5" style="463" customWidth="1"/>
    <col min="3347" max="3347" width="2.5546875" style="463" customWidth="1"/>
    <col min="3348" max="3349" width="3" style="463" customWidth="1"/>
    <col min="3350" max="3351" width="2.109375" style="463" customWidth="1"/>
    <col min="3352" max="3352" width="3.5546875" style="463" customWidth="1"/>
    <col min="3353" max="3584" width="9.0546875" style="463"/>
    <col min="3585" max="3585" width="4.44140625" style="463" customWidth="1"/>
    <col min="3586" max="3586" width="8.88671875" style="463" customWidth="1"/>
    <col min="3587" max="3587" width="6.44140625" style="463" customWidth="1"/>
    <col min="3588" max="3588" width="8.109375" style="463" customWidth="1"/>
    <col min="3589" max="3589" width="7.6640625" style="463" customWidth="1"/>
    <col min="3590" max="3590" width="0" style="463" hidden="1" customWidth="1"/>
    <col min="3591" max="3591" width="2.44140625" style="463" customWidth="1"/>
    <col min="3592" max="3592" width="0" style="463" hidden="1" customWidth="1"/>
    <col min="3593" max="3594" width="3.109375" style="463" customWidth="1"/>
    <col min="3595" max="3595" width="4.33203125" style="463" customWidth="1"/>
    <col min="3596" max="3596" width="3.6640625" style="463" customWidth="1"/>
    <col min="3597" max="3597" width="3.5546875" style="463" customWidth="1"/>
    <col min="3598" max="3599" width="4.44140625" style="463" customWidth="1"/>
    <col min="3600" max="3600" width="3.6640625" style="463" customWidth="1"/>
    <col min="3601" max="3601" width="3.109375" style="463" customWidth="1"/>
    <col min="3602" max="3602" width="5" style="463" customWidth="1"/>
    <col min="3603" max="3603" width="2.5546875" style="463" customWidth="1"/>
    <col min="3604" max="3605" width="3" style="463" customWidth="1"/>
    <col min="3606" max="3607" width="2.109375" style="463" customWidth="1"/>
    <col min="3608" max="3608" width="3.5546875" style="463" customWidth="1"/>
    <col min="3609" max="3840" width="9.0546875" style="463"/>
    <col min="3841" max="3841" width="4.44140625" style="463" customWidth="1"/>
    <col min="3842" max="3842" width="8.88671875" style="463" customWidth="1"/>
    <col min="3843" max="3843" width="6.44140625" style="463" customWidth="1"/>
    <col min="3844" max="3844" width="8.109375" style="463" customWidth="1"/>
    <col min="3845" max="3845" width="7.6640625" style="463" customWidth="1"/>
    <col min="3846" max="3846" width="0" style="463" hidden="1" customWidth="1"/>
    <col min="3847" max="3847" width="2.44140625" style="463" customWidth="1"/>
    <col min="3848" max="3848" width="0" style="463" hidden="1" customWidth="1"/>
    <col min="3849" max="3850" width="3.109375" style="463" customWidth="1"/>
    <col min="3851" max="3851" width="4.33203125" style="463" customWidth="1"/>
    <col min="3852" max="3852" width="3.6640625" style="463" customWidth="1"/>
    <col min="3853" max="3853" width="3.5546875" style="463" customWidth="1"/>
    <col min="3854" max="3855" width="4.44140625" style="463" customWidth="1"/>
    <col min="3856" max="3856" width="3.6640625" style="463" customWidth="1"/>
    <col min="3857" max="3857" width="3.109375" style="463" customWidth="1"/>
    <col min="3858" max="3858" width="5" style="463" customWidth="1"/>
    <col min="3859" max="3859" width="2.5546875" style="463" customWidth="1"/>
    <col min="3860" max="3861" width="3" style="463" customWidth="1"/>
    <col min="3862" max="3863" width="2.109375" style="463" customWidth="1"/>
    <col min="3864" max="3864" width="3.5546875" style="463" customWidth="1"/>
    <col min="3865" max="4096" width="9.0546875" style="463"/>
    <col min="4097" max="4097" width="4.44140625" style="463" customWidth="1"/>
    <col min="4098" max="4098" width="8.88671875" style="463" customWidth="1"/>
    <col min="4099" max="4099" width="6.44140625" style="463" customWidth="1"/>
    <col min="4100" max="4100" width="8.109375" style="463" customWidth="1"/>
    <col min="4101" max="4101" width="7.6640625" style="463" customWidth="1"/>
    <col min="4102" max="4102" width="0" style="463" hidden="1" customWidth="1"/>
    <col min="4103" max="4103" width="2.44140625" style="463" customWidth="1"/>
    <col min="4104" max="4104" width="0" style="463" hidden="1" customWidth="1"/>
    <col min="4105" max="4106" width="3.109375" style="463" customWidth="1"/>
    <col min="4107" max="4107" width="4.33203125" style="463" customWidth="1"/>
    <col min="4108" max="4108" width="3.6640625" style="463" customWidth="1"/>
    <col min="4109" max="4109" width="3.5546875" style="463" customWidth="1"/>
    <col min="4110" max="4111" width="4.44140625" style="463" customWidth="1"/>
    <col min="4112" max="4112" width="3.6640625" style="463" customWidth="1"/>
    <col min="4113" max="4113" width="3.109375" style="463" customWidth="1"/>
    <col min="4114" max="4114" width="5" style="463" customWidth="1"/>
    <col min="4115" max="4115" width="2.5546875" style="463" customWidth="1"/>
    <col min="4116" max="4117" width="3" style="463" customWidth="1"/>
    <col min="4118" max="4119" width="2.109375" style="463" customWidth="1"/>
    <col min="4120" max="4120" width="3.5546875" style="463" customWidth="1"/>
    <col min="4121" max="4352" width="9.0546875" style="463"/>
    <col min="4353" max="4353" width="4.44140625" style="463" customWidth="1"/>
    <col min="4354" max="4354" width="8.88671875" style="463" customWidth="1"/>
    <col min="4355" max="4355" width="6.44140625" style="463" customWidth="1"/>
    <col min="4356" max="4356" width="8.109375" style="463" customWidth="1"/>
    <col min="4357" max="4357" width="7.6640625" style="463" customWidth="1"/>
    <col min="4358" max="4358" width="0" style="463" hidden="1" customWidth="1"/>
    <col min="4359" max="4359" width="2.44140625" style="463" customWidth="1"/>
    <col min="4360" max="4360" width="0" style="463" hidden="1" customWidth="1"/>
    <col min="4361" max="4362" width="3.109375" style="463" customWidth="1"/>
    <col min="4363" max="4363" width="4.33203125" style="463" customWidth="1"/>
    <col min="4364" max="4364" width="3.6640625" style="463" customWidth="1"/>
    <col min="4365" max="4365" width="3.5546875" style="463" customWidth="1"/>
    <col min="4366" max="4367" width="4.44140625" style="463" customWidth="1"/>
    <col min="4368" max="4368" width="3.6640625" style="463" customWidth="1"/>
    <col min="4369" max="4369" width="3.109375" style="463" customWidth="1"/>
    <col min="4370" max="4370" width="5" style="463" customWidth="1"/>
    <col min="4371" max="4371" width="2.5546875" style="463" customWidth="1"/>
    <col min="4372" max="4373" width="3" style="463" customWidth="1"/>
    <col min="4374" max="4375" width="2.109375" style="463" customWidth="1"/>
    <col min="4376" max="4376" width="3.5546875" style="463" customWidth="1"/>
    <col min="4377" max="4608" width="9.0546875" style="463"/>
    <col min="4609" max="4609" width="4.44140625" style="463" customWidth="1"/>
    <col min="4610" max="4610" width="8.88671875" style="463" customWidth="1"/>
    <col min="4611" max="4611" width="6.44140625" style="463" customWidth="1"/>
    <col min="4612" max="4612" width="8.109375" style="463" customWidth="1"/>
    <col min="4613" max="4613" width="7.6640625" style="463" customWidth="1"/>
    <col min="4614" max="4614" width="0" style="463" hidden="1" customWidth="1"/>
    <col min="4615" max="4615" width="2.44140625" style="463" customWidth="1"/>
    <col min="4616" max="4616" width="0" style="463" hidden="1" customWidth="1"/>
    <col min="4617" max="4618" width="3.109375" style="463" customWidth="1"/>
    <col min="4619" max="4619" width="4.33203125" style="463" customWidth="1"/>
    <col min="4620" max="4620" width="3.6640625" style="463" customWidth="1"/>
    <col min="4621" max="4621" width="3.5546875" style="463" customWidth="1"/>
    <col min="4622" max="4623" width="4.44140625" style="463" customWidth="1"/>
    <col min="4624" max="4624" width="3.6640625" style="463" customWidth="1"/>
    <col min="4625" max="4625" width="3.109375" style="463" customWidth="1"/>
    <col min="4626" max="4626" width="5" style="463" customWidth="1"/>
    <col min="4627" max="4627" width="2.5546875" style="463" customWidth="1"/>
    <col min="4628" max="4629" width="3" style="463" customWidth="1"/>
    <col min="4630" max="4631" width="2.109375" style="463" customWidth="1"/>
    <col min="4632" max="4632" width="3.5546875" style="463" customWidth="1"/>
    <col min="4633" max="4864" width="9.0546875" style="463"/>
    <col min="4865" max="4865" width="4.44140625" style="463" customWidth="1"/>
    <col min="4866" max="4866" width="8.88671875" style="463" customWidth="1"/>
    <col min="4867" max="4867" width="6.44140625" style="463" customWidth="1"/>
    <col min="4868" max="4868" width="8.109375" style="463" customWidth="1"/>
    <col min="4869" max="4869" width="7.6640625" style="463" customWidth="1"/>
    <col min="4870" max="4870" width="0" style="463" hidden="1" customWidth="1"/>
    <col min="4871" max="4871" width="2.44140625" style="463" customWidth="1"/>
    <col min="4872" max="4872" width="0" style="463" hidden="1" customWidth="1"/>
    <col min="4873" max="4874" width="3.109375" style="463" customWidth="1"/>
    <col min="4875" max="4875" width="4.33203125" style="463" customWidth="1"/>
    <col min="4876" max="4876" width="3.6640625" style="463" customWidth="1"/>
    <col min="4877" max="4877" width="3.5546875" style="463" customWidth="1"/>
    <col min="4878" max="4879" width="4.44140625" style="463" customWidth="1"/>
    <col min="4880" max="4880" width="3.6640625" style="463" customWidth="1"/>
    <col min="4881" max="4881" width="3.109375" style="463" customWidth="1"/>
    <col min="4882" max="4882" width="5" style="463" customWidth="1"/>
    <col min="4883" max="4883" width="2.5546875" style="463" customWidth="1"/>
    <col min="4884" max="4885" width="3" style="463" customWidth="1"/>
    <col min="4886" max="4887" width="2.109375" style="463" customWidth="1"/>
    <col min="4888" max="4888" width="3.5546875" style="463" customWidth="1"/>
    <col min="4889" max="5120" width="9.0546875" style="463"/>
    <col min="5121" max="5121" width="4.44140625" style="463" customWidth="1"/>
    <col min="5122" max="5122" width="8.88671875" style="463" customWidth="1"/>
    <col min="5123" max="5123" width="6.44140625" style="463" customWidth="1"/>
    <col min="5124" max="5124" width="8.109375" style="463" customWidth="1"/>
    <col min="5125" max="5125" width="7.6640625" style="463" customWidth="1"/>
    <col min="5126" max="5126" width="0" style="463" hidden="1" customWidth="1"/>
    <col min="5127" max="5127" width="2.44140625" style="463" customWidth="1"/>
    <col min="5128" max="5128" width="0" style="463" hidden="1" customWidth="1"/>
    <col min="5129" max="5130" width="3.109375" style="463" customWidth="1"/>
    <col min="5131" max="5131" width="4.33203125" style="463" customWidth="1"/>
    <col min="5132" max="5132" width="3.6640625" style="463" customWidth="1"/>
    <col min="5133" max="5133" width="3.5546875" style="463" customWidth="1"/>
    <col min="5134" max="5135" width="4.44140625" style="463" customWidth="1"/>
    <col min="5136" max="5136" width="3.6640625" style="463" customWidth="1"/>
    <col min="5137" max="5137" width="3.109375" style="463" customWidth="1"/>
    <col min="5138" max="5138" width="5" style="463" customWidth="1"/>
    <col min="5139" max="5139" width="2.5546875" style="463" customWidth="1"/>
    <col min="5140" max="5141" width="3" style="463" customWidth="1"/>
    <col min="5142" max="5143" width="2.109375" style="463" customWidth="1"/>
    <col min="5144" max="5144" width="3.5546875" style="463" customWidth="1"/>
    <col min="5145" max="5376" width="9.0546875" style="463"/>
    <col min="5377" max="5377" width="4.44140625" style="463" customWidth="1"/>
    <col min="5378" max="5378" width="8.88671875" style="463" customWidth="1"/>
    <col min="5379" max="5379" width="6.44140625" style="463" customWidth="1"/>
    <col min="5380" max="5380" width="8.109375" style="463" customWidth="1"/>
    <col min="5381" max="5381" width="7.6640625" style="463" customWidth="1"/>
    <col min="5382" max="5382" width="0" style="463" hidden="1" customWidth="1"/>
    <col min="5383" max="5383" width="2.44140625" style="463" customWidth="1"/>
    <col min="5384" max="5384" width="0" style="463" hidden="1" customWidth="1"/>
    <col min="5385" max="5386" width="3.109375" style="463" customWidth="1"/>
    <col min="5387" max="5387" width="4.33203125" style="463" customWidth="1"/>
    <col min="5388" max="5388" width="3.6640625" style="463" customWidth="1"/>
    <col min="5389" max="5389" width="3.5546875" style="463" customWidth="1"/>
    <col min="5390" max="5391" width="4.44140625" style="463" customWidth="1"/>
    <col min="5392" max="5392" width="3.6640625" style="463" customWidth="1"/>
    <col min="5393" max="5393" width="3.109375" style="463" customWidth="1"/>
    <col min="5394" max="5394" width="5" style="463" customWidth="1"/>
    <col min="5395" max="5395" width="2.5546875" style="463" customWidth="1"/>
    <col min="5396" max="5397" width="3" style="463" customWidth="1"/>
    <col min="5398" max="5399" width="2.109375" style="463" customWidth="1"/>
    <col min="5400" max="5400" width="3.5546875" style="463" customWidth="1"/>
    <col min="5401" max="5632" width="9.0546875" style="463"/>
    <col min="5633" max="5633" width="4.44140625" style="463" customWidth="1"/>
    <col min="5634" max="5634" width="8.88671875" style="463" customWidth="1"/>
    <col min="5635" max="5635" width="6.44140625" style="463" customWidth="1"/>
    <col min="5636" max="5636" width="8.109375" style="463" customWidth="1"/>
    <col min="5637" max="5637" width="7.6640625" style="463" customWidth="1"/>
    <col min="5638" max="5638" width="0" style="463" hidden="1" customWidth="1"/>
    <col min="5639" max="5639" width="2.44140625" style="463" customWidth="1"/>
    <col min="5640" max="5640" width="0" style="463" hidden="1" customWidth="1"/>
    <col min="5641" max="5642" width="3.109375" style="463" customWidth="1"/>
    <col min="5643" max="5643" width="4.33203125" style="463" customWidth="1"/>
    <col min="5644" max="5644" width="3.6640625" style="463" customWidth="1"/>
    <col min="5645" max="5645" width="3.5546875" style="463" customWidth="1"/>
    <col min="5646" max="5647" width="4.44140625" style="463" customWidth="1"/>
    <col min="5648" max="5648" width="3.6640625" style="463" customWidth="1"/>
    <col min="5649" max="5649" width="3.109375" style="463" customWidth="1"/>
    <col min="5650" max="5650" width="5" style="463" customWidth="1"/>
    <col min="5651" max="5651" width="2.5546875" style="463" customWidth="1"/>
    <col min="5652" max="5653" width="3" style="463" customWidth="1"/>
    <col min="5654" max="5655" width="2.109375" style="463" customWidth="1"/>
    <col min="5656" max="5656" width="3.5546875" style="463" customWidth="1"/>
    <col min="5657" max="5888" width="9.0546875" style="463"/>
    <col min="5889" max="5889" width="4.44140625" style="463" customWidth="1"/>
    <col min="5890" max="5890" width="8.88671875" style="463" customWidth="1"/>
    <col min="5891" max="5891" width="6.44140625" style="463" customWidth="1"/>
    <col min="5892" max="5892" width="8.109375" style="463" customWidth="1"/>
    <col min="5893" max="5893" width="7.6640625" style="463" customWidth="1"/>
    <col min="5894" max="5894" width="0" style="463" hidden="1" customWidth="1"/>
    <col min="5895" max="5895" width="2.44140625" style="463" customWidth="1"/>
    <col min="5896" max="5896" width="0" style="463" hidden="1" customWidth="1"/>
    <col min="5897" max="5898" width="3.109375" style="463" customWidth="1"/>
    <col min="5899" max="5899" width="4.33203125" style="463" customWidth="1"/>
    <col min="5900" max="5900" width="3.6640625" style="463" customWidth="1"/>
    <col min="5901" max="5901" width="3.5546875" style="463" customWidth="1"/>
    <col min="5902" max="5903" width="4.44140625" style="463" customWidth="1"/>
    <col min="5904" max="5904" width="3.6640625" style="463" customWidth="1"/>
    <col min="5905" max="5905" width="3.109375" style="463" customWidth="1"/>
    <col min="5906" max="5906" width="5" style="463" customWidth="1"/>
    <col min="5907" max="5907" width="2.5546875" style="463" customWidth="1"/>
    <col min="5908" max="5909" width="3" style="463" customWidth="1"/>
    <col min="5910" max="5911" width="2.109375" style="463" customWidth="1"/>
    <col min="5912" max="5912" width="3.5546875" style="463" customWidth="1"/>
    <col min="5913" max="6144" width="9.0546875" style="463"/>
    <col min="6145" max="6145" width="4.44140625" style="463" customWidth="1"/>
    <col min="6146" max="6146" width="8.88671875" style="463" customWidth="1"/>
    <col min="6147" max="6147" width="6.44140625" style="463" customWidth="1"/>
    <col min="6148" max="6148" width="8.109375" style="463" customWidth="1"/>
    <col min="6149" max="6149" width="7.6640625" style="463" customWidth="1"/>
    <col min="6150" max="6150" width="0" style="463" hidden="1" customWidth="1"/>
    <col min="6151" max="6151" width="2.44140625" style="463" customWidth="1"/>
    <col min="6152" max="6152" width="0" style="463" hidden="1" customWidth="1"/>
    <col min="6153" max="6154" width="3.109375" style="463" customWidth="1"/>
    <col min="6155" max="6155" width="4.33203125" style="463" customWidth="1"/>
    <col min="6156" max="6156" width="3.6640625" style="463" customWidth="1"/>
    <col min="6157" max="6157" width="3.5546875" style="463" customWidth="1"/>
    <col min="6158" max="6159" width="4.44140625" style="463" customWidth="1"/>
    <col min="6160" max="6160" width="3.6640625" style="463" customWidth="1"/>
    <col min="6161" max="6161" width="3.109375" style="463" customWidth="1"/>
    <col min="6162" max="6162" width="5" style="463" customWidth="1"/>
    <col min="6163" max="6163" width="2.5546875" style="463" customWidth="1"/>
    <col min="6164" max="6165" width="3" style="463" customWidth="1"/>
    <col min="6166" max="6167" width="2.109375" style="463" customWidth="1"/>
    <col min="6168" max="6168" width="3.5546875" style="463" customWidth="1"/>
    <col min="6169" max="6400" width="9.0546875" style="463"/>
    <col min="6401" max="6401" width="4.44140625" style="463" customWidth="1"/>
    <col min="6402" max="6402" width="8.88671875" style="463" customWidth="1"/>
    <col min="6403" max="6403" width="6.44140625" style="463" customWidth="1"/>
    <col min="6404" max="6404" width="8.109375" style="463" customWidth="1"/>
    <col min="6405" max="6405" width="7.6640625" style="463" customWidth="1"/>
    <col min="6406" max="6406" width="0" style="463" hidden="1" customWidth="1"/>
    <col min="6407" max="6407" width="2.44140625" style="463" customWidth="1"/>
    <col min="6408" max="6408" width="0" style="463" hidden="1" customWidth="1"/>
    <col min="6409" max="6410" width="3.109375" style="463" customWidth="1"/>
    <col min="6411" max="6411" width="4.33203125" style="463" customWidth="1"/>
    <col min="6412" max="6412" width="3.6640625" style="463" customWidth="1"/>
    <col min="6413" max="6413" width="3.5546875" style="463" customWidth="1"/>
    <col min="6414" max="6415" width="4.44140625" style="463" customWidth="1"/>
    <col min="6416" max="6416" width="3.6640625" style="463" customWidth="1"/>
    <col min="6417" max="6417" width="3.109375" style="463" customWidth="1"/>
    <col min="6418" max="6418" width="5" style="463" customWidth="1"/>
    <col min="6419" max="6419" width="2.5546875" style="463" customWidth="1"/>
    <col min="6420" max="6421" width="3" style="463" customWidth="1"/>
    <col min="6422" max="6423" width="2.109375" style="463" customWidth="1"/>
    <col min="6424" max="6424" width="3.5546875" style="463" customWidth="1"/>
    <col min="6425" max="6656" width="9.0546875" style="463"/>
    <col min="6657" max="6657" width="4.44140625" style="463" customWidth="1"/>
    <col min="6658" max="6658" width="8.88671875" style="463" customWidth="1"/>
    <col min="6659" max="6659" width="6.44140625" style="463" customWidth="1"/>
    <col min="6660" max="6660" width="8.109375" style="463" customWidth="1"/>
    <col min="6661" max="6661" width="7.6640625" style="463" customWidth="1"/>
    <col min="6662" max="6662" width="0" style="463" hidden="1" customWidth="1"/>
    <col min="6663" max="6663" width="2.44140625" style="463" customWidth="1"/>
    <col min="6664" max="6664" width="0" style="463" hidden="1" customWidth="1"/>
    <col min="6665" max="6666" width="3.109375" style="463" customWidth="1"/>
    <col min="6667" max="6667" width="4.33203125" style="463" customWidth="1"/>
    <col min="6668" max="6668" width="3.6640625" style="463" customWidth="1"/>
    <col min="6669" max="6669" width="3.5546875" style="463" customWidth="1"/>
    <col min="6670" max="6671" width="4.44140625" style="463" customWidth="1"/>
    <col min="6672" max="6672" width="3.6640625" style="463" customWidth="1"/>
    <col min="6673" max="6673" width="3.109375" style="463" customWidth="1"/>
    <col min="6674" max="6674" width="5" style="463" customWidth="1"/>
    <col min="6675" max="6675" width="2.5546875" style="463" customWidth="1"/>
    <col min="6676" max="6677" width="3" style="463" customWidth="1"/>
    <col min="6678" max="6679" width="2.109375" style="463" customWidth="1"/>
    <col min="6680" max="6680" width="3.5546875" style="463" customWidth="1"/>
    <col min="6681" max="6912" width="9.0546875" style="463"/>
    <col min="6913" max="6913" width="4.44140625" style="463" customWidth="1"/>
    <col min="6914" max="6914" width="8.88671875" style="463" customWidth="1"/>
    <col min="6915" max="6915" width="6.44140625" style="463" customWidth="1"/>
    <col min="6916" max="6916" width="8.109375" style="463" customWidth="1"/>
    <col min="6917" max="6917" width="7.6640625" style="463" customWidth="1"/>
    <col min="6918" max="6918" width="0" style="463" hidden="1" customWidth="1"/>
    <col min="6919" max="6919" width="2.44140625" style="463" customWidth="1"/>
    <col min="6920" max="6920" width="0" style="463" hidden="1" customWidth="1"/>
    <col min="6921" max="6922" width="3.109375" style="463" customWidth="1"/>
    <col min="6923" max="6923" width="4.33203125" style="463" customWidth="1"/>
    <col min="6924" max="6924" width="3.6640625" style="463" customWidth="1"/>
    <col min="6925" max="6925" width="3.5546875" style="463" customWidth="1"/>
    <col min="6926" max="6927" width="4.44140625" style="463" customWidth="1"/>
    <col min="6928" max="6928" width="3.6640625" style="463" customWidth="1"/>
    <col min="6929" max="6929" width="3.109375" style="463" customWidth="1"/>
    <col min="6930" max="6930" width="5" style="463" customWidth="1"/>
    <col min="6931" max="6931" width="2.5546875" style="463" customWidth="1"/>
    <col min="6932" max="6933" width="3" style="463" customWidth="1"/>
    <col min="6934" max="6935" width="2.109375" style="463" customWidth="1"/>
    <col min="6936" max="6936" width="3.5546875" style="463" customWidth="1"/>
    <col min="6937" max="7168" width="9.0546875" style="463"/>
    <col min="7169" max="7169" width="4.44140625" style="463" customWidth="1"/>
    <col min="7170" max="7170" width="8.88671875" style="463" customWidth="1"/>
    <col min="7171" max="7171" width="6.44140625" style="463" customWidth="1"/>
    <col min="7172" max="7172" width="8.109375" style="463" customWidth="1"/>
    <col min="7173" max="7173" width="7.6640625" style="463" customWidth="1"/>
    <col min="7174" max="7174" width="0" style="463" hidden="1" customWidth="1"/>
    <col min="7175" max="7175" width="2.44140625" style="463" customWidth="1"/>
    <col min="7176" max="7176" width="0" style="463" hidden="1" customWidth="1"/>
    <col min="7177" max="7178" width="3.109375" style="463" customWidth="1"/>
    <col min="7179" max="7179" width="4.33203125" style="463" customWidth="1"/>
    <col min="7180" max="7180" width="3.6640625" style="463" customWidth="1"/>
    <col min="7181" max="7181" width="3.5546875" style="463" customWidth="1"/>
    <col min="7182" max="7183" width="4.44140625" style="463" customWidth="1"/>
    <col min="7184" max="7184" width="3.6640625" style="463" customWidth="1"/>
    <col min="7185" max="7185" width="3.109375" style="463" customWidth="1"/>
    <col min="7186" max="7186" width="5" style="463" customWidth="1"/>
    <col min="7187" max="7187" width="2.5546875" style="463" customWidth="1"/>
    <col min="7188" max="7189" width="3" style="463" customWidth="1"/>
    <col min="7190" max="7191" width="2.109375" style="463" customWidth="1"/>
    <col min="7192" max="7192" width="3.5546875" style="463" customWidth="1"/>
    <col min="7193" max="7424" width="9.0546875" style="463"/>
    <col min="7425" max="7425" width="4.44140625" style="463" customWidth="1"/>
    <col min="7426" max="7426" width="8.88671875" style="463" customWidth="1"/>
    <col min="7427" max="7427" width="6.44140625" style="463" customWidth="1"/>
    <col min="7428" max="7428" width="8.109375" style="463" customWidth="1"/>
    <col min="7429" max="7429" width="7.6640625" style="463" customWidth="1"/>
    <col min="7430" max="7430" width="0" style="463" hidden="1" customWidth="1"/>
    <col min="7431" max="7431" width="2.44140625" style="463" customWidth="1"/>
    <col min="7432" max="7432" width="0" style="463" hidden="1" customWidth="1"/>
    <col min="7433" max="7434" width="3.109375" style="463" customWidth="1"/>
    <col min="7435" max="7435" width="4.33203125" style="463" customWidth="1"/>
    <col min="7436" max="7436" width="3.6640625" style="463" customWidth="1"/>
    <col min="7437" max="7437" width="3.5546875" style="463" customWidth="1"/>
    <col min="7438" max="7439" width="4.44140625" style="463" customWidth="1"/>
    <col min="7440" max="7440" width="3.6640625" style="463" customWidth="1"/>
    <col min="7441" max="7441" width="3.109375" style="463" customWidth="1"/>
    <col min="7442" max="7442" width="5" style="463" customWidth="1"/>
    <col min="7443" max="7443" width="2.5546875" style="463" customWidth="1"/>
    <col min="7444" max="7445" width="3" style="463" customWidth="1"/>
    <col min="7446" max="7447" width="2.109375" style="463" customWidth="1"/>
    <col min="7448" max="7448" width="3.5546875" style="463" customWidth="1"/>
    <col min="7449" max="7680" width="9.0546875" style="463"/>
    <col min="7681" max="7681" width="4.44140625" style="463" customWidth="1"/>
    <col min="7682" max="7682" width="8.88671875" style="463" customWidth="1"/>
    <col min="7683" max="7683" width="6.44140625" style="463" customWidth="1"/>
    <col min="7684" max="7684" width="8.109375" style="463" customWidth="1"/>
    <col min="7685" max="7685" width="7.6640625" style="463" customWidth="1"/>
    <col min="7686" max="7686" width="0" style="463" hidden="1" customWidth="1"/>
    <col min="7687" max="7687" width="2.44140625" style="463" customWidth="1"/>
    <col min="7688" max="7688" width="0" style="463" hidden="1" customWidth="1"/>
    <col min="7689" max="7690" width="3.109375" style="463" customWidth="1"/>
    <col min="7691" max="7691" width="4.33203125" style="463" customWidth="1"/>
    <col min="7692" max="7692" width="3.6640625" style="463" customWidth="1"/>
    <col min="7693" max="7693" width="3.5546875" style="463" customWidth="1"/>
    <col min="7694" max="7695" width="4.44140625" style="463" customWidth="1"/>
    <col min="7696" max="7696" width="3.6640625" style="463" customWidth="1"/>
    <col min="7697" max="7697" width="3.109375" style="463" customWidth="1"/>
    <col min="7698" max="7698" width="5" style="463" customWidth="1"/>
    <col min="7699" max="7699" width="2.5546875" style="463" customWidth="1"/>
    <col min="7700" max="7701" width="3" style="463" customWidth="1"/>
    <col min="7702" max="7703" width="2.109375" style="463" customWidth="1"/>
    <col min="7704" max="7704" width="3.5546875" style="463" customWidth="1"/>
    <col min="7705" max="7936" width="9.0546875" style="463"/>
    <col min="7937" max="7937" width="4.44140625" style="463" customWidth="1"/>
    <col min="7938" max="7938" width="8.88671875" style="463" customWidth="1"/>
    <col min="7939" max="7939" width="6.44140625" style="463" customWidth="1"/>
    <col min="7940" max="7940" width="8.109375" style="463" customWidth="1"/>
    <col min="7941" max="7941" width="7.6640625" style="463" customWidth="1"/>
    <col min="7942" max="7942" width="0" style="463" hidden="1" customWidth="1"/>
    <col min="7943" max="7943" width="2.44140625" style="463" customWidth="1"/>
    <col min="7944" max="7944" width="0" style="463" hidden="1" customWidth="1"/>
    <col min="7945" max="7946" width="3.109375" style="463" customWidth="1"/>
    <col min="7947" max="7947" width="4.33203125" style="463" customWidth="1"/>
    <col min="7948" max="7948" width="3.6640625" style="463" customWidth="1"/>
    <col min="7949" max="7949" width="3.5546875" style="463" customWidth="1"/>
    <col min="7950" max="7951" width="4.44140625" style="463" customWidth="1"/>
    <col min="7952" max="7952" width="3.6640625" style="463" customWidth="1"/>
    <col min="7953" max="7953" width="3.109375" style="463" customWidth="1"/>
    <col min="7954" max="7954" width="5" style="463" customWidth="1"/>
    <col min="7955" max="7955" width="2.5546875" style="463" customWidth="1"/>
    <col min="7956" max="7957" width="3" style="463" customWidth="1"/>
    <col min="7958" max="7959" width="2.109375" style="463" customWidth="1"/>
    <col min="7960" max="7960" width="3.5546875" style="463" customWidth="1"/>
    <col min="7961" max="8192" width="9.0546875" style="463"/>
    <col min="8193" max="8193" width="4.44140625" style="463" customWidth="1"/>
    <col min="8194" max="8194" width="8.88671875" style="463" customWidth="1"/>
    <col min="8195" max="8195" width="6.44140625" style="463" customWidth="1"/>
    <col min="8196" max="8196" width="8.109375" style="463" customWidth="1"/>
    <col min="8197" max="8197" width="7.6640625" style="463" customWidth="1"/>
    <col min="8198" max="8198" width="0" style="463" hidden="1" customWidth="1"/>
    <col min="8199" max="8199" width="2.44140625" style="463" customWidth="1"/>
    <col min="8200" max="8200" width="0" style="463" hidden="1" customWidth="1"/>
    <col min="8201" max="8202" width="3.109375" style="463" customWidth="1"/>
    <col min="8203" max="8203" width="4.33203125" style="463" customWidth="1"/>
    <col min="8204" max="8204" width="3.6640625" style="463" customWidth="1"/>
    <col min="8205" max="8205" width="3.5546875" style="463" customWidth="1"/>
    <col min="8206" max="8207" width="4.44140625" style="463" customWidth="1"/>
    <col min="8208" max="8208" width="3.6640625" style="463" customWidth="1"/>
    <col min="8209" max="8209" width="3.109375" style="463" customWidth="1"/>
    <col min="8210" max="8210" width="5" style="463" customWidth="1"/>
    <col min="8211" max="8211" width="2.5546875" style="463" customWidth="1"/>
    <col min="8212" max="8213" width="3" style="463" customWidth="1"/>
    <col min="8214" max="8215" width="2.109375" style="463" customWidth="1"/>
    <col min="8216" max="8216" width="3.5546875" style="463" customWidth="1"/>
    <col min="8217" max="8448" width="9.0546875" style="463"/>
    <col min="8449" max="8449" width="4.44140625" style="463" customWidth="1"/>
    <col min="8450" max="8450" width="8.88671875" style="463" customWidth="1"/>
    <col min="8451" max="8451" width="6.44140625" style="463" customWidth="1"/>
    <col min="8452" max="8452" width="8.109375" style="463" customWidth="1"/>
    <col min="8453" max="8453" width="7.6640625" style="463" customWidth="1"/>
    <col min="8454" max="8454" width="0" style="463" hidden="1" customWidth="1"/>
    <col min="8455" max="8455" width="2.44140625" style="463" customWidth="1"/>
    <col min="8456" max="8456" width="0" style="463" hidden="1" customWidth="1"/>
    <col min="8457" max="8458" width="3.109375" style="463" customWidth="1"/>
    <col min="8459" max="8459" width="4.33203125" style="463" customWidth="1"/>
    <col min="8460" max="8460" width="3.6640625" style="463" customWidth="1"/>
    <col min="8461" max="8461" width="3.5546875" style="463" customWidth="1"/>
    <col min="8462" max="8463" width="4.44140625" style="463" customWidth="1"/>
    <col min="8464" max="8464" width="3.6640625" style="463" customWidth="1"/>
    <col min="8465" max="8465" width="3.109375" style="463" customWidth="1"/>
    <col min="8466" max="8466" width="5" style="463" customWidth="1"/>
    <col min="8467" max="8467" width="2.5546875" style="463" customWidth="1"/>
    <col min="8468" max="8469" width="3" style="463" customWidth="1"/>
    <col min="8470" max="8471" width="2.109375" style="463" customWidth="1"/>
    <col min="8472" max="8472" width="3.5546875" style="463" customWidth="1"/>
    <col min="8473" max="8704" width="9.0546875" style="463"/>
    <col min="8705" max="8705" width="4.44140625" style="463" customWidth="1"/>
    <col min="8706" max="8706" width="8.88671875" style="463" customWidth="1"/>
    <col min="8707" max="8707" width="6.44140625" style="463" customWidth="1"/>
    <col min="8708" max="8708" width="8.109375" style="463" customWidth="1"/>
    <col min="8709" max="8709" width="7.6640625" style="463" customWidth="1"/>
    <col min="8710" max="8710" width="0" style="463" hidden="1" customWidth="1"/>
    <col min="8711" max="8711" width="2.44140625" style="463" customWidth="1"/>
    <col min="8712" max="8712" width="0" style="463" hidden="1" customWidth="1"/>
    <col min="8713" max="8714" width="3.109375" style="463" customWidth="1"/>
    <col min="8715" max="8715" width="4.33203125" style="463" customWidth="1"/>
    <col min="8716" max="8716" width="3.6640625" style="463" customWidth="1"/>
    <col min="8717" max="8717" width="3.5546875" style="463" customWidth="1"/>
    <col min="8718" max="8719" width="4.44140625" style="463" customWidth="1"/>
    <col min="8720" max="8720" width="3.6640625" style="463" customWidth="1"/>
    <col min="8721" max="8721" width="3.109375" style="463" customWidth="1"/>
    <col min="8722" max="8722" width="5" style="463" customWidth="1"/>
    <col min="8723" max="8723" width="2.5546875" style="463" customWidth="1"/>
    <col min="8724" max="8725" width="3" style="463" customWidth="1"/>
    <col min="8726" max="8727" width="2.109375" style="463" customWidth="1"/>
    <col min="8728" max="8728" width="3.5546875" style="463" customWidth="1"/>
    <col min="8729" max="8960" width="9.0546875" style="463"/>
    <col min="8961" max="8961" width="4.44140625" style="463" customWidth="1"/>
    <col min="8962" max="8962" width="8.88671875" style="463" customWidth="1"/>
    <col min="8963" max="8963" width="6.44140625" style="463" customWidth="1"/>
    <col min="8964" max="8964" width="8.109375" style="463" customWidth="1"/>
    <col min="8965" max="8965" width="7.6640625" style="463" customWidth="1"/>
    <col min="8966" max="8966" width="0" style="463" hidden="1" customWidth="1"/>
    <col min="8967" max="8967" width="2.44140625" style="463" customWidth="1"/>
    <col min="8968" max="8968" width="0" style="463" hidden="1" customWidth="1"/>
    <col min="8969" max="8970" width="3.109375" style="463" customWidth="1"/>
    <col min="8971" max="8971" width="4.33203125" style="463" customWidth="1"/>
    <col min="8972" max="8972" width="3.6640625" style="463" customWidth="1"/>
    <col min="8973" max="8973" width="3.5546875" style="463" customWidth="1"/>
    <col min="8974" max="8975" width="4.44140625" style="463" customWidth="1"/>
    <col min="8976" max="8976" width="3.6640625" style="463" customWidth="1"/>
    <col min="8977" max="8977" width="3.109375" style="463" customWidth="1"/>
    <col min="8978" max="8978" width="5" style="463" customWidth="1"/>
    <col min="8979" max="8979" width="2.5546875" style="463" customWidth="1"/>
    <col min="8980" max="8981" width="3" style="463" customWidth="1"/>
    <col min="8982" max="8983" width="2.109375" style="463" customWidth="1"/>
    <col min="8984" max="8984" width="3.5546875" style="463" customWidth="1"/>
    <col min="8985" max="9216" width="9.0546875" style="463"/>
    <col min="9217" max="9217" width="4.44140625" style="463" customWidth="1"/>
    <col min="9218" max="9218" width="8.88671875" style="463" customWidth="1"/>
    <col min="9219" max="9219" width="6.44140625" style="463" customWidth="1"/>
    <col min="9220" max="9220" width="8.109375" style="463" customWidth="1"/>
    <col min="9221" max="9221" width="7.6640625" style="463" customWidth="1"/>
    <col min="9222" max="9222" width="0" style="463" hidden="1" customWidth="1"/>
    <col min="9223" max="9223" width="2.44140625" style="463" customWidth="1"/>
    <col min="9224" max="9224" width="0" style="463" hidden="1" customWidth="1"/>
    <col min="9225" max="9226" width="3.109375" style="463" customWidth="1"/>
    <col min="9227" max="9227" width="4.33203125" style="463" customWidth="1"/>
    <col min="9228" max="9228" width="3.6640625" style="463" customWidth="1"/>
    <col min="9229" max="9229" width="3.5546875" style="463" customWidth="1"/>
    <col min="9230" max="9231" width="4.44140625" style="463" customWidth="1"/>
    <col min="9232" max="9232" width="3.6640625" style="463" customWidth="1"/>
    <col min="9233" max="9233" width="3.109375" style="463" customWidth="1"/>
    <col min="9234" max="9234" width="5" style="463" customWidth="1"/>
    <col min="9235" max="9235" width="2.5546875" style="463" customWidth="1"/>
    <col min="9236" max="9237" width="3" style="463" customWidth="1"/>
    <col min="9238" max="9239" width="2.109375" style="463" customWidth="1"/>
    <col min="9240" max="9240" width="3.5546875" style="463" customWidth="1"/>
    <col min="9241" max="9472" width="9.0546875" style="463"/>
    <col min="9473" max="9473" width="4.44140625" style="463" customWidth="1"/>
    <col min="9474" max="9474" width="8.88671875" style="463" customWidth="1"/>
    <col min="9475" max="9475" width="6.44140625" style="463" customWidth="1"/>
    <col min="9476" max="9476" width="8.109375" style="463" customWidth="1"/>
    <col min="9477" max="9477" width="7.6640625" style="463" customWidth="1"/>
    <col min="9478" max="9478" width="0" style="463" hidden="1" customWidth="1"/>
    <col min="9479" max="9479" width="2.44140625" style="463" customWidth="1"/>
    <col min="9480" max="9480" width="0" style="463" hidden="1" customWidth="1"/>
    <col min="9481" max="9482" width="3.109375" style="463" customWidth="1"/>
    <col min="9483" max="9483" width="4.33203125" style="463" customWidth="1"/>
    <col min="9484" max="9484" width="3.6640625" style="463" customWidth="1"/>
    <col min="9485" max="9485" width="3.5546875" style="463" customWidth="1"/>
    <col min="9486" max="9487" width="4.44140625" style="463" customWidth="1"/>
    <col min="9488" max="9488" width="3.6640625" style="463" customWidth="1"/>
    <col min="9489" max="9489" width="3.109375" style="463" customWidth="1"/>
    <col min="9490" max="9490" width="5" style="463" customWidth="1"/>
    <col min="9491" max="9491" width="2.5546875" style="463" customWidth="1"/>
    <col min="9492" max="9493" width="3" style="463" customWidth="1"/>
    <col min="9494" max="9495" width="2.109375" style="463" customWidth="1"/>
    <col min="9496" max="9496" width="3.5546875" style="463" customWidth="1"/>
    <col min="9497" max="9728" width="9.0546875" style="463"/>
    <col min="9729" max="9729" width="4.44140625" style="463" customWidth="1"/>
    <col min="9730" max="9730" width="8.88671875" style="463" customWidth="1"/>
    <col min="9731" max="9731" width="6.44140625" style="463" customWidth="1"/>
    <col min="9732" max="9732" width="8.109375" style="463" customWidth="1"/>
    <col min="9733" max="9733" width="7.6640625" style="463" customWidth="1"/>
    <col min="9734" max="9734" width="0" style="463" hidden="1" customWidth="1"/>
    <col min="9735" max="9735" width="2.44140625" style="463" customWidth="1"/>
    <col min="9736" max="9736" width="0" style="463" hidden="1" customWidth="1"/>
    <col min="9737" max="9738" width="3.109375" style="463" customWidth="1"/>
    <col min="9739" max="9739" width="4.33203125" style="463" customWidth="1"/>
    <col min="9740" max="9740" width="3.6640625" style="463" customWidth="1"/>
    <col min="9741" max="9741" width="3.5546875" style="463" customWidth="1"/>
    <col min="9742" max="9743" width="4.44140625" style="463" customWidth="1"/>
    <col min="9744" max="9744" width="3.6640625" style="463" customWidth="1"/>
    <col min="9745" max="9745" width="3.109375" style="463" customWidth="1"/>
    <col min="9746" max="9746" width="5" style="463" customWidth="1"/>
    <col min="9747" max="9747" width="2.5546875" style="463" customWidth="1"/>
    <col min="9748" max="9749" width="3" style="463" customWidth="1"/>
    <col min="9750" max="9751" width="2.109375" style="463" customWidth="1"/>
    <col min="9752" max="9752" width="3.5546875" style="463" customWidth="1"/>
    <col min="9753" max="9984" width="9.0546875" style="463"/>
    <col min="9985" max="9985" width="4.44140625" style="463" customWidth="1"/>
    <col min="9986" max="9986" width="8.88671875" style="463" customWidth="1"/>
    <col min="9987" max="9987" width="6.44140625" style="463" customWidth="1"/>
    <col min="9988" max="9988" width="8.109375" style="463" customWidth="1"/>
    <col min="9989" max="9989" width="7.6640625" style="463" customWidth="1"/>
    <col min="9990" max="9990" width="0" style="463" hidden="1" customWidth="1"/>
    <col min="9991" max="9991" width="2.44140625" style="463" customWidth="1"/>
    <col min="9992" max="9992" width="0" style="463" hidden="1" customWidth="1"/>
    <col min="9993" max="9994" width="3.109375" style="463" customWidth="1"/>
    <col min="9995" max="9995" width="4.33203125" style="463" customWidth="1"/>
    <col min="9996" max="9996" width="3.6640625" style="463" customWidth="1"/>
    <col min="9997" max="9997" width="3.5546875" style="463" customWidth="1"/>
    <col min="9998" max="9999" width="4.44140625" style="463" customWidth="1"/>
    <col min="10000" max="10000" width="3.6640625" style="463" customWidth="1"/>
    <col min="10001" max="10001" width="3.109375" style="463" customWidth="1"/>
    <col min="10002" max="10002" width="5" style="463" customWidth="1"/>
    <col min="10003" max="10003" width="2.5546875" style="463" customWidth="1"/>
    <col min="10004" max="10005" width="3" style="463" customWidth="1"/>
    <col min="10006" max="10007" width="2.109375" style="463" customWidth="1"/>
    <col min="10008" max="10008" width="3.5546875" style="463" customWidth="1"/>
    <col min="10009" max="10240" width="9.0546875" style="463"/>
    <col min="10241" max="10241" width="4.44140625" style="463" customWidth="1"/>
    <col min="10242" max="10242" width="8.88671875" style="463" customWidth="1"/>
    <col min="10243" max="10243" width="6.44140625" style="463" customWidth="1"/>
    <col min="10244" max="10244" width="8.109375" style="463" customWidth="1"/>
    <col min="10245" max="10245" width="7.6640625" style="463" customWidth="1"/>
    <col min="10246" max="10246" width="0" style="463" hidden="1" customWidth="1"/>
    <col min="10247" max="10247" width="2.44140625" style="463" customWidth="1"/>
    <col min="10248" max="10248" width="0" style="463" hidden="1" customWidth="1"/>
    <col min="10249" max="10250" width="3.109375" style="463" customWidth="1"/>
    <col min="10251" max="10251" width="4.33203125" style="463" customWidth="1"/>
    <col min="10252" max="10252" width="3.6640625" style="463" customWidth="1"/>
    <col min="10253" max="10253" width="3.5546875" style="463" customWidth="1"/>
    <col min="10254" max="10255" width="4.44140625" style="463" customWidth="1"/>
    <col min="10256" max="10256" width="3.6640625" style="463" customWidth="1"/>
    <col min="10257" max="10257" width="3.109375" style="463" customWidth="1"/>
    <col min="10258" max="10258" width="5" style="463" customWidth="1"/>
    <col min="10259" max="10259" width="2.5546875" style="463" customWidth="1"/>
    <col min="10260" max="10261" width="3" style="463" customWidth="1"/>
    <col min="10262" max="10263" width="2.109375" style="463" customWidth="1"/>
    <col min="10264" max="10264" width="3.5546875" style="463" customWidth="1"/>
    <col min="10265" max="10496" width="9.0546875" style="463"/>
    <col min="10497" max="10497" width="4.44140625" style="463" customWidth="1"/>
    <col min="10498" max="10498" width="8.88671875" style="463" customWidth="1"/>
    <col min="10499" max="10499" width="6.44140625" style="463" customWidth="1"/>
    <col min="10500" max="10500" width="8.109375" style="463" customWidth="1"/>
    <col min="10501" max="10501" width="7.6640625" style="463" customWidth="1"/>
    <col min="10502" max="10502" width="0" style="463" hidden="1" customWidth="1"/>
    <col min="10503" max="10503" width="2.44140625" style="463" customWidth="1"/>
    <col min="10504" max="10504" width="0" style="463" hidden="1" customWidth="1"/>
    <col min="10505" max="10506" width="3.109375" style="463" customWidth="1"/>
    <col min="10507" max="10507" width="4.33203125" style="463" customWidth="1"/>
    <col min="10508" max="10508" width="3.6640625" style="463" customWidth="1"/>
    <col min="10509" max="10509" width="3.5546875" style="463" customWidth="1"/>
    <col min="10510" max="10511" width="4.44140625" style="463" customWidth="1"/>
    <col min="10512" max="10512" width="3.6640625" style="463" customWidth="1"/>
    <col min="10513" max="10513" width="3.109375" style="463" customWidth="1"/>
    <col min="10514" max="10514" width="5" style="463" customWidth="1"/>
    <col min="10515" max="10515" width="2.5546875" style="463" customWidth="1"/>
    <col min="10516" max="10517" width="3" style="463" customWidth="1"/>
    <col min="10518" max="10519" width="2.109375" style="463" customWidth="1"/>
    <col min="10520" max="10520" width="3.5546875" style="463" customWidth="1"/>
    <col min="10521" max="10752" width="9.0546875" style="463"/>
    <col min="10753" max="10753" width="4.44140625" style="463" customWidth="1"/>
    <col min="10754" max="10754" width="8.88671875" style="463" customWidth="1"/>
    <col min="10755" max="10755" width="6.44140625" style="463" customWidth="1"/>
    <col min="10756" max="10756" width="8.109375" style="463" customWidth="1"/>
    <col min="10757" max="10757" width="7.6640625" style="463" customWidth="1"/>
    <col min="10758" max="10758" width="0" style="463" hidden="1" customWidth="1"/>
    <col min="10759" max="10759" width="2.44140625" style="463" customWidth="1"/>
    <col min="10760" max="10760" width="0" style="463" hidden="1" customWidth="1"/>
    <col min="10761" max="10762" width="3.109375" style="463" customWidth="1"/>
    <col min="10763" max="10763" width="4.33203125" style="463" customWidth="1"/>
    <col min="10764" max="10764" width="3.6640625" style="463" customWidth="1"/>
    <col min="10765" max="10765" width="3.5546875" style="463" customWidth="1"/>
    <col min="10766" max="10767" width="4.44140625" style="463" customWidth="1"/>
    <col min="10768" max="10768" width="3.6640625" style="463" customWidth="1"/>
    <col min="10769" max="10769" width="3.109375" style="463" customWidth="1"/>
    <col min="10770" max="10770" width="5" style="463" customWidth="1"/>
    <col min="10771" max="10771" width="2.5546875" style="463" customWidth="1"/>
    <col min="10772" max="10773" width="3" style="463" customWidth="1"/>
    <col min="10774" max="10775" width="2.109375" style="463" customWidth="1"/>
    <col min="10776" max="10776" width="3.5546875" style="463" customWidth="1"/>
    <col min="10777" max="11008" width="9.0546875" style="463"/>
    <col min="11009" max="11009" width="4.44140625" style="463" customWidth="1"/>
    <col min="11010" max="11010" width="8.88671875" style="463" customWidth="1"/>
    <col min="11011" max="11011" width="6.44140625" style="463" customWidth="1"/>
    <col min="11012" max="11012" width="8.109375" style="463" customWidth="1"/>
    <col min="11013" max="11013" width="7.6640625" style="463" customWidth="1"/>
    <col min="11014" max="11014" width="0" style="463" hidden="1" customWidth="1"/>
    <col min="11015" max="11015" width="2.44140625" style="463" customWidth="1"/>
    <col min="11016" max="11016" width="0" style="463" hidden="1" customWidth="1"/>
    <col min="11017" max="11018" width="3.109375" style="463" customWidth="1"/>
    <col min="11019" max="11019" width="4.33203125" style="463" customWidth="1"/>
    <col min="11020" max="11020" width="3.6640625" style="463" customWidth="1"/>
    <col min="11021" max="11021" width="3.5546875" style="463" customWidth="1"/>
    <col min="11022" max="11023" width="4.44140625" style="463" customWidth="1"/>
    <col min="11024" max="11024" width="3.6640625" style="463" customWidth="1"/>
    <col min="11025" max="11025" width="3.109375" style="463" customWidth="1"/>
    <col min="11026" max="11026" width="5" style="463" customWidth="1"/>
    <col min="11027" max="11027" width="2.5546875" style="463" customWidth="1"/>
    <col min="11028" max="11029" width="3" style="463" customWidth="1"/>
    <col min="11030" max="11031" width="2.109375" style="463" customWidth="1"/>
    <col min="11032" max="11032" width="3.5546875" style="463" customWidth="1"/>
    <col min="11033" max="11264" width="9.0546875" style="463"/>
    <col min="11265" max="11265" width="4.44140625" style="463" customWidth="1"/>
    <col min="11266" max="11266" width="8.88671875" style="463" customWidth="1"/>
    <col min="11267" max="11267" width="6.44140625" style="463" customWidth="1"/>
    <col min="11268" max="11268" width="8.109375" style="463" customWidth="1"/>
    <col min="11269" max="11269" width="7.6640625" style="463" customWidth="1"/>
    <col min="11270" max="11270" width="0" style="463" hidden="1" customWidth="1"/>
    <col min="11271" max="11271" width="2.44140625" style="463" customWidth="1"/>
    <col min="11272" max="11272" width="0" style="463" hidden="1" customWidth="1"/>
    <col min="11273" max="11274" width="3.109375" style="463" customWidth="1"/>
    <col min="11275" max="11275" width="4.33203125" style="463" customWidth="1"/>
    <col min="11276" max="11276" width="3.6640625" style="463" customWidth="1"/>
    <col min="11277" max="11277" width="3.5546875" style="463" customWidth="1"/>
    <col min="11278" max="11279" width="4.44140625" style="463" customWidth="1"/>
    <col min="11280" max="11280" width="3.6640625" style="463" customWidth="1"/>
    <col min="11281" max="11281" width="3.109375" style="463" customWidth="1"/>
    <col min="11282" max="11282" width="5" style="463" customWidth="1"/>
    <col min="11283" max="11283" width="2.5546875" style="463" customWidth="1"/>
    <col min="11284" max="11285" width="3" style="463" customWidth="1"/>
    <col min="11286" max="11287" width="2.109375" style="463" customWidth="1"/>
    <col min="11288" max="11288" width="3.5546875" style="463" customWidth="1"/>
    <col min="11289" max="11520" width="9.0546875" style="463"/>
    <col min="11521" max="11521" width="4.44140625" style="463" customWidth="1"/>
    <col min="11522" max="11522" width="8.88671875" style="463" customWidth="1"/>
    <col min="11523" max="11523" width="6.44140625" style="463" customWidth="1"/>
    <col min="11524" max="11524" width="8.109375" style="463" customWidth="1"/>
    <col min="11525" max="11525" width="7.6640625" style="463" customWidth="1"/>
    <col min="11526" max="11526" width="0" style="463" hidden="1" customWidth="1"/>
    <col min="11527" max="11527" width="2.44140625" style="463" customWidth="1"/>
    <col min="11528" max="11528" width="0" style="463" hidden="1" customWidth="1"/>
    <col min="11529" max="11530" width="3.109375" style="463" customWidth="1"/>
    <col min="11531" max="11531" width="4.33203125" style="463" customWidth="1"/>
    <col min="11532" max="11532" width="3.6640625" style="463" customWidth="1"/>
    <col min="11533" max="11533" width="3.5546875" style="463" customWidth="1"/>
    <col min="11534" max="11535" width="4.44140625" style="463" customWidth="1"/>
    <col min="11536" max="11536" width="3.6640625" style="463" customWidth="1"/>
    <col min="11537" max="11537" width="3.109375" style="463" customWidth="1"/>
    <col min="11538" max="11538" width="5" style="463" customWidth="1"/>
    <col min="11539" max="11539" width="2.5546875" style="463" customWidth="1"/>
    <col min="11540" max="11541" width="3" style="463" customWidth="1"/>
    <col min="11542" max="11543" width="2.109375" style="463" customWidth="1"/>
    <col min="11544" max="11544" width="3.5546875" style="463" customWidth="1"/>
    <col min="11545" max="11776" width="9.0546875" style="463"/>
    <col min="11777" max="11777" width="4.44140625" style="463" customWidth="1"/>
    <col min="11778" max="11778" width="8.88671875" style="463" customWidth="1"/>
    <col min="11779" max="11779" width="6.44140625" style="463" customWidth="1"/>
    <col min="11780" max="11780" width="8.109375" style="463" customWidth="1"/>
    <col min="11781" max="11781" width="7.6640625" style="463" customWidth="1"/>
    <col min="11782" max="11782" width="0" style="463" hidden="1" customWidth="1"/>
    <col min="11783" max="11783" width="2.44140625" style="463" customWidth="1"/>
    <col min="11784" max="11784" width="0" style="463" hidden="1" customWidth="1"/>
    <col min="11785" max="11786" width="3.109375" style="463" customWidth="1"/>
    <col min="11787" max="11787" width="4.33203125" style="463" customWidth="1"/>
    <col min="11788" max="11788" width="3.6640625" style="463" customWidth="1"/>
    <col min="11789" max="11789" width="3.5546875" style="463" customWidth="1"/>
    <col min="11790" max="11791" width="4.44140625" style="463" customWidth="1"/>
    <col min="11792" max="11792" width="3.6640625" style="463" customWidth="1"/>
    <col min="11793" max="11793" width="3.109375" style="463" customWidth="1"/>
    <col min="11794" max="11794" width="5" style="463" customWidth="1"/>
    <col min="11795" max="11795" width="2.5546875" style="463" customWidth="1"/>
    <col min="11796" max="11797" width="3" style="463" customWidth="1"/>
    <col min="11798" max="11799" width="2.109375" style="463" customWidth="1"/>
    <col min="11800" max="11800" width="3.5546875" style="463" customWidth="1"/>
    <col min="11801" max="12032" width="9.0546875" style="463"/>
    <col min="12033" max="12033" width="4.44140625" style="463" customWidth="1"/>
    <col min="12034" max="12034" width="8.88671875" style="463" customWidth="1"/>
    <col min="12035" max="12035" width="6.44140625" style="463" customWidth="1"/>
    <col min="12036" max="12036" width="8.109375" style="463" customWidth="1"/>
    <col min="12037" max="12037" width="7.6640625" style="463" customWidth="1"/>
    <col min="12038" max="12038" width="0" style="463" hidden="1" customWidth="1"/>
    <col min="12039" max="12039" width="2.44140625" style="463" customWidth="1"/>
    <col min="12040" max="12040" width="0" style="463" hidden="1" customWidth="1"/>
    <col min="12041" max="12042" width="3.109375" style="463" customWidth="1"/>
    <col min="12043" max="12043" width="4.33203125" style="463" customWidth="1"/>
    <col min="12044" max="12044" width="3.6640625" style="463" customWidth="1"/>
    <col min="12045" max="12045" width="3.5546875" style="463" customWidth="1"/>
    <col min="12046" max="12047" width="4.44140625" style="463" customWidth="1"/>
    <col min="12048" max="12048" width="3.6640625" style="463" customWidth="1"/>
    <col min="12049" max="12049" width="3.109375" style="463" customWidth="1"/>
    <col min="12050" max="12050" width="5" style="463" customWidth="1"/>
    <col min="12051" max="12051" width="2.5546875" style="463" customWidth="1"/>
    <col min="12052" max="12053" width="3" style="463" customWidth="1"/>
    <col min="12054" max="12055" width="2.109375" style="463" customWidth="1"/>
    <col min="12056" max="12056" width="3.5546875" style="463" customWidth="1"/>
    <col min="12057" max="12288" width="9.0546875" style="463"/>
    <col min="12289" max="12289" width="4.44140625" style="463" customWidth="1"/>
    <col min="12290" max="12290" width="8.88671875" style="463" customWidth="1"/>
    <col min="12291" max="12291" width="6.44140625" style="463" customWidth="1"/>
    <col min="12292" max="12292" width="8.109375" style="463" customWidth="1"/>
    <col min="12293" max="12293" width="7.6640625" style="463" customWidth="1"/>
    <col min="12294" max="12294" width="0" style="463" hidden="1" customWidth="1"/>
    <col min="12295" max="12295" width="2.44140625" style="463" customWidth="1"/>
    <col min="12296" max="12296" width="0" style="463" hidden="1" customWidth="1"/>
    <col min="12297" max="12298" width="3.109375" style="463" customWidth="1"/>
    <col min="12299" max="12299" width="4.33203125" style="463" customWidth="1"/>
    <col min="12300" max="12300" width="3.6640625" style="463" customWidth="1"/>
    <col min="12301" max="12301" width="3.5546875" style="463" customWidth="1"/>
    <col min="12302" max="12303" width="4.44140625" style="463" customWidth="1"/>
    <col min="12304" max="12304" width="3.6640625" style="463" customWidth="1"/>
    <col min="12305" max="12305" width="3.109375" style="463" customWidth="1"/>
    <col min="12306" max="12306" width="5" style="463" customWidth="1"/>
    <col min="12307" max="12307" width="2.5546875" style="463" customWidth="1"/>
    <col min="12308" max="12309" width="3" style="463" customWidth="1"/>
    <col min="12310" max="12311" width="2.109375" style="463" customWidth="1"/>
    <col min="12312" max="12312" width="3.5546875" style="463" customWidth="1"/>
    <col min="12313" max="12544" width="9.0546875" style="463"/>
    <col min="12545" max="12545" width="4.44140625" style="463" customWidth="1"/>
    <col min="12546" max="12546" width="8.88671875" style="463" customWidth="1"/>
    <col min="12547" max="12547" width="6.44140625" style="463" customWidth="1"/>
    <col min="12548" max="12548" width="8.109375" style="463" customWidth="1"/>
    <col min="12549" max="12549" width="7.6640625" style="463" customWidth="1"/>
    <col min="12550" max="12550" width="0" style="463" hidden="1" customWidth="1"/>
    <col min="12551" max="12551" width="2.44140625" style="463" customWidth="1"/>
    <col min="12552" max="12552" width="0" style="463" hidden="1" customWidth="1"/>
    <col min="12553" max="12554" width="3.109375" style="463" customWidth="1"/>
    <col min="12555" max="12555" width="4.33203125" style="463" customWidth="1"/>
    <col min="12556" max="12556" width="3.6640625" style="463" customWidth="1"/>
    <col min="12557" max="12557" width="3.5546875" style="463" customWidth="1"/>
    <col min="12558" max="12559" width="4.44140625" style="463" customWidth="1"/>
    <col min="12560" max="12560" width="3.6640625" style="463" customWidth="1"/>
    <col min="12561" max="12561" width="3.109375" style="463" customWidth="1"/>
    <col min="12562" max="12562" width="5" style="463" customWidth="1"/>
    <col min="12563" max="12563" width="2.5546875" style="463" customWidth="1"/>
    <col min="12564" max="12565" width="3" style="463" customWidth="1"/>
    <col min="12566" max="12567" width="2.109375" style="463" customWidth="1"/>
    <col min="12568" max="12568" width="3.5546875" style="463" customWidth="1"/>
    <col min="12569" max="12800" width="9.0546875" style="463"/>
    <col min="12801" max="12801" width="4.44140625" style="463" customWidth="1"/>
    <col min="12802" max="12802" width="8.88671875" style="463" customWidth="1"/>
    <col min="12803" max="12803" width="6.44140625" style="463" customWidth="1"/>
    <col min="12804" max="12804" width="8.109375" style="463" customWidth="1"/>
    <col min="12805" max="12805" width="7.6640625" style="463" customWidth="1"/>
    <col min="12806" max="12806" width="0" style="463" hidden="1" customWidth="1"/>
    <col min="12807" max="12807" width="2.44140625" style="463" customWidth="1"/>
    <col min="12808" max="12808" width="0" style="463" hidden="1" customWidth="1"/>
    <col min="12809" max="12810" width="3.109375" style="463" customWidth="1"/>
    <col min="12811" max="12811" width="4.33203125" style="463" customWidth="1"/>
    <col min="12812" max="12812" width="3.6640625" style="463" customWidth="1"/>
    <col min="12813" max="12813" width="3.5546875" style="463" customWidth="1"/>
    <col min="12814" max="12815" width="4.44140625" style="463" customWidth="1"/>
    <col min="12816" max="12816" width="3.6640625" style="463" customWidth="1"/>
    <col min="12817" max="12817" width="3.109375" style="463" customWidth="1"/>
    <col min="12818" max="12818" width="5" style="463" customWidth="1"/>
    <col min="12819" max="12819" width="2.5546875" style="463" customWidth="1"/>
    <col min="12820" max="12821" width="3" style="463" customWidth="1"/>
    <col min="12822" max="12823" width="2.109375" style="463" customWidth="1"/>
    <col min="12824" max="12824" width="3.5546875" style="463" customWidth="1"/>
    <col min="12825" max="13056" width="9.0546875" style="463"/>
    <col min="13057" max="13057" width="4.44140625" style="463" customWidth="1"/>
    <col min="13058" max="13058" width="8.88671875" style="463" customWidth="1"/>
    <col min="13059" max="13059" width="6.44140625" style="463" customWidth="1"/>
    <col min="13060" max="13060" width="8.109375" style="463" customWidth="1"/>
    <col min="13061" max="13061" width="7.6640625" style="463" customWidth="1"/>
    <col min="13062" max="13062" width="0" style="463" hidden="1" customWidth="1"/>
    <col min="13063" max="13063" width="2.44140625" style="463" customWidth="1"/>
    <col min="13064" max="13064" width="0" style="463" hidden="1" customWidth="1"/>
    <col min="13065" max="13066" width="3.109375" style="463" customWidth="1"/>
    <col min="13067" max="13067" width="4.33203125" style="463" customWidth="1"/>
    <col min="13068" max="13068" width="3.6640625" style="463" customWidth="1"/>
    <col min="13069" max="13069" width="3.5546875" style="463" customWidth="1"/>
    <col min="13070" max="13071" width="4.44140625" style="463" customWidth="1"/>
    <col min="13072" max="13072" width="3.6640625" style="463" customWidth="1"/>
    <col min="13073" max="13073" width="3.109375" style="463" customWidth="1"/>
    <col min="13074" max="13074" width="5" style="463" customWidth="1"/>
    <col min="13075" max="13075" width="2.5546875" style="463" customWidth="1"/>
    <col min="13076" max="13077" width="3" style="463" customWidth="1"/>
    <col min="13078" max="13079" width="2.109375" style="463" customWidth="1"/>
    <col min="13080" max="13080" width="3.5546875" style="463" customWidth="1"/>
    <col min="13081" max="13312" width="9.0546875" style="463"/>
    <col min="13313" max="13313" width="4.44140625" style="463" customWidth="1"/>
    <col min="13314" max="13314" width="8.88671875" style="463" customWidth="1"/>
    <col min="13315" max="13315" width="6.44140625" style="463" customWidth="1"/>
    <col min="13316" max="13316" width="8.109375" style="463" customWidth="1"/>
    <col min="13317" max="13317" width="7.6640625" style="463" customWidth="1"/>
    <col min="13318" max="13318" width="0" style="463" hidden="1" customWidth="1"/>
    <col min="13319" max="13319" width="2.44140625" style="463" customWidth="1"/>
    <col min="13320" max="13320" width="0" style="463" hidden="1" customWidth="1"/>
    <col min="13321" max="13322" width="3.109375" style="463" customWidth="1"/>
    <col min="13323" max="13323" width="4.33203125" style="463" customWidth="1"/>
    <col min="13324" max="13324" width="3.6640625" style="463" customWidth="1"/>
    <col min="13325" max="13325" width="3.5546875" style="463" customWidth="1"/>
    <col min="13326" max="13327" width="4.44140625" style="463" customWidth="1"/>
    <col min="13328" max="13328" width="3.6640625" style="463" customWidth="1"/>
    <col min="13329" max="13329" width="3.109375" style="463" customWidth="1"/>
    <col min="13330" max="13330" width="5" style="463" customWidth="1"/>
    <col min="13331" max="13331" width="2.5546875" style="463" customWidth="1"/>
    <col min="13332" max="13333" width="3" style="463" customWidth="1"/>
    <col min="13334" max="13335" width="2.109375" style="463" customWidth="1"/>
    <col min="13336" max="13336" width="3.5546875" style="463" customWidth="1"/>
    <col min="13337" max="13568" width="9.0546875" style="463"/>
    <col min="13569" max="13569" width="4.44140625" style="463" customWidth="1"/>
    <col min="13570" max="13570" width="8.88671875" style="463" customWidth="1"/>
    <col min="13571" max="13571" width="6.44140625" style="463" customWidth="1"/>
    <col min="13572" max="13572" width="8.109375" style="463" customWidth="1"/>
    <col min="13573" max="13573" width="7.6640625" style="463" customWidth="1"/>
    <col min="13574" max="13574" width="0" style="463" hidden="1" customWidth="1"/>
    <col min="13575" max="13575" width="2.44140625" style="463" customWidth="1"/>
    <col min="13576" max="13576" width="0" style="463" hidden="1" customWidth="1"/>
    <col min="13577" max="13578" width="3.109375" style="463" customWidth="1"/>
    <col min="13579" max="13579" width="4.33203125" style="463" customWidth="1"/>
    <col min="13580" max="13580" width="3.6640625" style="463" customWidth="1"/>
    <col min="13581" max="13581" width="3.5546875" style="463" customWidth="1"/>
    <col min="13582" max="13583" width="4.44140625" style="463" customWidth="1"/>
    <col min="13584" max="13584" width="3.6640625" style="463" customWidth="1"/>
    <col min="13585" max="13585" width="3.109375" style="463" customWidth="1"/>
    <col min="13586" max="13586" width="5" style="463" customWidth="1"/>
    <col min="13587" max="13587" width="2.5546875" style="463" customWidth="1"/>
    <col min="13588" max="13589" width="3" style="463" customWidth="1"/>
    <col min="13590" max="13591" width="2.109375" style="463" customWidth="1"/>
    <col min="13592" max="13592" width="3.5546875" style="463" customWidth="1"/>
    <col min="13593" max="13824" width="9.0546875" style="463"/>
    <col min="13825" max="13825" width="4.44140625" style="463" customWidth="1"/>
    <col min="13826" max="13826" width="8.88671875" style="463" customWidth="1"/>
    <col min="13827" max="13827" width="6.44140625" style="463" customWidth="1"/>
    <col min="13828" max="13828" width="8.109375" style="463" customWidth="1"/>
    <col min="13829" max="13829" width="7.6640625" style="463" customWidth="1"/>
    <col min="13830" max="13830" width="0" style="463" hidden="1" customWidth="1"/>
    <col min="13831" max="13831" width="2.44140625" style="463" customWidth="1"/>
    <col min="13832" max="13832" width="0" style="463" hidden="1" customWidth="1"/>
    <col min="13833" max="13834" width="3.109375" style="463" customWidth="1"/>
    <col min="13835" max="13835" width="4.33203125" style="463" customWidth="1"/>
    <col min="13836" max="13836" width="3.6640625" style="463" customWidth="1"/>
    <col min="13837" max="13837" width="3.5546875" style="463" customWidth="1"/>
    <col min="13838" max="13839" width="4.44140625" style="463" customWidth="1"/>
    <col min="13840" max="13840" width="3.6640625" style="463" customWidth="1"/>
    <col min="13841" max="13841" width="3.109375" style="463" customWidth="1"/>
    <col min="13842" max="13842" width="5" style="463" customWidth="1"/>
    <col min="13843" max="13843" width="2.5546875" style="463" customWidth="1"/>
    <col min="13844" max="13845" width="3" style="463" customWidth="1"/>
    <col min="13846" max="13847" width="2.109375" style="463" customWidth="1"/>
    <col min="13848" max="13848" width="3.5546875" style="463" customWidth="1"/>
    <col min="13849" max="14080" width="9.0546875" style="463"/>
    <col min="14081" max="14081" width="4.44140625" style="463" customWidth="1"/>
    <col min="14082" max="14082" width="8.88671875" style="463" customWidth="1"/>
    <col min="14083" max="14083" width="6.44140625" style="463" customWidth="1"/>
    <col min="14084" max="14084" width="8.109375" style="463" customWidth="1"/>
    <col min="14085" max="14085" width="7.6640625" style="463" customWidth="1"/>
    <col min="14086" max="14086" width="0" style="463" hidden="1" customWidth="1"/>
    <col min="14087" max="14087" width="2.44140625" style="463" customWidth="1"/>
    <col min="14088" max="14088" width="0" style="463" hidden="1" customWidth="1"/>
    <col min="14089" max="14090" width="3.109375" style="463" customWidth="1"/>
    <col min="14091" max="14091" width="4.33203125" style="463" customWidth="1"/>
    <col min="14092" max="14092" width="3.6640625" style="463" customWidth="1"/>
    <col min="14093" max="14093" width="3.5546875" style="463" customWidth="1"/>
    <col min="14094" max="14095" width="4.44140625" style="463" customWidth="1"/>
    <col min="14096" max="14096" width="3.6640625" style="463" customWidth="1"/>
    <col min="14097" max="14097" width="3.109375" style="463" customWidth="1"/>
    <col min="14098" max="14098" width="5" style="463" customWidth="1"/>
    <col min="14099" max="14099" width="2.5546875" style="463" customWidth="1"/>
    <col min="14100" max="14101" width="3" style="463" customWidth="1"/>
    <col min="14102" max="14103" width="2.109375" style="463" customWidth="1"/>
    <col min="14104" max="14104" width="3.5546875" style="463" customWidth="1"/>
    <col min="14105" max="14336" width="9.0546875" style="463"/>
    <col min="14337" max="14337" width="4.44140625" style="463" customWidth="1"/>
    <col min="14338" max="14338" width="8.88671875" style="463" customWidth="1"/>
    <col min="14339" max="14339" width="6.44140625" style="463" customWidth="1"/>
    <col min="14340" max="14340" width="8.109375" style="463" customWidth="1"/>
    <col min="14341" max="14341" width="7.6640625" style="463" customWidth="1"/>
    <col min="14342" max="14342" width="0" style="463" hidden="1" customWidth="1"/>
    <col min="14343" max="14343" width="2.44140625" style="463" customWidth="1"/>
    <col min="14344" max="14344" width="0" style="463" hidden="1" customWidth="1"/>
    <col min="14345" max="14346" width="3.109375" style="463" customWidth="1"/>
    <col min="14347" max="14347" width="4.33203125" style="463" customWidth="1"/>
    <col min="14348" max="14348" width="3.6640625" style="463" customWidth="1"/>
    <col min="14349" max="14349" width="3.5546875" style="463" customWidth="1"/>
    <col min="14350" max="14351" width="4.44140625" style="463" customWidth="1"/>
    <col min="14352" max="14352" width="3.6640625" style="463" customWidth="1"/>
    <col min="14353" max="14353" width="3.109375" style="463" customWidth="1"/>
    <col min="14354" max="14354" width="5" style="463" customWidth="1"/>
    <col min="14355" max="14355" width="2.5546875" style="463" customWidth="1"/>
    <col min="14356" max="14357" width="3" style="463" customWidth="1"/>
    <col min="14358" max="14359" width="2.109375" style="463" customWidth="1"/>
    <col min="14360" max="14360" width="3.5546875" style="463" customWidth="1"/>
    <col min="14361" max="14592" width="9.0546875" style="463"/>
    <col min="14593" max="14593" width="4.44140625" style="463" customWidth="1"/>
    <col min="14594" max="14594" width="8.88671875" style="463" customWidth="1"/>
    <col min="14595" max="14595" width="6.44140625" style="463" customWidth="1"/>
    <col min="14596" max="14596" width="8.109375" style="463" customWidth="1"/>
    <col min="14597" max="14597" width="7.6640625" style="463" customWidth="1"/>
    <col min="14598" max="14598" width="0" style="463" hidden="1" customWidth="1"/>
    <col min="14599" max="14599" width="2.44140625" style="463" customWidth="1"/>
    <col min="14600" max="14600" width="0" style="463" hidden="1" customWidth="1"/>
    <col min="14601" max="14602" width="3.109375" style="463" customWidth="1"/>
    <col min="14603" max="14603" width="4.33203125" style="463" customWidth="1"/>
    <col min="14604" max="14604" width="3.6640625" style="463" customWidth="1"/>
    <col min="14605" max="14605" width="3.5546875" style="463" customWidth="1"/>
    <col min="14606" max="14607" width="4.44140625" style="463" customWidth="1"/>
    <col min="14608" max="14608" width="3.6640625" style="463" customWidth="1"/>
    <col min="14609" max="14609" width="3.109375" style="463" customWidth="1"/>
    <col min="14610" max="14610" width="5" style="463" customWidth="1"/>
    <col min="14611" max="14611" width="2.5546875" style="463" customWidth="1"/>
    <col min="14612" max="14613" width="3" style="463" customWidth="1"/>
    <col min="14614" max="14615" width="2.109375" style="463" customWidth="1"/>
    <col min="14616" max="14616" width="3.5546875" style="463" customWidth="1"/>
    <col min="14617" max="14848" width="9.0546875" style="463"/>
    <col min="14849" max="14849" width="4.44140625" style="463" customWidth="1"/>
    <col min="14850" max="14850" width="8.88671875" style="463" customWidth="1"/>
    <col min="14851" max="14851" width="6.44140625" style="463" customWidth="1"/>
    <col min="14852" max="14852" width="8.109375" style="463" customWidth="1"/>
    <col min="14853" max="14853" width="7.6640625" style="463" customWidth="1"/>
    <col min="14854" max="14854" width="0" style="463" hidden="1" customWidth="1"/>
    <col min="14855" max="14855" width="2.44140625" style="463" customWidth="1"/>
    <col min="14856" max="14856" width="0" style="463" hidden="1" customWidth="1"/>
    <col min="14857" max="14858" width="3.109375" style="463" customWidth="1"/>
    <col min="14859" max="14859" width="4.33203125" style="463" customWidth="1"/>
    <col min="14860" max="14860" width="3.6640625" style="463" customWidth="1"/>
    <col min="14861" max="14861" width="3.5546875" style="463" customWidth="1"/>
    <col min="14862" max="14863" width="4.44140625" style="463" customWidth="1"/>
    <col min="14864" max="14864" width="3.6640625" style="463" customWidth="1"/>
    <col min="14865" max="14865" width="3.109375" style="463" customWidth="1"/>
    <col min="14866" max="14866" width="5" style="463" customWidth="1"/>
    <col min="14867" max="14867" width="2.5546875" style="463" customWidth="1"/>
    <col min="14868" max="14869" width="3" style="463" customWidth="1"/>
    <col min="14870" max="14871" width="2.109375" style="463" customWidth="1"/>
    <col min="14872" max="14872" width="3.5546875" style="463" customWidth="1"/>
    <col min="14873" max="15104" width="9.0546875" style="463"/>
    <col min="15105" max="15105" width="4.44140625" style="463" customWidth="1"/>
    <col min="15106" max="15106" width="8.88671875" style="463" customWidth="1"/>
    <col min="15107" max="15107" width="6.44140625" style="463" customWidth="1"/>
    <col min="15108" max="15108" width="8.109375" style="463" customWidth="1"/>
    <col min="15109" max="15109" width="7.6640625" style="463" customWidth="1"/>
    <col min="15110" max="15110" width="0" style="463" hidden="1" customWidth="1"/>
    <col min="15111" max="15111" width="2.44140625" style="463" customWidth="1"/>
    <col min="15112" max="15112" width="0" style="463" hidden="1" customWidth="1"/>
    <col min="15113" max="15114" width="3.109375" style="463" customWidth="1"/>
    <col min="15115" max="15115" width="4.33203125" style="463" customWidth="1"/>
    <col min="15116" max="15116" width="3.6640625" style="463" customWidth="1"/>
    <col min="15117" max="15117" width="3.5546875" style="463" customWidth="1"/>
    <col min="15118" max="15119" width="4.44140625" style="463" customWidth="1"/>
    <col min="15120" max="15120" width="3.6640625" style="463" customWidth="1"/>
    <col min="15121" max="15121" width="3.109375" style="463" customWidth="1"/>
    <col min="15122" max="15122" width="5" style="463" customWidth="1"/>
    <col min="15123" max="15123" width="2.5546875" style="463" customWidth="1"/>
    <col min="15124" max="15125" width="3" style="463" customWidth="1"/>
    <col min="15126" max="15127" width="2.109375" style="463" customWidth="1"/>
    <col min="15128" max="15128" width="3.5546875" style="463" customWidth="1"/>
    <col min="15129" max="15360" width="9.0546875" style="463"/>
    <col min="15361" max="15361" width="4.44140625" style="463" customWidth="1"/>
    <col min="15362" max="15362" width="8.88671875" style="463" customWidth="1"/>
    <col min="15363" max="15363" width="6.44140625" style="463" customWidth="1"/>
    <col min="15364" max="15364" width="8.109375" style="463" customWidth="1"/>
    <col min="15365" max="15365" width="7.6640625" style="463" customWidth="1"/>
    <col min="15366" max="15366" width="0" style="463" hidden="1" customWidth="1"/>
    <col min="15367" max="15367" width="2.44140625" style="463" customWidth="1"/>
    <col min="15368" max="15368" width="0" style="463" hidden="1" customWidth="1"/>
    <col min="15369" max="15370" width="3.109375" style="463" customWidth="1"/>
    <col min="15371" max="15371" width="4.33203125" style="463" customWidth="1"/>
    <col min="15372" max="15372" width="3.6640625" style="463" customWidth="1"/>
    <col min="15373" max="15373" width="3.5546875" style="463" customWidth="1"/>
    <col min="15374" max="15375" width="4.44140625" style="463" customWidth="1"/>
    <col min="15376" max="15376" width="3.6640625" style="463" customWidth="1"/>
    <col min="15377" max="15377" width="3.109375" style="463" customWidth="1"/>
    <col min="15378" max="15378" width="5" style="463" customWidth="1"/>
    <col min="15379" max="15379" width="2.5546875" style="463" customWidth="1"/>
    <col min="15380" max="15381" width="3" style="463" customWidth="1"/>
    <col min="15382" max="15383" width="2.109375" style="463" customWidth="1"/>
    <col min="15384" max="15384" width="3.5546875" style="463" customWidth="1"/>
    <col min="15385" max="15616" width="9.0546875" style="463"/>
    <col min="15617" max="15617" width="4.44140625" style="463" customWidth="1"/>
    <col min="15618" max="15618" width="8.88671875" style="463" customWidth="1"/>
    <col min="15619" max="15619" width="6.44140625" style="463" customWidth="1"/>
    <col min="15620" max="15620" width="8.109375" style="463" customWidth="1"/>
    <col min="15621" max="15621" width="7.6640625" style="463" customWidth="1"/>
    <col min="15622" max="15622" width="0" style="463" hidden="1" customWidth="1"/>
    <col min="15623" max="15623" width="2.44140625" style="463" customWidth="1"/>
    <col min="15624" max="15624" width="0" style="463" hidden="1" customWidth="1"/>
    <col min="15625" max="15626" width="3.109375" style="463" customWidth="1"/>
    <col min="15627" max="15627" width="4.33203125" style="463" customWidth="1"/>
    <col min="15628" max="15628" width="3.6640625" style="463" customWidth="1"/>
    <col min="15629" max="15629" width="3.5546875" style="463" customWidth="1"/>
    <col min="15630" max="15631" width="4.44140625" style="463" customWidth="1"/>
    <col min="15632" max="15632" width="3.6640625" style="463" customWidth="1"/>
    <col min="15633" max="15633" width="3.109375" style="463" customWidth="1"/>
    <col min="15634" max="15634" width="5" style="463" customWidth="1"/>
    <col min="15635" max="15635" width="2.5546875" style="463" customWidth="1"/>
    <col min="15636" max="15637" width="3" style="463" customWidth="1"/>
    <col min="15638" max="15639" width="2.109375" style="463" customWidth="1"/>
    <col min="15640" max="15640" width="3.5546875" style="463" customWidth="1"/>
    <col min="15641" max="15872" width="9.0546875" style="463"/>
    <col min="15873" max="15873" width="4.44140625" style="463" customWidth="1"/>
    <col min="15874" max="15874" width="8.88671875" style="463" customWidth="1"/>
    <col min="15875" max="15875" width="6.44140625" style="463" customWidth="1"/>
    <col min="15876" max="15876" width="8.109375" style="463" customWidth="1"/>
    <col min="15877" max="15877" width="7.6640625" style="463" customWidth="1"/>
    <col min="15878" max="15878" width="0" style="463" hidden="1" customWidth="1"/>
    <col min="15879" max="15879" width="2.44140625" style="463" customWidth="1"/>
    <col min="15880" max="15880" width="0" style="463" hidden="1" customWidth="1"/>
    <col min="15881" max="15882" width="3.109375" style="463" customWidth="1"/>
    <col min="15883" max="15883" width="4.33203125" style="463" customWidth="1"/>
    <col min="15884" max="15884" width="3.6640625" style="463" customWidth="1"/>
    <col min="15885" max="15885" width="3.5546875" style="463" customWidth="1"/>
    <col min="15886" max="15887" width="4.44140625" style="463" customWidth="1"/>
    <col min="15888" max="15888" width="3.6640625" style="463" customWidth="1"/>
    <col min="15889" max="15889" width="3.109375" style="463" customWidth="1"/>
    <col min="15890" max="15890" width="5" style="463" customWidth="1"/>
    <col min="15891" max="15891" width="2.5546875" style="463" customWidth="1"/>
    <col min="15892" max="15893" width="3" style="463" customWidth="1"/>
    <col min="15894" max="15895" width="2.109375" style="463" customWidth="1"/>
    <col min="15896" max="15896" width="3.5546875" style="463" customWidth="1"/>
    <col min="15897" max="16128" width="9.0546875" style="463"/>
    <col min="16129" max="16129" width="4.44140625" style="463" customWidth="1"/>
    <col min="16130" max="16130" width="8.88671875" style="463" customWidth="1"/>
    <col min="16131" max="16131" width="6.44140625" style="463" customWidth="1"/>
    <col min="16132" max="16132" width="8.109375" style="463" customWidth="1"/>
    <col min="16133" max="16133" width="7.6640625" style="463" customWidth="1"/>
    <col min="16134" max="16134" width="0" style="463" hidden="1" customWidth="1"/>
    <col min="16135" max="16135" width="2.44140625" style="463" customWidth="1"/>
    <col min="16136" max="16136" width="0" style="463" hidden="1" customWidth="1"/>
    <col min="16137" max="16138" width="3.109375" style="463" customWidth="1"/>
    <col min="16139" max="16139" width="4.33203125" style="463" customWidth="1"/>
    <col min="16140" max="16140" width="3.6640625" style="463" customWidth="1"/>
    <col min="16141" max="16141" width="3.5546875" style="463" customWidth="1"/>
    <col min="16142" max="16143" width="4.44140625" style="463" customWidth="1"/>
    <col min="16144" max="16144" width="3.6640625" style="463" customWidth="1"/>
    <col min="16145" max="16145" width="3.109375" style="463" customWidth="1"/>
    <col min="16146" max="16146" width="5" style="463" customWidth="1"/>
    <col min="16147" max="16147" width="2.5546875" style="463" customWidth="1"/>
    <col min="16148" max="16149" width="3" style="463" customWidth="1"/>
    <col min="16150" max="16151" width="2.109375" style="463" customWidth="1"/>
    <col min="16152" max="16152" width="3.5546875" style="463" customWidth="1"/>
    <col min="16153" max="16384" width="9.0546875" style="463"/>
  </cols>
  <sheetData>
    <row r="1" spans="1:25" ht="24.75" customHeight="1">
      <c r="A1" s="2180"/>
      <c r="B1" s="2180"/>
      <c r="C1" s="2180"/>
      <c r="D1" s="2181" t="s">
        <v>844</v>
      </c>
      <c r="E1" s="2182"/>
      <c r="F1" s="2182"/>
      <c r="G1" s="2182"/>
      <c r="H1" s="2182"/>
      <c r="I1" s="2182"/>
      <c r="J1" s="2182"/>
      <c r="K1" s="2182"/>
      <c r="L1" s="2182"/>
      <c r="M1" s="2182"/>
      <c r="N1" s="2182"/>
      <c r="O1" s="2182"/>
      <c r="P1" s="2182"/>
      <c r="Q1" s="2183"/>
      <c r="R1" s="2087" t="s">
        <v>1127</v>
      </c>
      <c r="S1" s="2087"/>
      <c r="T1" s="2087"/>
      <c r="U1" s="2087"/>
      <c r="V1" s="2087"/>
      <c r="W1" s="2087"/>
      <c r="X1" s="2087"/>
      <c r="Y1" s="462"/>
    </row>
    <row r="2" spans="1:25" ht="17.25" customHeight="1">
      <c r="A2" s="2180"/>
      <c r="B2" s="2180"/>
      <c r="C2" s="2180"/>
      <c r="D2" s="2184" t="s">
        <v>845</v>
      </c>
      <c r="E2" s="2185"/>
      <c r="F2" s="2185"/>
      <c r="G2" s="2185"/>
      <c r="H2" s="2185"/>
      <c r="I2" s="2185"/>
      <c r="J2" s="2185"/>
      <c r="K2" s="2185"/>
      <c r="L2" s="2185"/>
      <c r="M2" s="2185"/>
      <c r="N2" s="2185"/>
      <c r="O2" s="2185"/>
      <c r="P2" s="2185"/>
      <c r="Q2" s="2186"/>
      <c r="R2" s="2091" t="s">
        <v>1128</v>
      </c>
      <c r="S2" s="2092"/>
      <c r="T2" s="2092"/>
      <c r="U2" s="2092"/>
      <c r="V2" s="2092"/>
      <c r="W2" s="2092"/>
      <c r="X2" s="2093"/>
      <c r="Y2" s="462"/>
    </row>
    <row r="3" spans="1:25" ht="26.25" customHeight="1">
      <c r="A3" s="2180"/>
      <c r="B3" s="2180"/>
      <c r="C3" s="2180"/>
      <c r="D3" s="2187" t="s">
        <v>846</v>
      </c>
      <c r="E3" s="2187"/>
      <c r="F3" s="2187"/>
      <c r="G3" s="2187"/>
      <c r="H3" s="2187"/>
      <c r="I3" s="2187"/>
      <c r="J3" s="2187"/>
      <c r="K3" s="2187"/>
      <c r="L3" s="2187"/>
      <c r="M3" s="2187"/>
      <c r="N3" s="2187"/>
      <c r="O3" s="2187"/>
      <c r="P3" s="2187"/>
      <c r="Q3" s="2187"/>
      <c r="R3" s="2095" t="s">
        <v>1129</v>
      </c>
      <c r="S3" s="2096"/>
      <c r="T3" s="2096"/>
      <c r="U3" s="2096"/>
      <c r="V3" s="2096"/>
      <c r="W3" s="2096"/>
      <c r="X3" s="2097"/>
      <c r="Y3" s="464"/>
    </row>
    <row r="4" spans="1:25" ht="15.75" customHeight="1">
      <c r="A4" s="2180"/>
      <c r="B4" s="2180"/>
      <c r="C4" s="2180"/>
      <c r="D4" s="2187" t="s">
        <v>847</v>
      </c>
      <c r="E4" s="2187"/>
      <c r="F4" s="2187"/>
      <c r="G4" s="2187"/>
      <c r="H4" s="2187"/>
      <c r="I4" s="2187"/>
      <c r="J4" s="2187"/>
      <c r="K4" s="2187"/>
      <c r="L4" s="2187"/>
      <c r="M4" s="2187"/>
      <c r="N4" s="2187"/>
      <c r="O4" s="2187"/>
      <c r="P4" s="2187"/>
      <c r="Q4" s="2187"/>
      <c r="R4" s="2188" t="s">
        <v>848</v>
      </c>
      <c r="S4" s="2189"/>
      <c r="T4" s="2189"/>
      <c r="U4" s="2189"/>
      <c r="V4" s="2189"/>
      <c r="W4" s="2189"/>
      <c r="X4" s="2189"/>
      <c r="Y4" s="465"/>
    </row>
    <row r="5" spans="1:25" ht="17.25" customHeight="1">
      <c r="A5" s="2180"/>
      <c r="B5" s="2180"/>
      <c r="C5" s="2180"/>
      <c r="D5" s="2190" t="s">
        <v>849</v>
      </c>
      <c r="E5" s="2190"/>
      <c r="F5" s="2190"/>
      <c r="G5" s="2190"/>
      <c r="H5" s="2190"/>
      <c r="I5" s="2190"/>
      <c r="J5" s="2190"/>
      <c r="K5" s="2190"/>
      <c r="L5" s="2190"/>
      <c r="M5" s="2190"/>
      <c r="N5" s="2190"/>
      <c r="O5" s="2190"/>
      <c r="P5" s="2190"/>
      <c r="Q5" s="2190"/>
      <c r="R5" s="2074" t="s">
        <v>1095</v>
      </c>
      <c r="S5" s="2075"/>
      <c r="T5" s="2075"/>
      <c r="U5" s="2075"/>
      <c r="V5" s="2075"/>
      <c r="W5" s="2075"/>
      <c r="X5" s="2076"/>
      <c r="Y5" s="466"/>
    </row>
    <row r="6" spans="1:25" ht="15.3" customHeight="1">
      <c r="A6" s="2174" t="s">
        <v>1143</v>
      </c>
      <c r="B6" s="2175"/>
      <c r="C6" s="2175"/>
      <c r="D6" s="2175"/>
      <c r="E6" s="2175"/>
      <c r="F6" s="2175"/>
      <c r="G6" s="2175"/>
      <c r="H6" s="2175"/>
      <c r="I6" s="2175"/>
      <c r="J6" s="2176"/>
      <c r="K6" s="2174" t="s">
        <v>1144</v>
      </c>
      <c r="L6" s="2175"/>
      <c r="M6" s="2175"/>
      <c r="N6" s="2175"/>
      <c r="O6" s="2175"/>
      <c r="P6" s="2175"/>
      <c r="Q6" s="2175"/>
      <c r="R6" s="2175"/>
      <c r="S6" s="2175"/>
      <c r="T6" s="2175"/>
      <c r="U6" s="2175"/>
      <c r="V6" s="2175"/>
      <c r="W6" s="2175"/>
      <c r="X6" s="2176"/>
    </row>
    <row r="7" spans="1:25" ht="12.75" customHeight="1">
      <c r="A7" s="2177"/>
      <c r="B7" s="2178"/>
      <c r="C7" s="2178"/>
      <c r="D7" s="2178"/>
      <c r="E7" s="2178"/>
      <c r="F7" s="2178"/>
      <c r="G7" s="2178"/>
      <c r="H7" s="2178"/>
      <c r="I7" s="2178"/>
      <c r="J7" s="2179"/>
      <c r="K7" s="2071" t="s">
        <v>1130</v>
      </c>
      <c r="L7" s="2072"/>
      <c r="M7" s="2072"/>
      <c r="N7" s="2072"/>
      <c r="O7" s="2072"/>
      <c r="P7" s="2072"/>
      <c r="Q7" s="2072"/>
      <c r="R7" s="2072"/>
      <c r="S7" s="2072"/>
      <c r="T7" s="2072"/>
      <c r="U7" s="2072"/>
      <c r="V7" s="2072"/>
      <c r="W7" s="2072"/>
      <c r="X7" s="2073"/>
    </row>
    <row r="8" spans="1:25" ht="13.5" customHeight="1">
      <c r="A8" s="2080" t="s">
        <v>900</v>
      </c>
      <c r="B8" s="2081"/>
      <c r="C8" s="2081"/>
      <c r="D8" s="2081"/>
      <c r="E8" s="2081"/>
      <c r="F8" s="2081"/>
      <c r="G8" s="2081"/>
      <c r="H8" s="2081"/>
      <c r="I8" s="2081"/>
      <c r="J8" s="2082"/>
      <c r="K8" s="2174" t="s">
        <v>1145</v>
      </c>
      <c r="L8" s="2175"/>
      <c r="M8" s="2175"/>
      <c r="N8" s="2175"/>
      <c r="O8" s="2175"/>
      <c r="P8" s="2175"/>
      <c r="Q8" s="2175"/>
      <c r="R8" s="2175"/>
      <c r="S8" s="2175"/>
      <c r="T8" s="2175"/>
      <c r="U8" s="2175"/>
      <c r="V8" s="2175"/>
      <c r="W8" s="2175"/>
      <c r="X8" s="2176"/>
    </row>
    <row r="9" spans="1:25" ht="14.4" customHeight="1">
      <c r="A9" s="2198"/>
      <c r="B9" s="2199"/>
      <c r="C9" s="2199"/>
      <c r="D9" s="2199"/>
      <c r="E9" s="2199"/>
      <c r="F9" s="2199"/>
      <c r="G9" s="2199"/>
      <c r="H9" s="2199"/>
      <c r="I9" s="2199"/>
      <c r="J9" s="2200"/>
      <c r="K9" s="2063" t="s">
        <v>1131</v>
      </c>
      <c r="L9" s="2064"/>
      <c r="M9" s="2064"/>
      <c r="N9" s="2064"/>
      <c r="O9" s="2064"/>
      <c r="P9" s="2064"/>
      <c r="Q9" s="2064"/>
      <c r="R9" s="2064"/>
      <c r="S9" s="2064"/>
      <c r="T9" s="2064"/>
      <c r="U9" s="2064"/>
      <c r="V9" s="2064"/>
      <c r="W9" s="2064"/>
      <c r="X9" s="2065"/>
    </row>
    <row r="10" spans="1:25" ht="15.75" customHeight="1">
      <c r="A10" s="2191" t="s">
        <v>1146</v>
      </c>
      <c r="B10" s="2191"/>
      <c r="C10" s="2191"/>
      <c r="D10" s="2191"/>
      <c r="E10" s="2191"/>
      <c r="F10" s="2191"/>
      <c r="G10" s="2191"/>
      <c r="H10" s="2191"/>
      <c r="I10" s="2191"/>
      <c r="J10" s="2191"/>
      <c r="K10" s="2191" t="s">
        <v>1147</v>
      </c>
      <c r="L10" s="2191"/>
      <c r="M10" s="2191"/>
      <c r="N10" s="2191"/>
      <c r="O10" s="2191"/>
      <c r="P10" s="2191"/>
      <c r="Q10" s="2191"/>
      <c r="R10" s="2191"/>
      <c r="S10" s="2191"/>
      <c r="T10" s="2191"/>
      <c r="U10" s="2191"/>
      <c r="V10" s="2191"/>
      <c r="W10" s="2191"/>
      <c r="X10" s="2191"/>
    </row>
    <row r="11" spans="1:25" ht="13.8" customHeight="1">
      <c r="A11" s="2071" t="s">
        <v>1008</v>
      </c>
      <c r="B11" s="2072"/>
      <c r="C11" s="2072"/>
      <c r="D11" s="2072"/>
      <c r="E11" s="2072"/>
      <c r="F11" s="2072"/>
      <c r="G11" s="2072"/>
      <c r="H11" s="2072"/>
      <c r="I11" s="2072"/>
      <c r="J11" s="2073"/>
      <c r="K11" s="2201" t="s">
        <v>1148</v>
      </c>
      <c r="L11" s="2201"/>
      <c r="M11" s="2201"/>
      <c r="N11" s="2201"/>
      <c r="O11" s="2201"/>
      <c r="P11" s="2201"/>
      <c r="Q11" s="2201"/>
      <c r="R11" s="2201"/>
      <c r="S11" s="2201"/>
      <c r="T11" s="2201"/>
      <c r="U11" s="2201"/>
      <c r="V11" s="2201"/>
      <c r="W11" s="2201"/>
      <c r="X11" s="2201"/>
    </row>
    <row r="12" spans="1:25" ht="15.75" customHeight="1">
      <c r="A12" s="2191" t="s">
        <v>1149</v>
      </c>
      <c r="B12" s="2191"/>
      <c r="C12" s="2191"/>
      <c r="D12" s="2191"/>
      <c r="E12" s="2191"/>
      <c r="F12" s="2191"/>
      <c r="G12" s="2191"/>
      <c r="H12" s="2191"/>
      <c r="I12" s="2191"/>
      <c r="J12" s="2191"/>
      <c r="K12" s="2191" t="s">
        <v>1150</v>
      </c>
      <c r="L12" s="2191"/>
      <c r="M12" s="2191"/>
      <c r="N12" s="2191"/>
      <c r="O12" s="2191"/>
      <c r="P12" s="2191"/>
      <c r="Q12" s="2191"/>
      <c r="R12" s="2191"/>
      <c r="S12" s="2191"/>
      <c r="T12" s="2191"/>
      <c r="U12" s="2191"/>
      <c r="V12" s="2191"/>
      <c r="W12" s="2191"/>
      <c r="X12" s="2191"/>
    </row>
    <row r="13" spans="1:25" ht="14.1" customHeight="1">
      <c r="A13" s="2071" t="s">
        <v>1151</v>
      </c>
      <c r="B13" s="2072"/>
      <c r="C13" s="2072"/>
      <c r="D13" s="2072"/>
      <c r="E13" s="2072"/>
      <c r="F13" s="2072"/>
      <c r="G13" s="2072"/>
      <c r="H13" s="2072"/>
      <c r="I13" s="2072"/>
      <c r="J13" s="2073"/>
      <c r="K13" s="2071" t="s">
        <v>1083</v>
      </c>
      <c r="L13" s="2072"/>
      <c r="M13" s="2072"/>
      <c r="N13" s="2072"/>
      <c r="O13" s="2072"/>
      <c r="P13" s="2072"/>
      <c r="Q13" s="2072"/>
      <c r="R13" s="2072"/>
      <c r="S13" s="2072"/>
      <c r="T13" s="2072"/>
      <c r="U13" s="2072"/>
      <c r="V13" s="2072"/>
      <c r="W13" s="2072"/>
      <c r="X13" s="2073"/>
    </row>
    <row r="14" spans="1:25" ht="15" customHeight="1">
      <c r="A14" s="2191" t="s">
        <v>1152</v>
      </c>
      <c r="B14" s="2191"/>
      <c r="C14" s="2191"/>
      <c r="D14" s="2191"/>
      <c r="E14" s="2191"/>
      <c r="F14" s="2191"/>
      <c r="G14" s="2191"/>
      <c r="H14" s="2191"/>
      <c r="I14" s="2191"/>
      <c r="J14" s="2191"/>
      <c r="K14" s="2174" t="s">
        <v>1153</v>
      </c>
      <c r="L14" s="2175"/>
      <c r="M14" s="2175"/>
      <c r="N14" s="2175"/>
      <c r="O14" s="2175"/>
      <c r="P14" s="2175"/>
      <c r="Q14" s="2175"/>
      <c r="R14" s="2175"/>
      <c r="S14" s="2175"/>
      <c r="T14" s="2175"/>
      <c r="U14" s="2175"/>
      <c r="V14" s="2175"/>
      <c r="W14" s="2175"/>
      <c r="X14" s="2176"/>
    </row>
    <row r="15" spans="1:25" ht="15.75" customHeight="1">
      <c r="A15" s="2195" t="s">
        <v>1174</v>
      </c>
      <c r="B15" s="2196"/>
      <c r="C15" s="2196"/>
      <c r="D15" s="2196"/>
      <c r="E15" s="2196"/>
      <c r="F15" s="2196"/>
      <c r="G15" s="2196"/>
      <c r="H15" s="2196"/>
      <c r="I15" s="2196"/>
      <c r="J15" s="2197"/>
      <c r="K15" s="2192"/>
      <c r="L15" s="2193"/>
      <c r="M15" s="2193"/>
      <c r="N15" s="2193"/>
      <c r="O15" s="2193"/>
      <c r="P15" s="2193"/>
      <c r="Q15" s="2193"/>
      <c r="R15" s="2193"/>
      <c r="S15" s="2193"/>
      <c r="T15" s="2193"/>
      <c r="U15" s="2193"/>
      <c r="V15" s="2193"/>
      <c r="W15" s="2193"/>
      <c r="X15" s="2194"/>
    </row>
    <row r="16" spans="1:25" s="467" customFormat="1" ht="35.25" customHeight="1">
      <c r="A16" s="2202" t="s">
        <v>1084</v>
      </c>
      <c r="B16" s="2203" t="s">
        <v>1085</v>
      </c>
      <c r="C16" s="2203"/>
      <c r="D16" s="2204" t="s">
        <v>855</v>
      </c>
      <c r="E16" s="2206" t="s">
        <v>1086</v>
      </c>
      <c r="F16" s="2207"/>
      <c r="G16" s="2207"/>
      <c r="H16" s="2207"/>
      <c r="I16" s="2207"/>
      <c r="J16" s="2207"/>
      <c r="K16" s="2207"/>
      <c r="L16" s="2207"/>
      <c r="M16" s="2207"/>
      <c r="N16" s="2207"/>
      <c r="O16" s="2207"/>
      <c r="P16" s="2207"/>
      <c r="Q16" s="2207"/>
      <c r="R16" s="2207"/>
      <c r="S16" s="2207"/>
      <c r="T16" s="2207"/>
      <c r="U16" s="2207"/>
      <c r="V16" s="2207"/>
      <c r="W16" s="2207"/>
      <c r="X16" s="2208"/>
    </row>
    <row r="17" spans="1:24" s="467" customFormat="1" ht="15" customHeight="1">
      <c r="A17" s="2202"/>
      <c r="B17" s="2203"/>
      <c r="C17" s="2203"/>
      <c r="D17" s="2205"/>
      <c r="E17" s="481" t="s">
        <v>551</v>
      </c>
      <c r="F17" s="2209" t="s">
        <v>1137</v>
      </c>
      <c r="G17" s="2210"/>
      <c r="H17" s="2210"/>
      <c r="I17" s="2211"/>
      <c r="J17" s="481" t="s">
        <v>1138</v>
      </c>
      <c r="K17" s="2209" t="s">
        <v>1139</v>
      </c>
      <c r="L17" s="2211"/>
      <c r="M17" s="481" t="s">
        <v>1087</v>
      </c>
      <c r="N17" s="2209" t="s">
        <v>1140</v>
      </c>
      <c r="O17" s="2211"/>
      <c r="P17" s="481" t="s">
        <v>1141</v>
      </c>
      <c r="Q17" s="2209" t="s">
        <v>1142</v>
      </c>
      <c r="R17" s="2211"/>
      <c r="S17" s="2209" t="s">
        <v>563</v>
      </c>
      <c r="T17" s="2210"/>
      <c r="U17" s="2210"/>
      <c r="V17" s="2210"/>
      <c r="W17" s="2210"/>
      <c r="X17" s="2211"/>
    </row>
    <row r="18" spans="1:24" s="469" customFormat="1" ht="20.65" customHeight="1">
      <c r="A18" s="484" t="s">
        <v>162</v>
      </c>
      <c r="B18" s="2212" t="s">
        <v>1154</v>
      </c>
      <c r="C18" s="2212"/>
      <c r="D18" s="485" t="s">
        <v>1155</v>
      </c>
      <c r="E18" s="493">
        <v>15.2</v>
      </c>
      <c r="F18" s="2213">
        <v>15.7</v>
      </c>
      <c r="G18" s="2214"/>
      <c r="H18" s="2214"/>
      <c r="I18" s="2215"/>
      <c r="J18" s="493">
        <v>16</v>
      </c>
      <c r="K18" s="2213">
        <v>16.7</v>
      </c>
      <c r="L18" s="2215"/>
      <c r="M18" s="493">
        <v>17</v>
      </c>
      <c r="N18" s="2216">
        <v>16.399999999999999</v>
      </c>
      <c r="O18" s="2217"/>
      <c r="P18" s="493">
        <v>16</v>
      </c>
      <c r="Q18" s="2213">
        <v>15.4</v>
      </c>
      <c r="R18" s="2215"/>
      <c r="S18" s="2218" t="s">
        <v>1156</v>
      </c>
      <c r="T18" s="2219"/>
      <c r="U18" s="2219"/>
      <c r="V18" s="2219"/>
      <c r="W18" s="2219"/>
      <c r="X18" s="2220"/>
    </row>
    <row r="19" spans="1:24" s="469" customFormat="1" ht="20.7" customHeight="1">
      <c r="A19" s="468" t="s">
        <v>163</v>
      </c>
      <c r="B19" s="2227" t="s">
        <v>1157</v>
      </c>
      <c r="C19" s="2228"/>
      <c r="D19" s="486" t="s">
        <v>1158</v>
      </c>
      <c r="E19" s="494">
        <v>15.1</v>
      </c>
      <c r="F19" s="2229">
        <v>15.9</v>
      </c>
      <c r="G19" s="2230"/>
      <c r="H19" s="2230"/>
      <c r="I19" s="2231"/>
      <c r="J19" s="494">
        <v>16.3</v>
      </c>
      <c r="K19" s="2229">
        <v>17</v>
      </c>
      <c r="L19" s="2231"/>
      <c r="M19" s="494">
        <v>16.600000000000001</v>
      </c>
      <c r="N19" s="2232">
        <v>16</v>
      </c>
      <c r="O19" s="2233"/>
      <c r="P19" s="494">
        <v>15.4</v>
      </c>
      <c r="Q19" s="2229">
        <v>15.2</v>
      </c>
      <c r="R19" s="2231"/>
      <c r="S19" s="2221"/>
      <c r="T19" s="2222"/>
      <c r="U19" s="2222"/>
      <c r="V19" s="2222"/>
      <c r="W19" s="2222"/>
      <c r="X19" s="2223"/>
    </row>
    <row r="20" spans="1:24" s="469" customFormat="1" ht="22.3" customHeight="1">
      <c r="A20" s="468" t="s">
        <v>164</v>
      </c>
      <c r="B20" s="487"/>
      <c r="C20" s="488"/>
      <c r="D20" s="489" t="s">
        <v>1159</v>
      </c>
      <c r="E20" s="494">
        <v>14.9</v>
      </c>
      <c r="F20" s="2229">
        <v>16</v>
      </c>
      <c r="G20" s="2230"/>
      <c r="H20" s="2230"/>
      <c r="I20" s="2231"/>
      <c r="J20" s="494">
        <v>16.7</v>
      </c>
      <c r="K20" s="2229">
        <v>17.100000000000001</v>
      </c>
      <c r="L20" s="2231"/>
      <c r="M20" s="494">
        <v>16.399999999999999</v>
      </c>
      <c r="N20" s="2232">
        <v>15.8</v>
      </c>
      <c r="O20" s="2233"/>
      <c r="P20" s="494">
        <v>15.5</v>
      </c>
      <c r="Q20" s="2229">
        <v>15</v>
      </c>
      <c r="R20" s="2231"/>
      <c r="S20" s="2221"/>
      <c r="T20" s="2222"/>
      <c r="U20" s="2222"/>
      <c r="V20" s="2222"/>
      <c r="W20" s="2222"/>
      <c r="X20" s="2223"/>
    </row>
    <row r="21" spans="1:24" s="469" customFormat="1" ht="22.3" customHeight="1">
      <c r="A21" s="468" t="s">
        <v>338</v>
      </c>
      <c r="B21" s="2227"/>
      <c r="C21" s="2228"/>
      <c r="D21" s="489" t="s">
        <v>1160</v>
      </c>
      <c r="E21" s="494">
        <v>15.3</v>
      </c>
      <c r="F21" s="2229">
        <v>15.7</v>
      </c>
      <c r="G21" s="2230"/>
      <c r="H21" s="2230"/>
      <c r="I21" s="2231"/>
      <c r="J21" s="494">
        <v>17</v>
      </c>
      <c r="K21" s="2229">
        <v>16.7</v>
      </c>
      <c r="L21" s="2231"/>
      <c r="M21" s="494">
        <v>16</v>
      </c>
      <c r="N21" s="2229">
        <v>15.4</v>
      </c>
      <c r="O21" s="2231"/>
      <c r="P21" s="494">
        <v>15.3</v>
      </c>
      <c r="Q21" s="2229">
        <v>15.3</v>
      </c>
      <c r="R21" s="2231"/>
      <c r="S21" s="2221"/>
      <c r="T21" s="2222"/>
      <c r="U21" s="2222"/>
      <c r="V21" s="2222"/>
      <c r="W21" s="2222"/>
      <c r="X21" s="2223"/>
    </row>
    <row r="22" spans="1:24" s="469" customFormat="1" ht="22.3" customHeight="1">
      <c r="A22" s="468" t="s">
        <v>1088</v>
      </c>
      <c r="B22" s="2234"/>
      <c r="C22" s="2234"/>
      <c r="D22" s="489" t="s">
        <v>1161</v>
      </c>
      <c r="E22" s="494">
        <v>15.6</v>
      </c>
      <c r="F22" s="2229">
        <v>15.5</v>
      </c>
      <c r="G22" s="2230"/>
      <c r="H22" s="2230"/>
      <c r="I22" s="2231"/>
      <c r="J22" s="494">
        <v>16.899999999999999</v>
      </c>
      <c r="K22" s="2229">
        <v>16.399999999999999</v>
      </c>
      <c r="L22" s="2231"/>
      <c r="M22" s="494">
        <v>15.6</v>
      </c>
      <c r="N22" s="2229">
        <v>15.6</v>
      </c>
      <c r="O22" s="2231"/>
      <c r="P22" s="494">
        <v>15.9</v>
      </c>
      <c r="Q22" s="2229">
        <v>15.6</v>
      </c>
      <c r="R22" s="2231"/>
      <c r="S22" s="2221"/>
      <c r="T22" s="2222"/>
      <c r="U22" s="2222"/>
      <c r="V22" s="2222"/>
      <c r="W22" s="2222"/>
      <c r="X22" s="2223"/>
    </row>
    <row r="23" spans="1:24" s="469" customFormat="1" ht="22.3" customHeight="1">
      <c r="A23" s="468" t="s">
        <v>1089</v>
      </c>
      <c r="B23" s="2227"/>
      <c r="C23" s="2228"/>
      <c r="D23" s="489" t="s">
        <v>1162</v>
      </c>
      <c r="E23" s="494">
        <v>15.9</v>
      </c>
      <c r="F23" s="2229">
        <v>15.9</v>
      </c>
      <c r="G23" s="2230"/>
      <c r="H23" s="2230"/>
      <c r="I23" s="2231"/>
      <c r="J23" s="494">
        <v>16.5</v>
      </c>
      <c r="K23" s="2229">
        <v>16</v>
      </c>
      <c r="L23" s="2231"/>
      <c r="M23" s="494">
        <v>15.3</v>
      </c>
      <c r="N23" s="2229">
        <v>15.9</v>
      </c>
      <c r="O23" s="2231"/>
      <c r="P23" s="494">
        <v>16</v>
      </c>
      <c r="Q23" s="2229">
        <v>16</v>
      </c>
      <c r="R23" s="2231"/>
      <c r="S23" s="2221"/>
      <c r="T23" s="2222"/>
      <c r="U23" s="2222"/>
      <c r="V23" s="2222"/>
      <c r="W23" s="2222"/>
      <c r="X23" s="2223"/>
    </row>
    <row r="24" spans="1:24" s="469" customFormat="1" ht="22.3" customHeight="1">
      <c r="A24" s="468" t="s">
        <v>1090</v>
      </c>
      <c r="B24" s="2234"/>
      <c r="C24" s="2234"/>
      <c r="D24" s="489" t="s">
        <v>1163</v>
      </c>
      <c r="E24" s="494">
        <v>16</v>
      </c>
      <c r="F24" s="2229">
        <v>16.100000000000001</v>
      </c>
      <c r="G24" s="2230"/>
      <c r="H24" s="2230"/>
      <c r="I24" s="2231"/>
      <c r="J24" s="494">
        <v>16.2</v>
      </c>
      <c r="K24" s="2229">
        <v>15.9</v>
      </c>
      <c r="L24" s="2231"/>
      <c r="M24" s="494">
        <v>14.9</v>
      </c>
      <c r="N24" s="2229">
        <v>15.6</v>
      </c>
      <c r="O24" s="2231"/>
      <c r="P24" s="494">
        <v>15.6</v>
      </c>
      <c r="Q24" s="2229">
        <v>16.2</v>
      </c>
      <c r="R24" s="2231"/>
      <c r="S24" s="2221"/>
      <c r="T24" s="2222"/>
      <c r="U24" s="2222"/>
      <c r="V24" s="2222"/>
      <c r="W24" s="2222"/>
      <c r="X24" s="2223"/>
    </row>
    <row r="25" spans="1:24" s="469" customFormat="1" ht="22.3" customHeight="1">
      <c r="A25" s="468" t="s">
        <v>1091</v>
      </c>
      <c r="B25" s="2234"/>
      <c r="C25" s="2234"/>
      <c r="D25" s="489" t="s">
        <v>1164</v>
      </c>
      <c r="E25" s="494">
        <v>16.100000000000001</v>
      </c>
      <c r="F25" s="2229">
        <v>16.3</v>
      </c>
      <c r="G25" s="2230"/>
      <c r="H25" s="2230"/>
      <c r="I25" s="2231"/>
      <c r="J25" s="494">
        <v>16</v>
      </c>
      <c r="K25" s="2229">
        <v>15.6</v>
      </c>
      <c r="L25" s="2231"/>
      <c r="M25" s="494">
        <v>14.8</v>
      </c>
      <c r="N25" s="2229">
        <v>16</v>
      </c>
      <c r="O25" s="2231"/>
      <c r="P25" s="494">
        <v>15.7</v>
      </c>
      <c r="Q25" s="2229">
        <v>16.600000000000001</v>
      </c>
      <c r="R25" s="2231"/>
      <c r="S25" s="2221"/>
      <c r="T25" s="2222"/>
      <c r="U25" s="2222"/>
      <c r="V25" s="2222"/>
      <c r="W25" s="2222"/>
      <c r="X25" s="2223"/>
    </row>
    <row r="26" spans="1:24" s="469" customFormat="1" ht="22.3" customHeight="1">
      <c r="A26" s="468" t="s">
        <v>1092</v>
      </c>
      <c r="B26" s="2235"/>
      <c r="C26" s="2235"/>
      <c r="D26" s="489" t="s">
        <v>1165</v>
      </c>
      <c r="E26" s="495">
        <v>15.9</v>
      </c>
      <c r="F26" s="2236">
        <v>16.5</v>
      </c>
      <c r="G26" s="2237"/>
      <c r="H26" s="2237"/>
      <c r="I26" s="2238"/>
      <c r="J26" s="495">
        <v>16.100000000000001</v>
      </c>
      <c r="K26" s="2236">
        <v>15.4</v>
      </c>
      <c r="L26" s="2238"/>
      <c r="M26" s="495">
        <v>15.1</v>
      </c>
      <c r="N26" s="2236">
        <v>16.2</v>
      </c>
      <c r="O26" s="2238"/>
      <c r="P26" s="495">
        <v>16</v>
      </c>
      <c r="Q26" s="2236">
        <v>16.8</v>
      </c>
      <c r="R26" s="2238"/>
      <c r="S26" s="2221"/>
      <c r="T26" s="2222"/>
      <c r="U26" s="2222"/>
      <c r="V26" s="2222"/>
      <c r="W26" s="2222"/>
      <c r="X26" s="2223"/>
    </row>
    <row r="27" spans="1:24" s="469" customFormat="1" ht="22.3" customHeight="1">
      <c r="A27" s="468" t="s">
        <v>944</v>
      </c>
      <c r="B27" s="2234"/>
      <c r="C27" s="2234"/>
      <c r="D27" s="489" t="s">
        <v>1166</v>
      </c>
      <c r="E27" s="494">
        <v>16.100000000000001</v>
      </c>
      <c r="F27" s="2229">
        <v>15.9</v>
      </c>
      <c r="G27" s="2230"/>
      <c r="H27" s="2230"/>
      <c r="I27" s="2231"/>
      <c r="J27" s="494">
        <v>15.7</v>
      </c>
      <c r="K27" s="2229">
        <v>15.7</v>
      </c>
      <c r="L27" s="2231"/>
      <c r="M27" s="494">
        <v>15.2</v>
      </c>
      <c r="N27" s="2229">
        <v>16.3</v>
      </c>
      <c r="O27" s="2231"/>
      <c r="P27" s="494">
        <v>15.6</v>
      </c>
      <c r="Q27" s="2229">
        <v>16.5</v>
      </c>
      <c r="R27" s="2231"/>
      <c r="S27" s="2221"/>
      <c r="T27" s="2222"/>
      <c r="U27" s="2222"/>
      <c r="V27" s="2222"/>
      <c r="W27" s="2222"/>
      <c r="X27" s="2223"/>
    </row>
    <row r="28" spans="1:24" s="469" customFormat="1" ht="22.3" customHeight="1">
      <c r="A28" s="468" t="s">
        <v>1102</v>
      </c>
      <c r="B28" s="2234"/>
      <c r="C28" s="2234"/>
      <c r="D28" s="489" t="s">
        <v>1167</v>
      </c>
      <c r="E28" s="494">
        <v>15.7</v>
      </c>
      <c r="F28" s="2229">
        <v>15.9</v>
      </c>
      <c r="G28" s="2230"/>
      <c r="H28" s="2230"/>
      <c r="I28" s="2231"/>
      <c r="J28" s="494">
        <v>15.7</v>
      </c>
      <c r="K28" s="2229">
        <v>15.5</v>
      </c>
      <c r="L28" s="2231"/>
      <c r="M28" s="494">
        <v>15.6</v>
      </c>
      <c r="N28" s="2229">
        <v>15.9</v>
      </c>
      <c r="O28" s="2231"/>
      <c r="P28" s="494">
        <v>15.3</v>
      </c>
      <c r="Q28" s="2229">
        <v>16.3</v>
      </c>
      <c r="R28" s="2231"/>
      <c r="S28" s="2221"/>
      <c r="T28" s="2222"/>
      <c r="U28" s="2222"/>
      <c r="V28" s="2222"/>
      <c r="W28" s="2222"/>
      <c r="X28" s="2223"/>
    </row>
    <row r="29" spans="1:24" s="469" customFormat="1" ht="22.3" customHeight="1">
      <c r="A29" s="468" t="s">
        <v>1103</v>
      </c>
      <c r="B29" s="2234"/>
      <c r="C29" s="2234"/>
      <c r="D29" s="489" t="s">
        <v>1168</v>
      </c>
      <c r="E29" s="494">
        <v>15.9</v>
      </c>
      <c r="F29" s="2229">
        <v>15.8</v>
      </c>
      <c r="G29" s="2230"/>
      <c r="H29" s="2230"/>
      <c r="I29" s="2231"/>
      <c r="J29" s="494">
        <v>16</v>
      </c>
      <c r="K29" s="2229">
        <v>15.7</v>
      </c>
      <c r="L29" s="2231"/>
      <c r="M29" s="494">
        <v>16</v>
      </c>
      <c r="N29" s="2229">
        <v>15.6</v>
      </c>
      <c r="O29" s="2231"/>
      <c r="P29" s="494">
        <v>15</v>
      </c>
      <c r="Q29" s="2229">
        <v>16</v>
      </c>
      <c r="R29" s="2231"/>
      <c r="S29" s="2221"/>
      <c r="T29" s="2222"/>
      <c r="U29" s="2222"/>
      <c r="V29" s="2222"/>
      <c r="W29" s="2222"/>
      <c r="X29" s="2223"/>
    </row>
    <row r="30" spans="1:24" s="469" customFormat="1" ht="22.3" customHeight="1">
      <c r="A30" s="468" t="s">
        <v>1104</v>
      </c>
      <c r="B30" s="2234"/>
      <c r="C30" s="2234"/>
      <c r="D30" s="489" t="s">
        <v>1169</v>
      </c>
      <c r="E30" s="494">
        <v>16.2</v>
      </c>
      <c r="F30" s="2229">
        <v>15.5</v>
      </c>
      <c r="G30" s="2230"/>
      <c r="H30" s="2230"/>
      <c r="I30" s="2231"/>
      <c r="J30" s="494">
        <v>15.9</v>
      </c>
      <c r="K30" s="2229">
        <v>16</v>
      </c>
      <c r="L30" s="2231"/>
      <c r="M30" s="494">
        <v>15.9</v>
      </c>
      <c r="N30" s="2229">
        <v>15.4</v>
      </c>
      <c r="O30" s="2231"/>
      <c r="P30" s="494">
        <v>14.9</v>
      </c>
      <c r="Q30" s="2229">
        <v>15.9</v>
      </c>
      <c r="R30" s="2231"/>
      <c r="S30" s="2221"/>
      <c r="T30" s="2222"/>
      <c r="U30" s="2222"/>
      <c r="V30" s="2222"/>
      <c r="W30" s="2222"/>
      <c r="X30" s="2223"/>
    </row>
    <row r="31" spans="1:24" s="469" customFormat="1" ht="22.3" customHeight="1">
      <c r="A31" s="468" t="s">
        <v>1105</v>
      </c>
      <c r="B31" s="2234"/>
      <c r="C31" s="2234"/>
      <c r="D31" s="489" t="s">
        <v>1170</v>
      </c>
      <c r="E31" s="494">
        <v>16</v>
      </c>
      <c r="F31" s="2229">
        <v>15.7</v>
      </c>
      <c r="G31" s="2230"/>
      <c r="H31" s="2230"/>
      <c r="I31" s="2231"/>
      <c r="J31" s="494">
        <v>15.5</v>
      </c>
      <c r="K31" s="2229">
        <v>16.100000000000001</v>
      </c>
      <c r="L31" s="2231"/>
      <c r="M31" s="494">
        <v>15.6</v>
      </c>
      <c r="N31" s="2229">
        <v>15.8</v>
      </c>
      <c r="O31" s="2231"/>
      <c r="P31" s="494">
        <v>15</v>
      </c>
      <c r="Q31" s="2229">
        <v>15.5</v>
      </c>
      <c r="R31" s="2231"/>
      <c r="S31" s="2221"/>
      <c r="T31" s="2222"/>
      <c r="U31" s="2222"/>
      <c r="V31" s="2222"/>
      <c r="W31" s="2222"/>
      <c r="X31" s="2223"/>
    </row>
    <row r="32" spans="1:24" s="469" customFormat="1" ht="22.3" customHeight="1">
      <c r="A32" s="490" t="s">
        <v>1106</v>
      </c>
      <c r="B32" s="2239"/>
      <c r="C32" s="2239"/>
      <c r="D32" s="486" t="s">
        <v>1171</v>
      </c>
      <c r="E32" s="496">
        <v>16.2</v>
      </c>
      <c r="F32" s="2240">
        <v>16</v>
      </c>
      <c r="G32" s="2241"/>
      <c r="H32" s="2241"/>
      <c r="I32" s="2242"/>
      <c r="J32" s="496">
        <v>15.3</v>
      </c>
      <c r="K32" s="2240">
        <v>15.9</v>
      </c>
      <c r="L32" s="2242"/>
      <c r="M32" s="496">
        <v>15.7</v>
      </c>
      <c r="N32" s="2240">
        <v>15.7</v>
      </c>
      <c r="O32" s="2242"/>
      <c r="P32" s="496">
        <v>14.9</v>
      </c>
      <c r="Q32" s="2240">
        <v>15.5</v>
      </c>
      <c r="R32" s="2242"/>
      <c r="S32" s="2221"/>
      <c r="T32" s="2222"/>
      <c r="U32" s="2222"/>
      <c r="V32" s="2222"/>
      <c r="W32" s="2222"/>
      <c r="X32" s="2223"/>
    </row>
    <row r="33" spans="1:29" s="469" customFormat="1" ht="22.3" customHeight="1">
      <c r="A33" s="468" t="s">
        <v>1107</v>
      </c>
      <c r="B33" s="2234"/>
      <c r="C33" s="2234"/>
      <c r="D33" s="486" t="s">
        <v>1172</v>
      </c>
      <c r="E33" s="494">
        <v>16.2</v>
      </c>
      <c r="F33" s="2229">
        <v>15.5</v>
      </c>
      <c r="G33" s="2230"/>
      <c r="H33" s="2230"/>
      <c r="I33" s="2231"/>
      <c r="J33" s="494">
        <v>15</v>
      </c>
      <c r="K33" s="2229">
        <v>16</v>
      </c>
      <c r="L33" s="2231"/>
      <c r="M33" s="494">
        <v>15.5</v>
      </c>
      <c r="N33" s="2229">
        <v>15.4</v>
      </c>
      <c r="O33" s="2231"/>
      <c r="P33" s="494">
        <v>15.4</v>
      </c>
      <c r="Q33" s="2229">
        <v>15.7</v>
      </c>
      <c r="R33" s="2231"/>
      <c r="S33" s="2221"/>
      <c r="T33" s="2222"/>
      <c r="U33" s="2222"/>
      <c r="V33" s="2222"/>
      <c r="W33" s="2222"/>
      <c r="X33" s="2223"/>
    </row>
    <row r="34" spans="1:29" s="469" customFormat="1" ht="22.3" customHeight="1">
      <c r="A34" s="491" t="s">
        <v>1108</v>
      </c>
      <c r="B34" s="2255"/>
      <c r="C34" s="2255"/>
      <c r="D34" s="492" t="s">
        <v>1173</v>
      </c>
      <c r="E34" s="497">
        <v>16.100000000000001</v>
      </c>
      <c r="F34" s="2256">
        <v>15.8</v>
      </c>
      <c r="G34" s="2257"/>
      <c r="H34" s="2257"/>
      <c r="I34" s="2258"/>
      <c r="J34" s="497">
        <v>15.2</v>
      </c>
      <c r="K34" s="2256">
        <v>15.7</v>
      </c>
      <c r="L34" s="2258"/>
      <c r="M34" s="497">
        <v>15.5</v>
      </c>
      <c r="N34" s="2256">
        <v>15.4</v>
      </c>
      <c r="O34" s="2258"/>
      <c r="P34" s="497">
        <v>15.7</v>
      </c>
      <c r="Q34" s="2256">
        <v>15.4</v>
      </c>
      <c r="R34" s="2258"/>
      <c r="S34" s="2224"/>
      <c r="T34" s="2225"/>
      <c r="U34" s="2225"/>
      <c r="V34" s="2225"/>
      <c r="W34" s="2225"/>
      <c r="X34" s="2226"/>
    </row>
    <row r="35" spans="1:29" s="470" customFormat="1" ht="18" customHeight="1">
      <c r="A35" s="2243" t="s">
        <v>1093</v>
      </c>
      <c r="B35" s="2244"/>
      <c r="C35" s="2244"/>
      <c r="D35" s="2244"/>
      <c r="E35" s="2245"/>
      <c r="F35" s="2245"/>
      <c r="G35" s="2245"/>
      <c r="H35" s="2245"/>
      <c r="I35" s="2245"/>
      <c r="J35" s="2245"/>
      <c r="K35" s="2245"/>
      <c r="L35" s="2245"/>
      <c r="M35" s="2245"/>
      <c r="N35" s="2245"/>
      <c r="O35" s="2245"/>
      <c r="P35" s="2245"/>
      <c r="Q35" s="2245"/>
      <c r="R35" s="2245"/>
      <c r="S35" s="2244"/>
      <c r="T35" s="2244"/>
      <c r="U35" s="2244"/>
      <c r="V35" s="2244"/>
      <c r="W35" s="2244"/>
      <c r="X35" s="2246"/>
    </row>
    <row r="36" spans="1:29" ht="13.8" customHeight="1">
      <c r="A36" s="2247" t="s">
        <v>894</v>
      </c>
      <c r="B36" s="2248"/>
      <c r="C36" s="2248"/>
      <c r="D36" s="2248"/>
      <c r="E36" s="2248"/>
      <c r="F36" s="2249"/>
      <c r="G36" s="2250" t="s">
        <v>199</v>
      </c>
      <c r="H36" s="2250"/>
      <c r="I36" s="2250"/>
      <c r="J36" s="2250"/>
      <c r="K36" s="2250"/>
      <c r="L36" s="2250"/>
      <c r="M36" s="2250"/>
      <c r="N36" s="2250"/>
      <c r="O36" s="2250"/>
      <c r="P36" s="2247" t="s">
        <v>375</v>
      </c>
      <c r="Q36" s="2248"/>
      <c r="R36" s="2248"/>
      <c r="S36" s="2248"/>
      <c r="T36" s="2248"/>
      <c r="U36" s="2248"/>
      <c r="V36" s="2248"/>
      <c r="W36" s="2248"/>
      <c r="X36" s="2249"/>
      <c r="Y36" s="471"/>
      <c r="Z36" s="471"/>
      <c r="AA36" s="471"/>
      <c r="AB36" s="471"/>
      <c r="AC36" s="471"/>
    </row>
    <row r="37" spans="1:29" s="473" customFormat="1" ht="17.8" customHeight="1">
      <c r="A37" s="2251" t="s">
        <v>201</v>
      </c>
      <c r="B37" s="2252"/>
      <c r="C37" s="2252"/>
      <c r="D37" s="2252"/>
      <c r="E37" s="2252"/>
      <c r="F37" s="2253"/>
      <c r="G37" s="2254" t="s">
        <v>202</v>
      </c>
      <c r="H37" s="2254"/>
      <c r="I37" s="2254"/>
      <c r="J37" s="2254"/>
      <c r="K37" s="2254"/>
      <c r="L37" s="2254"/>
      <c r="M37" s="2254"/>
      <c r="N37" s="2254"/>
      <c r="O37" s="2254"/>
      <c r="P37" s="2251" t="s">
        <v>203</v>
      </c>
      <c r="Q37" s="2252"/>
      <c r="R37" s="2252"/>
      <c r="S37" s="2252"/>
      <c r="T37" s="2252"/>
      <c r="U37" s="2252"/>
      <c r="V37" s="2252"/>
      <c r="W37" s="2252"/>
      <c r="X37" s="2253"/>
      <c r="Y37" s="472"/>
      <c r="Z37" s="472"/>
      <c r="AA37" s="472"/>
      <c r="AB37" s="472"/>
      <c r="AC37" s="472"/>
    </row>
    <row r="38" spans="1:29" s="473" customFormat="1" ht="17.8" customHeight="1">
      <c r="A38" s="2251" t="s">
        <v>857</v>
      </c>
      <c r="B38" s="2252"/>
      <c r="C38" s="2252"/>
      <c r="D38" s="2252"/>
      <c r="E38" s="2252"/>
      <c r="F38" s="2253"/>
      <c r="G38" s="2254" t="s">
        <v>204</v>
      </c>
      <c r="H38" s="2254" t="s">
        <v>204</v>
      </c>
      <c r="I38" s="2254"/>
      <c r="J38" s="2254"/>
      <c r="K38" s="2254"/>
      <c r="L38" s="2254"/>
      <c r="M38" s="2254"/>
      <c r="N38" s="2254"/>
      <c r="O38" s="2254"/>
      <c r="P38" s="2251" t="s">
        <v>204</v>
      </c>
      <c r="Q38" s="2252"/>
      <c r="R38" s="2252"/>
      <c r="S38" s="2252"/>
      <c r="T38" s="2252"/>
      <c r="U38" s="2252"/>
      <c r="V38" s="2252"/>
      <c r="W38" s="2252"/>
      <c r="X38" s="2253"/>
      <c r="Y38" s="472"/>
      <c r="Z38" s="472"/>
      <c r="AA38" s="472"/>
      <c r="AB38" s="472"/>
      <c r="AC38" s="472"/>
    </row>
    <row r="39" spans="1:29" s="473" customFormat="1" ht="17.8" customHeight="1">
      <c r="A39" s="2251" t="s">
        <v>205</v>
      </c>
      <c r="B39" s="2252"/>
      <c r="C39" s="2252"/>
      <c r="D39" s="2252"/>
      <c r="E39" s="2252"/>
      <c r="F39" s="2253"/>
      <c r="G39" s="2254" t="s">
        <v>205</v>
      </c>
      <c r="H39" s="2254" t="s">
        <v>205</v>
      </c>
      <c r="I39" s="2254"/>
      <c r="J39" s="2254"/>
      <c r="K39" s="2254"/>
      <c r="L39" s="2254"/>
      <c r="M39" s="2254"/>
      <c r="N39" s="2254"/>
      <c r="O39" s="2254"/>
      <c r="P39" s="2251" t="s">
        <v>205</v>
      </c>
      <c r="Q39" s="2252"/>
      <c r="R39" s="2252"/>
      <c r="S39" s="2252"/>
      <c r="T39" s="2252"/>
      <c r="U39" s="2252"/>
      <c r="V39" s="2252"/>
      <c r="W39" s="2252"/>
      <c r="X39" s="2253"/>
      <c r="Y39" s="472"/>
      <c r="Z39" s="472"/>
      <c r="AA39" s="472"/>
      <c r="AB39" s="472"/>
      <c r="AC39" s="472"/>
    </row>
    <row r="40" spans="1:29" s="473" customFormat="1" ht="17.8" customHeight="1">
      <c r="A40" s="2251"/>
      <c r="B40" s="2252"/>
      <c r="C40" s="2252"/>
      <c r="D40" s="2252"/>
      <c r="E40" s="2252"/>
      <c r="F40" s="2253"/>
      <c r="G40" s="2254"/>
      <c r="H40" s="2254"/>
      <c r="I40" s="2254"/>
      <c r="J40" s="2254"/>
      <c r="K40" s="2254"/>
      <c r="L40" s="2254"/>
      <c r="M40" s="2254"/>
      <c r="N40" s="2254"/>
      <c r="O40" s="2254"/>
      <c r="P40" s="2251"/>
      <c r="Q40" s="2252"/>
      <c r="R40" s="2252"/>
      <c r="S40" s="2252"/>
      <c r="T40" s="2252"/>
      <c r="U40" s="2252"/>
      <c r="V40" s="2252"/>
      <c r="W40" s="2252"/>
      <c r="X40" s="2253"/>
      <c r="Y40" s="472"/>
      <c r="Z40" s="472"/>
      <c r="AA40" s="472"/>
      <c r="AB40" s="472"/>
      <c r="AC40" s="472"/>
    </row>
    <row r="41" spans="1:29" s="473" customFormat="1" ht="17.8" customHeight="1">
      <c r="A41" s="2259" t="s">
        <v>858</v>
      </c>
      <c r="B41" s="2260"/>
      <c r="C41" s="2261" t="str">
        <f>R5</f>
        <v>04/10/2025</v>
      </c>
      <c r="D41" s="2261"/>
      <c r="E41" s="2261"/>
      <c r="F41" s="2262"/>
      <c r="G41" s="2263" t="s">
        <v>206</v>
      </c>
      <c r="H41" s="2263" t="s">
        <v>206</v>
      </c>
      <c r="I41" s="2263"/>
      <c r="J41" s="2263"/>
      <c r="K41" s="2263"/>
      <c r="L41" s="2263"/>
      <c r="M41" s="2263"/>
      <c r="N41" s="2263"/>
      <c r="O41" s="2263"/>
      <c r="P41" s="2259" t="s">
        <v>206</v>
      </c>
      <c r="Q41" s="2260"/>
      <c r="R41" s="2260"/>
      <c r="S41" s="2260"/>
      <c r="T41" s="2260"/>
      <c r="U41" s="2260"/>
      <c r="V41" s="2260"/>
      <c r="W41" s="2260"/>
      <c r="X41" s="2264"/>
      <c r="Y41" s="474"/>
      <c r="Z41" s="474"/>
      <c r="AA41" s="474"/>
      <c r="AB41" s="474"/>
      <c r="AC41" s="474"/>
    </row>
    <row r="42" spans="1:29">
      <c r="A42" s="465"/>
      <c r="B42" s="465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</row>
    <row r="1765" ht="93.75" customHeight="1"/>
  </sheetData>
  <mergeCells count="144">
    <mergeCell ref="A41:B41"/>
    <mergeCell ref="C41:F41"/>
    <mergeCell ref="G41:O41"/>
    <mergeCell ref="P41:X41"/>
    <mergeCell ref="A38:F38"/>
    <mergeCell ref="G38:O38"/>
    <mergeCell ref="P38:X38"/>
    <mergeCell ref="A39:F39"/>
    <mergeCell ref="G39:O39"/>
    <mergeCell ref="P39:X39"/>
    <mergeCell ref="A37:F37"/>
    <mergeCell ref="G37:O37"/>
    <mergeCell ref="P37:X37"/>
    <mergeCell ref="B34:C34"/>
    <mergeCell ref="F34:I34"/>
    <mergeCell ref="K34:L34"/>
    <mergeCell ref="N34:O34"/>
    <mergeCell ref="Q34:R34"/>
    <mergeCell ref="A40:F40"/>
    <mergeCell ref="G40:O40"/>
    <mergeCell ref="P40:X40"/>
    <mergeCell ref="B33:C33"/>
    <mergeCell ref="F33:I33"/>
    <mergeCell ref="K33:L33"/>
    <mergeCell ref="N33:O33"/>
    <mergeCell ref="Q33:R33"/>
    <mergeCell ref="A35:X35"/>
    <mergeCell ref="A36:F36"/>
    <mergeCell ref="G36:O36"/>
    <mergeCell ref="P36:X36"/>
    <mergeCell ref="B31:C31"/>
    <mergeCell ref="F31:I31"/>
    <mergeCell ref="K31:L31"/>
    <mergeCell ref="N31:O31"/>
    <mergeCell ref="Q31:R31"/>
    <mergeCell ref="B32:C32"/>
    <mergeCell ref="F32:I32"/>
    <mergeCell ref="K32:L32"/>
    <mergeCell ref="N32:O32"/>
    <mergeCell ref="Q32:R32"/>
    <mergeCell ref="B29:C29"/>
    <mergeCell ref="F29:I29"/>
    <mergeCell ref="K29:L29"/>
    <mergeCell ref="N29:O29"/>
    <mergeCell ref="Q29:R29"/>
    <mergeCell ref="B30:C30"/>
    <mergeCell ref="F30:I30"/>
    <mergeCell ref="K30:L30"/>
    <mergeCell ref="N30:O30"/>
    <mergeCell ref="Q30:R30"/>
    <mergeCell ref="B27:C27"/>
    <mergeCell ref="F27:I27"/>
    <mergeCell ref="K27:L27"/>
    <mergeCell ref="N27:O27"/>
    <mergeCell ref="Q27:R27"/>
    <mergeCell ref="B28:C28"/>
    <mergeCell ref="F28:I28"/>
    <mergeCell ref="K28:L28"/>
    <mergeCell ref="N28:O28"/>
    <mergeCell ref="Q28:R28"/>
    <mergeCell ref="B25:C25"/>
    <mergeCell ref="F25:I25"/>
    <mergeCell ref="K25:L25"/>
    <mergeCell ref="N25:O25"/>
    <mergeCell ref="Q25:R25"/>
    <mergeCell ref="B26:C26"/>
    <mergeCell ref="F26:I26"/>
    <mergeCell ref="K26:L26"/>
    <mergeCell ref="N26:O26"/>
    <mergeCell ref="Q26:R26"/>
    <mergeCell ref="Q22:R22"/>
    <mergeCell ref="B23:C23"/>
    <mergeCell ref="F23:I23"/>
    <mergeCell ref="K23:L23"/>
    <mergeCell ref="N23:O23"/>
    <mergeCell ref="Q23:R23"/>
    <mergeCell ref="B24:C24"/>
    <mergeCell ref="F24:I24"/>
    <mergeCell ref="K24:L24"/>
    <mergeCell ref="N24:O24"/>
    <mergeCell ref="Q24:R24"/>
    <mergeCell ref="B18:C18"/>
    <mergeCell ref="F18:I18"/>
    <mergeCell ref="K18:L18"/>
    <mergeCell ref="N18:O18"/>
    <mergeCell ref="Q18:R18"/>
    <mergeCell ref="S18:X34"/>
    <mergeCell ref="B19:C19"/>
    <mergeCell ref="F19:I19"/>
    <mergeCell ref="K19:L19"/>
    <mergeCell ref="N19:O19"/>
    <mergeCell ref="Q19:R19"/>
    <mergeCell ref="F20:I20"/>
    <mergeCell ref="K20:L20"/>
    <mergeCell ref="N20:O20"/>
    <mergeCell ref="Q20:R20"/>
    <mergeCell ref="B21:C21"/>
    <mergeCell ref="F21:I21"/>
    <mergeCell ref="K21:L21"/>
    <mergeCell ref="N21:O21"/>
    <mergeCell ref="Q21:R21"/>
    <mergeCell ref="B22:C22"/>
    <mergeCell ref="F22:I22"/>
    <mergeCell ref="K22:L22"/>
    <mergeCell ref="N22:O22"/>
    <mergeCell ref="A16:A17"/>
    <mergeCell ref="B16:C17"/>
    <mergeCell ref="D16:D17"/>
    <mergeCell ref="E16:X16"/>
    <mergeCell ref="F17:I17"/>
    <mergeCell ref="K17:L17"/>
    <mergeCell ref="N17:O17"/>
    <mergeCell ref="Q17:R17"/>
    <mergeCell ref="S17:X17"/>
    <mergeCell ref="A12:J12"/>
    <mergeCell ref="K12:X12"/>
    <mergeCell ref="A13:J13"/>
    <mergeCell ref="K13:X13"/>
    <mergeCell ref="A14:J14"/>
    <mergeCell ref="K14:X15"/>
    <mergeCell ref="A15:J15"/>
    <mergeCell ref="A9:J9"/>
    <mergeCell ref="K9:X9"/>
    <mergeCell ref="A10:J10"/>
    <mergeCell ref="K10:X10"/>
    <mergeCell ref="A11:J11"/>
    <mergeCell ref="K11:X11"/>
    <mergeCell ref="R5:X5"/>
    <mergeCell ref="A6:J6"/>
    <mergeCell ref="K6:X6"/>
    <mergeCell ref="A7:J7"/>
    <mergeCell ref="K7:X7"/>
    <mergeCell ref="A8:J8"/>
    <mergeCell ref="K8:X8"/>
    <mergeCell ref="A1:C5"/>
    <mergeCell ref="D1:Q1"/>
    <mergeCell ref="R1:X1"/>
    <mergeCell ref="D2:Q2"/>
    <mergeCell ref="R2:X2"/>
    <mergeCell ref="D3:Q3"/>
    <mergeCell ref="R3:X3"/>
    <mergeCell ref="D4:Q4"/>
    <mergeCell ref="R4:X4"/>
    <mergeCell ref="D5:Q5"/>
  </mergeCells>
  <pageMargins left="0.59055118110236227" right="0.23622047244094491" top="0.31496062992125984" bottom="0.19685039370078741" header="0.35433070866141736" footer="0"/>
  <pageSetup paperSize="9" orientation="portrait" r:id="rId1"/>
  <headerFooter>
    <oddFooter xml:space="preserve">&amp;R&amp;"VNI-Times,Normal"&amp;9&amp;KFF0000    &amp;"Cambria,Regular"&amp;8&amp;K000000Take effect from/Áp dụng từ ngày 06.08.2016           </oddFooter>
  </headerFooter>
  <drawing r:id="rId2"/>
  <legacyDrawing r:id="rId3"/>
  <oleObjects>
    <mc:AlternateContent xmlns:mc="http://schemas.openxmlformats.org/markup-compatibility/2006">
      <mc:Choice Requires="x14">
        <oleObject progId="PBrush" shapeId="14532611" r:id="rId4">
          <objectPr defaultSize="0" autoPict="0" r:id="rId5">
            <anchor moveWithCells="1" sizeWithCells="1">
              <from>
                <xdr:col>0</xdr:col>
                <xdr:colOff>99060</xdr:colOff>
                <xdr:row>0</xdr:row>
                <xdr:rowOff>224790</xdr:rowOff>
              </from>
              <to>
                <xdr:col>2</xdr:col>
                <xdr:colOff>346710</xdr:colOff>
                <xdr:row>3</xdr:row>
                <xdr:rowOff>194310</xdr:rowOff>
              </to>
            </anchor>
          </objectPr>
        </oleObject>
      </mc:Choice>
      <mc:Fallback>
        <oleObject progId="PBrush" shapeId="14532611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532609" r:id="rId6" name="Check Box 1">
              <controlPr defaultSize="0" autoFill="0" autoLine="0" autoPict="0">
                <anchor moveWithCells="1">
                  <from>
                    <xdr:col>10</xdr:col>
                    <xdr:colOff>213360</xdr:colOff>
                    <xdr:row>13</xdr:row>
                    <xdr:rowOff>163830</xdr:rowOff>
                  </from>
                  <to>
                    <xdr:col>13</xdr:col>
                    <xdr:colOff>30480</xdr:colOff>
                    <xdr:row>14</xdr:row>
                    <xdr:rowOff>186690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2610" r:id="rId7" name="Check Box 2">
              <controlPr defaultSize="0" autoFill="0" autoLine="0" autoPict="0">
                <anchor moveWithCells="1">
                  <from>
                    <xdr:col>13</xdr:col>
                    <xdr:colOff>228600</xdr:colOff>
                    <xdr:row>13</xdr:row>
                    <xdr:rowOff>167640</xdr:rowOff>
                  </from>
                  <to>
                    <xdr:col>16</xdr:col>
                    <xdr:colOff>106680</xdr:colOff>
                    <xdr:row>14</xdr:row>
                    <xdr:rowOff>186690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16</vt:i4>
      </vt:variant>
    </vt:vector>
  </HeadingPairs>
  <TitlesOfParts>
    <vt:vector size="36" baseType="lpstr">
      <vt:lpstr>FORM BC</vt:lpstr>
      <vt:lpstr>TIEU CHUAN</vt:lpstr>
      <vt:lpstr>BCQT</vt:lpstr>
      <vt:lpstr>SUM.</vt:lpstr>
      <vt:lpstr>REG. (CHÂN ĐẾ)</vt:lpstr>
      <vt:lpstr>REG.</vt:lpstr>
      <vt:lpstr>BBCGTL</vt:lpstr>
      <vt:lpstr>RT</vt:lpstr>
      <vt:lpstr>RT SUM.</vt:lpstr>
      <vt:lpstr>PT</vt:lpstr>
      <vt:lpstr>MT</vt:lpstr>
      <vt:lpstr>UT ống</vt:lpstr>
      <vt:lpstr>UT-T</vt:lpstr>
      <vt:lpstr>UT(t6)(xuồng)</vt:lpstr>
      <vt:lpstr>PA (5)</vt:lpstr>
      <vt:lpstr>SKETCH</vt:lpstr>
      <vt:lpstr>UTM Riser</vt:lpstr>
      <vt:lpstr>UTM</vt:lpstr>
      <vt:lpstr>UL</vt:lpstr>
      <vt:lpstr>UTM (8)</vt:lpstr>
      <vt:lpstr>BBCGTL!Print_Area</vt:lpstr>
      <vt:lpstr>BCQT!Print_Area</vt:lpstr>
      <vt:lpstr>MT!Print_Area</vt:lpstr>
      <vt:lpstr>'PA (5)'!Print_Area</vt:lpstr>
      <vt:lpstr>PT!Print_Area</vt:lpstr>
      <vt:lpstr>'REG. (CHÂN ĐẾ)'!Print_Area</vt:lpstr>
      <vt:lpstr>RT!Print_Area</vt:lpstr>
      <vt:lpstr>'RT SUM.'!Print_Area</vt:lpstr>
      <vt:lpstr>'TIEU CHUAN'!Print_Area</vt:lpstr>
      <vt:lpstr>UL!Print_Area</vt:lpstr>
      <vt:lpstr>'UT ống'!Print_Area</vt:lpstr>
      <vt:lpstr>'UT(t6)(xuồng)'!Print_Area</vt:lpstr>
      <vt:lpstr>UTM!Print_Area</vt:lpstr>
      <vt:lpstr>'UTM (8)'!Print_Area</vt:lpstr>
      <vt:lpstr>'UTM Riser'!Print_Area</vt:lpstr>
      <vt:lpstr>'UT-T'!Print_Area</vt:lpstr>
    </vt:vector>
  </TitlesOfParts>
  <Company>vsp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</dc:creator>
  <cp:lastModifiedBy>Windows</cp:lastModifiedBy>
  <cp:lastPrinted>2025-11-08T03:25:00Z</cp:lastPrinted>
  <dcterms:created xsi:type="dcterms:W3CDTF">2014-02-24T00:34:00Z</dcterms:created>
  <dcterms:modified xsi:type="dcterms:W3CDTF">2025-11-17T08:01:31Z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1033-12.2.0.18586</vt:lpwstr>
  </property>
  <property fmtid="{D5CDD505-2E9C-101B-9397-08002B2CF9AE}" pid="3" name="ICV">
    <vt:lpwstr>7C8F5A80520B4B3194425612459F88E1_12</vt:lpwstr>
  </property>
</Properties>
</file>